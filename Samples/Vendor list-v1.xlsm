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0001_{CE183FB1-C64B-4A22-B88A-977C9E695533}" xr6:coauthVersionLast="47" xr6:coauthVersionMax="47" xr10:uidLastSave="{00000000-0000-0000-0000-000000000000}"/>
  <bookViews>
    <workbookView xWindow="-108" yWindow="-108" windowWidth="23256" windowHeight="12456" xr2:uid="{6D2AA459-484D-4C74-A6BD-D461ACE47D20}"/>
  </bookViews>
  <sheets>
    <sheet name="Main data" sheetId="1" r:id="rId1"/>
    <sheet name="DANH MỤC ĐỐI TƯỢNG" sheetId="3" r:id="rId2"/>
  </sheets>
  <definedNames>
    <definedName name="_xlnm._FilterDatabase" localSheetId="1" hidden="1">'DANH MỤC ĐỐI TƯỢNG'!$A$4:$O$2469</definedName>
  </definedNames>
  <calcPr calcId="191029" concurrentManualCount="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F962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D5" i="1" l="1"/>
  <c r="E1295" i="1" l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E511" i="1" l="1"/>
  <c r="E960" i="1"/>
  <c r="E966" i="1"/>
  <c r="E1026" i="1"/>
  <c r="E1002" i="1"/>
  <c r="E1062" i="1"/>
  <c r="E961" i="1"/>
  <c r="E967" i="1"/>
  <c r="E973" i="1"/>
  <c r="E979" i="1"/>
  <c r="E985" i="1"/>
  <c r="E991" i="1"/>
  <c r="E997" i="1"/>
  <c r="E1003" i="1"/>
  <c r="E1009" i="1"/>
  <c r="E1015" i="1"/>
  <c r="E1021" i="1"/>
  <c r="E1027" i="1"/>
  <c r="E1033" i="1"/>
  <c r="E1039" i="1"/>
  <c r="E1045" i="1"/>
  <c r="E1051" i="1"/>
  <c r="E1057" i="1"/>
  <c r="E1063" i="1"/>
  <c r="E1069" i="1"/>
  <c r="E1032" i="1"/>
  <c r="E962" i="1"/>
  <c r="E968" i="1"/>
  <c r="E974" i="1"/>
  <c r="E980" i="1"/>
  <c r="E986" i="1"/>
  <c r="E992" i="1"/>
  <c r="E998" i="1"/>
  <c r="E1004" i="1"/>
  <c r="E1010" i="1"/>
  <c r="E1016" i="1"/>
  <c r="E1022" i="1"/>
  <c r="E1028" i="1"/>
  <c r="E1034" i="1"/>
  <c r="E1040" i="1"/>
  <c r="E1046" i="1"/>
  <c r="E1052" i="1"/>
  <c r="E1058" i="1"/>
  <c r="E1064" i="1"/>
  <c r="E1070" i="1"/>
  <c r="E990" i="1"/>
  <c r="E1044" i="1"/>
  <c r="E984" i="1"/>
  <c r="E1014" i="1"/>
  <c r="E1050" i="1"/>
  <c r="E963" i="1"/>
  <c r="E969" i="1"/>
  <c r="E975" i="1"/>
  <c r="E981" i="1"/>
  <c r="E987" i="1"/>
  <c r="E993" i="1"/>
  <c r="E999" i="1"/>
  <c r="E1005" i="1"/>
  <c r="E1011" i="1"/>
  <c r="E1017" i="1"/>
  <c r="E1023" i="1"/>
  <c r="E1029" i="1"/>
  <c r="E1035" i="1"/>
  <c r="E1041" i="1"/>
  <c r="E1047" i="1"/>
  <c r="E1053" i="1"/>
  <c r="E1059" i="1"/>
  <c r="E1065" i="1"/>
  <c r="E1071" i="1"/>
  <c r="E972" i="1"/>
  <c r="E1038" i="1"/>
  <c r="E996" i="1"/>
  <c r="E1020" i="1"/>
  <c r="E1056" i="1"/>
  <c r="E964" i="1"/>
  <c r="E970" i="1"/>
  <c r="E976" i="1"/>
  <c r="E982" i="1"/>
  <c r="E988" i="1"/>
  <c r="E994" i="1"/>
  <c r="E1000" i="1"/>
  <c r="E1006" i="1"/>
  <c r="E1012" i="1"/>
  <c r="E1018" i="1"/>
  <c r="E1024" i="1"/>
  <c r="E1030" i="1"/>
  <c r="E1036" i="1"/>
  <c r="E1042" i="1"/>
  <c r="E1048" i="1"/>
  <c r="E1054" i="1"/>
  <c r="E1060" i="1"/>
  <c r="E1066" i="1"/>
  <c r="E978" i="1"/>
  <c r="E1008" i="1"/>
  <c r="E1068" i="1"/>
  <c r="E965" i="1"/>
  <c r="E971" i="1"/>
  <c r="E977" i="1"/>
  <c r="E983" i="1"/>
  <c r="E989" i="1"/>
  <c r="E995" i="1"/>
  <c r="E1001" i="1"/>
  <c r="E1007" i="1"/>
  <c r="E1013" i="1"/>
  <c r="E1019" i="1"/>
  <c r="E1025" i="1"/>
  <c r="E1031" i="1"/>
  <c r="E1037" i="1"/>
  <c r="E1043" i="1"/>
  <c r="E1049" i="1"/>
  <c r="E1055" i="1"/>
  <c r="E1061" i="1"/>
  <c r="E1067" i="1"/>
  <c r="E959" i="1"/>
  <c r="E5" i="1"/>
  <c r="E531" i="1"/>
  <c r="E243" i="1"/>
  <c r="E521" i="1"/>
  <c r="E179" i="1"/>
  <c r="E114" i="1"/>
  <c r="E127" i="1"/>
  <c r="E140" i="1"/>
  <c r="E162" i="1"/>
  <c r="E175" i="1"/>
  <c r="E188" i="1"/>
  <c r="E210" i="1"/>
  <c r="E223" i="1"/>
  <c r="E242" i="1"/>
  <c r="E254" i="1"/>
  <c r="E266" i="1"/>
  <c r="E278" i="1"/>
  <c r="E290" i="1"/>
  <c r="E307" i="1"/>
  <c r="E355" i="1"/>
  <c r="E361" i="1"/>
  <c r="E421" i="1"/>
  <c r="E451" i="1"/>
  <c r="E475" i="1"/>
  <c r="E607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23" i="1"/>
  <c r="E136" i="1"/>
  <c r="E158" i="1"/>
  <c r="E171" i="1"/>
  <c r="E184" i="1"/>
  <c r="E206" i="1"/>
  <c r="E219" i="1"/>
  <c r="E232" i="1"/>
  <c r="E248" i="1"/>
  <c r="E260" i="1"/>
  <c r="E272" i="1"/>
  <c r="E284" i="1"/>
  <c r="E415" i="1"/>
  <c r="E445" i="1"/>
  <c r="E491" i="1"/>
  <c r="E119" i="1"/>
  <c r="E132" i="1"/>
  <c r="E154" i="1"/>
  <c r="E167" i="1"/>
  <c r="E180" i="1"/>
  <c r="E202" i="1"/>
  <c r="E215" i="1"/>
  <c r="E228" i="1"/>
  <c r="E333" i="1"/>
  <c r="E339" i="1"/>
  <c r="E375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24" i="1"/>
  <c r="E146" i="1"/>
  <c r="E159" i="1"/>
  <c r="E172" i="1"/>
  <c r="E194" i="1"/>
  <c r="E207" i="1"/>
  <c r="E220" i="1"/>
  <c r="E238" i="1"/>
  <c r="E250" i="1"/>
  <c r="E262" i="1"/>
  <c r="E274" i="1"/>
  <c r="E286" i="1"/>
  <c r="E309" i="1"/>
  <c r="E357" i="1"/>
  <c r="E395" i="1"/>
  <c r="E577" i="1"/>
  <c r="E120" i="1"/>
  <c r="E142" i="1"/>
  <c r="E155" i="1"/>
  <c r="E168" i="1"/>
  <c r="E190" i="1"/>
  <c r="E203" i="1"/>
  <c r="E216" i="1"/>
  <c r="E244" i="1"/>
  <c r="E256" i="1"/>
  <c r="E268" i="1"/>
  <c r="E280" i="1"/>
  <c r="E292" i="1"/>
  <c r="E493" i="1"/>
  <c r="E501" i="1"/>
  <c r="E517" i="1"/>
  <c r="E547" i="1"/>
  <c r="E571" i="1"/>
  <c r="E116" i="1"/>
  <c r="E138" i="1"/>
  <c r="E151" i="1"/>
  <c r="E164" i="1"/>
  <c r="E186" i="1"/>
  <c r="E199" i="1"/>
  <c r="E212" i="1"/>
  <c r="E234" i="1"/>
  <c r="E299" i="1"/>
  <c r="E341" i="1"/>
  <c r="E389" i="1"/>
  <c r="E425" i="1"/>
  <c r="E455" i="1"/>
  <c r="E471" i="1"/>
  <c r="E541" i="1"/>
  <c r="E587" i="1"/>
  <c r="E620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34" i="1"/>
  <c r="E147" i="1"/>
  <c r="E160" i="1"/>
  <c r="E182" i="1"/>
  <c r="E195" i="1"/>
  <c r="E208" i="1"/>
  <c r="E230" i="1"/>
  <c r="E239" i="1"/>
  <c r="E251" i="1"/>
  <c r="E263" i="1"/>
  <c r="E275" i="1"/>
  <c r="E287" i="1"/>
  <c r="E317" i="1"/>
  <c r="E329" i="1"/>
  <c r="E955" i="1"/>
  <c r="E951" i="1"/>
  <c r="E947" i="1"/>
  <c r="E943" i="1"/>
  <c r="E939" i="1"/>
  <c r="E935" i="1"/>
  <c r="E931" i="1"/>
  <c r="E927" i="1"/>
  <c r="E923" i="1"/>
  <c r="E919" i="1"/>
  <c r="E915" i="1"/>
  <c r="E911" i="1"/>
  <c r="E907" i="1"/>
  <c r="E903" i="1"/>
  <c r="E899" i="1"/>
  <c r="E895" i="1"/>
  <c r="E891" i="1"/>
  <c r="E887" i="1"/>
  <c r="E883" i="1"/>
  <c r="E879" i="1"/>
  <c r="E875" i="1"/>
  <c r="E871" i="1"/>
  <c r="E867" i="1"/>
  <c r="E863" i="1"/>
  <c r="E859" i="1"/>
  <c r="E855" i="1"/>
  <c r="E851" i="1"/>
  <c r="E847" i="1"/>
  <c r="E843" i="1"/>
  <c r="E839" i="1"/>
  <c r="E835" i="1"/>
  <c r="E831" i="1"/>
  <c r="E827" i="1"/>
  <c r="E823" i="1"/>
  <c r="E819" i="1"/>
  <c r="E815" i="1"/>
  <c r="E811" i="1"/>
  <c r="E807" i="1"/>
  <c r="E803" i="1"/>
  <c r="E799" i="1"/>
  <c r="E795" i="1"/>
  <c r="E791" i="1"/>
  <c r="E787" i="1"/>
  <c r="E783" i="1"/>
  <c r="E779" i="1"/>
  <c r="E775" i="1"/>
  <c r="E771" i="1"/>
  <c r="E767" i="1"/>
  <c r="E763" i="1"/>
  <c r="E759" i="1"/>
  <c r="E755" i="1"/>
  <c r="E751" i="1"/>
  <c r="E747" i="1"/>
  <c r="E743" i="1"/>
  <c r="E739" i="1"/>
  <c r="E735" i="1"/>
  <c r="E731" i="1"/>
  <c r="E727" i="1"/>
  <c r="E723" i="1"/>
  <c r="E719" i="1"/>
  <c r="E715" i="1"/>
  <c r="E711" i="1"/>
  <c r="E707" i="1"/>
  <c r="E703" i="1"/>
  <c r="E699" i="1"/>
  <c r="E695" i="1"/>
  <c r="E691" i="1"/>
  <c r="E687" i="1"/>
  <c r="E683" i="1"/>
  <c r="E679" i="1"/>
  <c r="E675" i="1"/>
  <c r="E671" i="1"/>
  <c r="E667" i="1"/>
  <c r="E663" i="1"/>
  <c r="E659" i="1"/>
  <c r="E655" i="1"/>
  <c r="E651" i="1"/>
  <c r="E647" i="1"/>
  <c r="E643" i="1"/>
  <c r="E639" i="1"/>
  <c r="E635" i="1"/>
  <c r="E631" i="1"/>
  <c r="E627" i="1"/>
  <c r="E623" i="1"/>
  <c r="E619" i="1"/>
  <c r="E958" i="1"/>
  <c r="E954" i="1"/>
  <c r="E950" i="1"/>
  <c r="E946" i="1"/>
  <c r="E942" i="1"/>
  <c r="E938" i="1"/>
  <c r="E934" i="1"/>
  <c r="E930" i="1"/>
  <c r="E926" i="1"/>
  <c r="E922" i="1"/>
  <c r="E918" i="1"/>
  <c r="E914" i="1"/>
  <c r="E910" i="1"/>
  <c r="E906" i="1"/>
  <c r="E902" i="1"/>
  <c r="E898" i="1"/>
  <c r="E894" i="1"/>
  <c r="E890" i="1"/>
  <c r="E886" i="1"/>
  <c r="E882" i="1"/>
  <c r="E878" i="1"/>
  <c r="E874" i="1"/>
  <c r="E870" i="1"/>
  <c r="E866" i="1"/>
  <c r="E862" i="1"/>
  <c r="E858" i="1"/>
  <c r="E854" i="1"/>
  <c r="E850" i="1"/>
  <c r="E846" i="1"/>
  <c r="E842" i="1"/>
  <c r="E838" i="1"/>
  <c r="E834" i="1"/>
  <c r="E830" i="1"/>
  <c r="E826" i="1"/>
  <c r="E822" i="1"/>
  <c r="E818" i="1"/>
  <c r="E814" i="1"/>
  <c r="E810" i="1"/>
  <c r="E806" i="1"/>
  <c r="E802" i="1"/>
  <c r="E798" i="1"/>
  <c r="E794" i="1"/>
  <c r="E790" i="1"/>
  <c r="E786" i="1"/>
  <c r="E782" i="1"/>
  <c r="E778" i="1"/>
  <c r="E774" i="1"/>
  <c r="E770" i="1"/>
  <c r="E766" i="1"/>
  <c r="E762" i="1"/>
  <c r="E758" i="1"/>
  <c r="E754" i="1"/>
  <c r="E750" i="1"/>
  <c r="E746" i="1"/>
  <c r="E742" i="1"/>
  <c r="E738" i="1"/>
  <c r="E734" i="1"/>
  <c r="E730" i="1"/>
  <c r="E726" i="1"/>
  <c r="E722" i="1"/>
  <c r="E718" i="1"/>
  <c r="E714" i="1"/>
  <c r="E710" i="1"/>
  <c r="E706" i="1"/>
  <c r="E702" i="1"/>
  <c r="E698" i="1"/>
  <c r="E694" i="1"/>
  <c r="E690" i="1"/>
  <c r="E686" i="1"/>
  <c r="E682" i="1"/>
  <c r="E678" i="1"/>
  <c r="E674" i="1"/>
  <c r="E670" i="1"/>
  <c r="E666" i="1"/>
  <c r="E662" i="1"/>
  <c r="E658" i="1"/>
  <c r="E654" i="1"/>
  <c r="E650" i="1"/>
  <c r="E646" i="1"/>
  <c r="E642" i="1"/>
  <c r="E638" i="1"/>
  <c r="E634" i="1"/>
  <c r="E630" i="1"/>
  <c r="E626" i="1"/>
  <c r="E622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33" i="1"/>
  <c r="E729" i="1"/>
  <c r="E725" i="1"/>
  <c r="E721" i="1"/>
  <c r="E717" i="1"/>
  <c r="E713" i="1"/>
  <c r="E709" i="1"/>
  <c r="E705" i="1"/>
  <c r="E701" i="1"/>
  <c r="E697" i="1"/>
  <c r="E693" i="1"/>
  <c r="E689" i="1"/>
  <c r="E685" i="1"/>
  <c r="E681" i="1"/>
  <c r="E677" i="1"/>
  <c r="E673" i="1"/>
  <c r="E669" i="1"/>
  <c r="E665" i="1"/>
  <c r="E661" i="1"/>
  <c r="E657" i="1"/>
  <c r="E653" i="1"/>
  <c r="E649" i="1"/>
  <c r="E645" i="1"/>
  <c r="E641" i="1"/>
  <c r="E637" i="1"/>
  <c r="E633" i="1"/>
  <c r="E629" i="1"/>
  <c r="E625" i="1"/>
  <c r="E621" i="1"/>
  <c r="E956" i="1"/>
  <c r="E952" i="1"/>
  <c r="E948" i="1"/>
  <c r="E944" i="1"/>
  <c r="E940" i="1"/>
  <c r="E936" i="1"/>
  <c r="E932" i="1"/>
  <c r="E928" i="1"/>
  <c r="E924" i="1"/>
  <c r="E920" i="1"/>
  <c r="E916" i="1"/>
  <c r="E912" i="1"/>
  <c r="E908" i="1"/>
  <c r="E904" i="1"/>
  <c r="E900" i="1"/>
  <c r="E896" i="1"/>
  <c r="E892" i="1"/>
  <c r="E888" i="1"/>
  <c r="E884" i="1"/>
  <c r="E880" i="1"/>
  <c r="E876" i="1"/>
  <c r="E872" i="1"/>
  <c r="E868" i="1"/>
  <c r="E864" i="1"/>
  <c r="E860" i="1"/>
  <c r="E856" i="1"/>
  <c r="E852" i="1"/>
  <c r="E848" i="1"/>
  <c r="E844" i="1"/>
  <c r="E840" i="1"/>
  <c r="E836" i="1"/>
  <c r="E832" i="1"/>
  <c r="E828" i="1"/>
  <c r="E824" i="1"/>
  <c r="E820" i="1"/>
  <c r="E816" i="1"/>
  <c r="E812" i="1"/>
  <c r="E808" i="1"/>
  <c r="E804" i="1"/>
  <c r="E800" i="1"/>
  <c r="E796" i="1"/>
  <c r="E792" i="1"/>
  <c r="E788" i="1"/>
  <c r="E784" i="1"/>
  <c r="E780" i="1"/>
  <c r="E776" i="1"/>
  <c r="E772" i="1"/>
  <c r="E768" i="1"/>
  <c r="E764" i="1"/>
  <c r="E760" i="1"/>
  <c r="E756" i="1"/>
  <c r="E752" i="1"/>
  <c r="E748" i="1"/>
  <c r="E744" i="1"/>
  <c r="E740" i="1"/>
  <c r="E736" i="1"/>
  <c r="E732" i="1"/>
  <c r="E728" i="1"/>
  <c r="E724" i="1"/>
  <c r="E720" i="1"/>
  <c r="E716" i="1"/>
  <c r="E712" i="1"/>
  <c r="E708" i="1"/>
  <c r="E704" i="1"/>
  <c r="E700" i="1"/>
  <c r="E696" i="1"/>
  <c r="E692" i="1"/>
  <c r="E688" i="1"/>
  <c r="E684" i="1"/>
  <c r="E680" i="1"/>
  <c r="E676" i="1"/>
  <c r="E672" i="1"/>
  <c r="E668" i="1"/>
  <c r="E664" i="1"/>
  <c r="E660" i="1"/>
  <c r="E656" i="1"/>
  <c r="E652" i="1"/>
  <c r="E616" i="1"/>
  <c r="E612" i="1"/>
  <c r="E608" i="1"/>
  <c r="E604" i="1"/>
  <c r="E600" i="1"/>
  <c r="E596" i="1"/>
  <c r="E592" i="1"/>
  <c r="E588" i="1"/>
  <c r="E584" i="1"/>
  <c r="E580" i="1"/>
  <c r="E576" i="1"/>
  <c r="E572" i="1"/>
  <c r="E568" i="1"/>
  <c r="E564" i="1"/>
  <c r="E560" i="1"/>
  <c r="E556" i="1"/>
  <c r="E552" i="1"/>
  <c r="E548" i="1"/>
  <c r="E544" i="1"/>
  <c r="E540" i="1"/>
  <c r="E536" i="1"/>
  <c r="E532" i="1"/>
  <c r="E528" i="1"/>
  <c r="E524" i="1"/>
  <c r="E520" i="1"/>
  <c r="E516" i="1"/>
  <c r="E512" i="1"/>
  <c r="E508" i="1"/>
  <c r="E504" i="1"/>
  <c r="E500" i="1"/>
  <c r="E496" i="1"/>
  <c r="E492" i="1"/>
  <c r="E488" i="1"/>
  <c r="E484" i="1"/>
  <c r="E480" i="1"/>
  <c r="E476" i="1"/>
  <c r="E472" i="1"/>
  <c r="E468" i="1"/>
  <c r="E464" i="1"/>
  <c r="E460" i="1"/>
  <c r="E456" i="1"/>
  <c r="E452" i="1"/>
  <c r="E448" i="1"/>
  <c r="E444" i="1"/>
  <c r="E440" i="1"/>
  <c r="E436" i="1"/>
  <c r="E432" i="1"/>
  <c r="E428" i="1"/>
  <c r="E424" i="1"/>
  <c r="E420" i="1"/>
  <c r="E416" i="1"/>
  <c r="E412" i="1"/>
  <c r="E408" i="1"/>
  <c r="E404" i="1"/>
  <c r="E400" i="1"/>
  <c r="E396" i="1"/>
  <c r="E392" i="1"/>
  <c r="E388" i="1"/>
  <c r="E384" i="1"/>
  <c r="E380" i="1"/>
  <c r="E376" i="1"/>
  <c r="E372" i="1"/>
  <c r="E368" i="1"/>
  <c r="E364" i="1"/>
  <c r="E360" i="1"/>
  <c r="E356" i="1"/>
  <c r="E352" i="1"/>
  <c r="E348" i="1"/>
  <c r="E344" i="1"/>
  <c r="E340" i="1"/>
  <c r="E336" i="1"/>
  <c r="E332" i="1"/>
  <c r="E328" i="1"/>
  <c r="E324" i="1"/>
  <c r="E320" i="1"/>
  <c r="E316" i="1"/>
  <c r="E312" i="1"/>
  <c r="E308" i="1"/>
  <c r="E304" i="1"/>
  <c r="E300" i="1"/>
  <c r="E296" i="1"/>
  <c r="E618" i="1"/>
  <c r="E614" i="1"/>
  <c r="E610" i="1"/>
  <c r="E606" i="1"/>
  <c r="E602" i="1"/>
  <c r="E598" i="1"/>
  <c r="E594" i="1"/>
  <c r="E590" i="1"/>
  <c r="E586" i="1"/>
  <c r="E582" i="1"/>
  <c r="E578" i="1"/>
  <c r="E574" i="1"/>
  <c r="E570" i="1"/>
  <c r="E566" i="1"/>
  <c r="E562" i="1"/>
  <c r="E558" i="1"/>
  <c r="E554" i="1"/>
  <c r="E550" i="1"/>
  <c r="E546" i="1"/>
  <c r="E542" i="1"/>
  <c r="E538" i="1"/>
  <c r="E534" i="1"/>
  <c r="E530" i="1"/>
  <c r="E526" i="1"/>
  <c r="E522" i="1"/>
  <c r="E518" i="1"/>
  <c r="E514" i="1"/>
  <c r="E510" i="1"/>
  <c r="E506" i="1"/>
  <c r="E502" i="1"/>
  <c r="E498" i="1"/>
  <c r="E494" i="1"/>
  <c r="E490" i="1"/>
  <c r="E486" i="1"/>
  <c r="E482" i="1"/>
  <c r="E478" i="1"/>
  <c r="E474" i="1"/>
  <c r="E470" i="1"/>
  <c r="E466" i="1"/>
  <c r="E462" i="1"/>
  <c r="E458" i="1"/>
  <c r="E454" i="1"/>
  <c r="E450" i="1"/>
  <c r="E446" i="1"/>
  <c r="E442" i="1"/>
  <c r="E438" i="1"/>
  <c r="E434" i="1"/>
  <c r="E430" i="1"/>
  <c r="E426" i="1"/>
  <c r="E422" i="1"/>
  <c r="E418" i="1"/>
  <c r="E414" i="1"/>
  <c r="E410" i="1"/>
  <c r="E406" i="1"/>
  <c r="E402" i="1"/>
  <c r="E398" i="1"/>
  <c r="E394" i="1"/>
  <c r="E390" i="1"/>
  <c r="E386" i="1"/>
  <c r="E382" i="1"/>
  <c r="E378" i="1"/>
  <c r="E374" i="1"/>
  <c r="E370" i="1"/>
  <c r="E366" i="1"/>
  <c r="E362" i="1"/>
  <c r="E358" i="1"/>
  <c r="E354" i="1"/>
  <c r="E350" i="1"/>
  <c r="E346" i="1"/>
  <c r="E342" i="1"/>
  <c r="E338" i="1"/>
  <c r="E334" i="1"/>
  <c r="E330" i="1"/>
  <c r="E326" i="1"/>
  <c r="E322" i="1"/>
  <c r="E318" i="1"/>
  <c r="E314" i="1"/>
  <c r="E310" i="1"/>
  <c r="E306" i="1"/>
  <c r="E302" i="1"/>
  <c r="E298" i="1"/>
  <c r="E294" i="1"/>
  <c r="E648" i="1"/>
  <c r="E628" i="1"/>
  <c r="E585" i="1"/>
  <c r="E561" i="1"/>
  <c r="E537" i="1"/>
  <c r="E513" i="1"/>
  <c r="E489" i="1"/>
  <c r="E465" i="1"/>
  <c r="E441" i="1"/>
  <c r="E417" i="1"/>
  <c r="E393" i="1"/>
  <c r="E369" i="1"/>
  <c r="E345" i="1"/>
  <c r="E321" i="1"/>
  <c r="E632" i="1"/>
  <c r="E601" i="1"/>
  <c r="E591" i="1"/>
  <c r="E581" i="1"/>
  <c r="E525" i="1"/>
  <c r="E505" i="1"/>
  <c r="E495" i="1"/>
  <c r="E485" i="1"/>
  <c r="E429" i="1"/>
  <c r="E644" i="1"/>
  <c r="E575" i="1"/>
  <c r="E555" i="1"/>
  <c r="E545" i="1"/>
  <c r="E535" i="1"/>
  <c r="E515" i="1"/>
  <c r="E479" i="1"/>
  <c r="E459" i="1"/>
  <c r="E449" i="1"/>
  <c r="E439" i="1"/>
  <c r="E419" i="1"/>
  <c r="E383" i="1"/>
  <c r="E363" i="1"/>
  <c r="E353" i="1"/>
  <c r="E343" i="1"/>
  <c r="E323" i="1"/>
  <c r="E303" i="1"/>
  <c r="E624" i="1"/>
  <c r="E617" i="1"/>
  <c r="E611" i="1"/>
  <c r="E595" i="1"/>
  <c r="E565" i="1"/>
  <c r="E499" i="1"/>
  <c r="E469" i="1"/>
  <c r="E403" i="1"/>
  <c r="E373" i="1"/>
  <c r="E293" i="1"/>
  <c r="E289" i="1"/>
  <c r="E285" i="1"/>
  <c r="E281" i="1"/>
  <c r="E277" i="1"/>
  <c r="E273" i="1"/>
  <c r="E269" i="1"/>
  <c r="E265" i="1"/>
  <c r="E261" i="1"/>
  <c r="E257" i="1"/>
  <c r="E253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201" i="1"/>
  <c r="E197" i="1"/>
  <c r="E193" i="1"/>
  <c r="E189" i="1"/>
  <c r="E185" i="1"/>
  <c r="E181" i="1"/>
  <c r="E177" i="1"/>
  <c r="E173" i="1"/>
  <c r="E169" i="1"/>
  <c r="E165" i="1"/>
  <c r="E161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636" i="1"/>
  <c r="E605" i="1"/>
  <c r="E549" i="1"/>
  <c r="E529" i="1"/>
  <c r="E519" i="1"/>
  <c r="E509" i="1"/>
  <c r="E453" i="1"/>
  <c r="E433" i="1"/>
  <c r="E423" i="1"/>
  <c r="E413" i="1"/>
  <c r="E599" i="1"/>
  <c r="E579" i="1"/>
  <c r="E569" i="1"/>
  <c r="E559" i="1"/>
  <c r="E539" i="1"/>
  <c r="E503" i="1"/>
  <c r="E483" i="1"/>
  <c r="E473" i="1"/>
  <c r="E463" i="1"/>
  <c r="E443" i="1"/>
  <c r="E407" i="1"/>
  <c r="E387" i="1"/>
  <c r="E377" i="1"/>
  <c r="E367" i="1"/>
  <c r="E347" i="1"/>
  <c r="E297" i="1"/>
  <c r="E615" i="1"/>
  <c r="E609" i="1"/>
  <c r="E573" i="1"/>
  <c r="E553" i="1"/>
  <c r="E543" i="1"/>
  <c r="E533" i="1"/>
  <c r="E477" i="1"/>
  <c r="E457" i="1"/>
  <c r="E447" i="1"/>
  <c r="E437" i="1"/>
  <c r="E603" i="1"/>
  <c r="E593" i="1"/>
  <c r="E583" i="1"/>
  <c r="E563" i="1"/>
  <c r="E527" i="1"/>
  <c r="E507" i="1"/>
  <c r="E497" i="1"/>
  <c r="E487" i="1"/>
  <c r="E467" i="1"/>
  <c r="E431" i="1"/>
  <c r="E411" i="1"/>
  <c r="E401" i="1"/>
  <c r="E391" i="1"/>
  <c r="E371" i="1"/>
  <c r="E335" i="1"/>
  <c r="E315" i="1"/>
  <c r="E130" i="1"/>
  <c r="E143" i="1"/>
  <c r="E156" i="1"/>
  <c r="E178" i="1"/>
  <c r="E191" i="1"/>
  <c r="E204" i="1"/>
  <c r="E226" i="1"/>
  <c r="E246" i="1"/>
  <c r="E258" i="1"/>
  <c r="E270" i="1"/>
  <c r="E282" i="1"/>
  <c r="E305" i="1"/>
  <c r="E311" i="1"/>
  <c r="E359" i="1"/>
  <c r="E365" i="1"/>
  <c r="E397" i="1"/>
  <c r="E557" i="1"/>
  <c r="E613" i="1"/>
  <c r="E640" i="1"/>
  <c r="E126" i="1"/>
  <c r="E139" i="1"/>
  <c r="E152" i="1"/>
  <c r="E174" i="1"/>
  <c r="E187" i="1"/>
  <c r="E200" i="1"/>
  <c r="E222" i="1"/>
  <c r="E235" i="1"/>
  <c r="E240" i="1"/>
  <c r="E252" i="1"/>
  <c r="E264" i="1"/>
  <c r="E276" i="1"/>
  <c r="E288" i="1"/>
  <c r="E405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22" i="1"/>
  <c r="E135" i="1"/>
  <c r="E148" i="1"/>
  <c r="E170" i="1"/>
  <c r="E183" i="1"/>
  <c r="E196" i="1"/>
  <c r="E218" i="1"/>
  <c r="E231" i="1"/>
  <c r="E295" i="1"/>
  <c r="E337" i="1"/>
  <c r="E349" i="1"/>
  <c r="E379" i="1"/>
  <c r="E427" i="1"/>
  <c r="E435" i="1"/>
  <c r="E589" i="1"/>
  <c r="E597" i="1"/>
  <c r="E327" i="1" l="1"/>
  <c r="E128" i="1"/>
  <c r="E192" i="1"/>
  <c r="E224" i="1"/>
  <c r="E255" i="1"/>
  <c r="E567" i="1"/>
  <c r="E118" i="1"/>
  <c r="E150" i="1"/>
  <c r="E214" i="1"/>
  <c r="E319" i="1"/>
  <c r="E351" i="1"/>
  <c r="E385" i="1"/>
  <c r="E523" i="1"/>
  <c r="E236" i="1"/>
  <c r="E267" i="1"/>
  <c r="E163" i="1"/>
  <c r="E247" i="1"/>
  <c r="E409" i="1"/>
  <c r="E131" i="1"/>
  <c r="E227" i="1"/>
  <c r="E279" i="1"/>
  <c r="E331" i="1"/>
  <c r="E399" i="1"/>
  <c r="E259" i="1"/>
  <c r="E301" i="1"/>
  <c r="E481" i="1"/>
  <c r="E144" i="1"/>
  <c r="E176" i="1"/>
  <c r="E291" i="1"/>
  <c r="E313" i="1"/>
  <c r="E166" i="1"/>
  <c r="E198" i="1"/>
  <c r="E271" i="1"/>
  <c r="E551" i="1"/>
  <c r="E325" i="1"/>
  <c r="E381" i="1"/>
  <c r="E461" i="1"/>
  <c r="E115" i="1"/>
  <c r="E211" i="1"/>
  <c r="E283" i="1"/>
</calcChain>
</file>

<file path=xl/sharedStrings.xml><?xml version="1.0" encoding="utf-8"?>
<sst xmlns="http://schemas.openxmlformats.org/spreadsheetml/2006/main" count="23749" uniqueCount="8959">
  <si>
    <t>STT</t>
  </si>
  <si>
    <t>Mã</t>
  </si>
  <si>
    <t>Tên đối tượng</t>
  </si>
  <si>
    <t>LINK</t>
  </si>
  <si>
    <t>V20110</t>
  </si>
  <si>
    <t>A&amp;D Company, Limited</t>
  </si>
  <si>
    <t>V20098</t>
  </si>
  <si>
    <t>AIHO FOOD MACHINE (SHANGHAI) CO.LTD</t>
  </si>
  <si>
    <t>V20021</t>
  </si>
  <si>
    <t>Alpha Kogyo K.K</t>
  </si>
  <si>
    <t>V20005</t>
  </si>
  <si>
    <t>Alpha Technologies Japan LLC</t>
  </si>
  <si>
    <t>V20135</t>
  </si>
  <si>
    <t>Alpha Technologies Services, LLC</t>
  </si>
  <si>
    <t>V20084</t>
  </si>
  <si>
    <t>Amano Thai International Co.,Ltd</t>
  </si>
  <si>
    <t>V20044</t>
  </si>
  <si>
    <t>AOKI Co.,Ltd</t>
  </si>
  <si>
    <t>V20053</t>
  </si>
  <si>
    <t>Asahi Kasei Chemicals Corporation</t>
  </si>
  <si>
    <t>V20122</t>
  </si>
  <si>
    <t>ASAHI KASEI CORPORATION</t>
  </si>
  <si>
    <t>V20121</t>
  </si>
  <si>
    <t>Balai Besar Bahan Dan Barang Teknik</t>
  </si>
  <si>
    <t>V10262</t>
  </si>
  <si>
    <t>Ban khách hàng Tổ chức - Doanh nghiệp- CN Tổng công ty Dịch vụ Viễn thông</t>
  </si>
  <si>
    <t>V10243</t>
  </si>
  <si>
    <t>Báo Hải Phòng</t>
  </si>
  <si>
    <t>V20055</t>
  </si>
  <si>
    <t>Bekaert (Huizhou) Steel Cord Co.,Ltd</t>
  </si>
  <si>
    <t>V10263</t>
  </si>
  <si>
    <t>Bệnh viện Đại học Y Hải Phòng</t>
  </si>
  <si>
    <t>353600</t>
  </si>
  <si>
    <t>Bridgestone (Hui Zhou) Tire Co., ltd</t>
  </si>
  <si>
    <t>355000</t>
  </si>
  <si>
    <t>BRIDGESTONE ASIA PACIFIC PTE LTD</t>
  </si>
  <si>
    <t>Bridgestone Asia Pacific Technology Center Co., Ltd.</t>
  </si>
  <si>
    <t>100000</t>
  </si>
  <si>
    <t>Bridgestone Corporation</t>
  </si>
  <si>
    <t>316800</t>
  </si>
  <si>
    <t>Bridgestone Engineered Products of Asia Sdn. Bhd.</t>
  </si>
  <si>
    <t>350700</t>
  </si>
  <si>
    <t>Bridgestone India Private Limited</t>
  </si>
  <si>
    <t>971081</t>
  </si>
  <si>
    <t>Bridgestone Logistics Co., Ltd</t>
  </si>
  <si>
    <t>520200</t>
  </si>
  <si>
    <t>Bridgestone Plant Engineering Co.,LTD</t>
  </si>
  <si>
    <t>101463</t>
  </si>
  <si>
    <t>Bridgestone Singapore Pte Ltd.</t>
  </si>
  <si>
    <t>310300</t>
  </si>
  <si>
    <t>Bridgestone Sports Co., Ltd</t>
  </si>
  <si>
    <t>350300</t>
  </si>
  <si>
    <t>Bridgestone Taiwan Co., Ltd</t>
  </si>
  <si>
    <t>351700</t>
  </si>
  <si>
    <t>Bridgestone Tire Manufacturing Thailand Co.,Ltd</t>
  </si>
  <si>
    <t>353400</t>
  </si>
  <si>
    <t>Bridgestone(Wuxi) Tire Co.,Ltd</t>
  </si>
  <si>
    <t>V20026</t>
  </si>
  <si>
    <t>BST Elastomers Co.,Ltd</t>
  </si>
  <si>
    <t>V10180</t>
  </si>
  <si>
    <t>Công ty Nippon Express Co.,LTD-Thầu chính thực hiện gói thầu lắp đặt TB cho nhà máy sx lốp xe Bridgestone</t>
  </si>
  <si>
    <t>V20070</t>
  </si>
  <si>
    <t>CG Engineering Ltd.,Part</t>
  </si>
  <si>
    <t>V10289</t>
  </si>
  <si>
    <t>Chi nhánh công ty cổ phần bệnh viện Tâm Phúc - Trung tâm dịch vụ y tế Hải Phòng</t>
  </si>
  <si>
    <t>V10016</t>
  </si>
  <si>
    <t>Công ty cổ phần Nippon Sanso Việt Nam- Chi nhánh Hà Nội</t>
  </si>
  <si>
    <t>V10352</t>
  </si>
  <si>
    <t>Chi nhánh công ty TNHH Bosch Việt Nam tại thành phố Hồ Chí Minh</t>
  </si>
  <si>
    <t>V10089</t>
  </si>
  <si>
    <t>Chi nhánh Công Ty TNHH Công Nghệ Và Thiết Bị Hàn tại Hải Phòng</t>
  </si>
  <si>
    <t>V10373</t>
  </si>
  <si>
    <t>Chi nhánh công ty TNHH MTV dịch vụ lữ hành Saigontourist tại Hải Phòng</t>
  </si>
  <si>
    <t>V10359</t>
  </si>
  <si>
    <t>Chi nhánh Công ty TNHH MTV Điện Lực Hải Phòng - Xí Nghiệp Quản lý lưới điện Cao</t>
  </si>
  <si>
    <t>V10217</t>
  </si>
  <si>
    <t>Chi nhánh Công ty TNHH MTV du lịch SMI-VN tại Hà nội</t>
  </si>
  <si>
    <t>V10326</t>
  </si>
  <si>
    <t>CHI NHÁNH CÔNG TY TNHH SAGAWA EXPRESS VIỆT NAM TẠI HÀ NỘI</t>
  </si>
  <si>
    <t>V10228</t>
  </si>
  <si>
    <t>Chi nhánh công ty TNHH thiết bị công nghiệp N.A.G.O.Y.A (Thành phố Hà Nội)</t>
  </si>
  <si>
    <t>V10205</t>
  </si>
  <si>
    <t>Chi nhánh Công ty TNHH thời trang và mỹ phẩm Âu Châu tại Hải Phòng</t>
  </si>
  <si>
    <t>V10123</t>
  </si>
  <si>
    <t>Chi nhánh công ty TNHH thương mại và dịch vụ Song Bình-Trung tâm chuyển phát nhanh phía Bắc</t>
  </si>
  <si>
    <t>V10329</t>
  </si>
  <si>
    <t>Chi nhánh Công ty TNHH Valqua Việt Nam Tại Hà Nội</t>
  </si>
  <si>
    <t>V10354</t>
  </si>
  <si>
    <t>Chi nhánh Nagashima Ohno &amp; Tsunematsu tại Hà Nội</t>
  </si>
  <si>
    <t>V20075</t>
  </si>
  <si>
    <t>China Bekaert Steel Cord Co.,Ltd</t>
  </si>
  <si>
    <t>V20136</t>
  </si>
  <si>
    <t>China Inspection Co.,Ltd</t>
  </si>
  <si>
    <t>V10147</t>
  </si>
  <si>
    <t>CN Công ty Cổ phần CPN Quốc Tế Hợp Nhất tại Hà Nội</t>
  </si>
  <si>
    <t>V10232</t>
  </si>
  <si>
    <t>V10179</t>
  </si>
  <si>
    <t>CN Công ty LD TNHH Nippon Express (Việt Nam) tại Hà Nội</t>
  </si>
  <si>
    <t>V10185</t>
  </si>
  <si>
    <t>CN Công ty TNHH MTV Điện lực Hải Phòng - Điện lực Hải An</t>
  </si>
  <si>
    <t>V10327</t>
  </si>
  <si>
    <t>CN Công ty TNHH SG Sagawa Việt Nam tại Hà Nội</t>
  </si>
  <si>
    <t>V10008</t>
  </si>
  <si>
    <t>V20067</t>
  </si>
  <si>
    <t>Comm Bangkok Co.,Ltd</t>
  </si>
  <si>
    <t>V10012</t>
  </si>
  <si>
    <t>Công ty Cổ phần Bắc Hải Thành</t>
  </si>
  <si>
    <t>V10166</t>
  </si>
  <si>
    <t>Công Ty Cổ Phần Cây Xanh Hải Phòng</t>
  </si>
  <si>
    <t>V10132</t>
  </si>
  <si>
    <t>Công ty cổ phần cơ điện, năng lượng và môi trường Alpha</t>
  </si>
  <si>
    <t>V10039</t>
  </si>
  <si>
    <t>Công ty cổ phần cơ khí tháng Tám</t>
  </si>
  <si>
    <t>V10148</t>
  </si>
  <si>
    <t>Công ty cổ phần cơ khí thương mại Hoàng Minh</t>
  </si>
  <si>
    <t>V10174</t>
  </si>
  <si>
    <t>Công ty cổ phần cơ khí và xây dựng Việt Nhật</t>
  </si>
  <si>
    <t>V10084</t>
  </si>
  <si>
    <t>Công Ty Cổ Phần Công Nghệ Điều Hòa Sao Việt</t>
  </si>
  <si>
    <t>V10188</t>
  </si>
  <si>
    <t>Công ty cổ phần công nghệ Minh Hòa</t>
  </si>
  <si>
    <t>V10198</t>
  </si>
  <si>
    <t>Công ty cổ phần công nghệ Quang Trung - QTC</t>
  </si>
  <si>
    <t>V10095</t>
  </si>
  <si>
    <t>Công ty Cổ phần Công nghệ T.M.T</t>
  </si>
  <si>
    <t>V10071</t>
  </si>
  <si>
    <t>Công ty Cổ phần công nghệ thiết bị Việt Nam</t>
  </si>
  <si>
    <t>V10163</t>
  </si>
  <si>
    <t>Công ty cổ phần công nghệ và giải pháp Hà Nội</t>
  </si>
  <si>
    <t>V10087</t>
  </si>
  <si>
    <t>Công ty cổ phần công nghệ và thương mại SYSTECH</t>
  </si>
  <si>
    <t>V10100</t>
  </si>
  <si>
    <t>Công Ty Cổ Phần Đ&amp;T</t>
  </si>
  <si>
    <t>V10110</t>
  </si>
  <si>
    <t>Công ty cổ phần Đăng Phong</t>
  </si>
  <si>
    <t>V10336</t>
  </si>
  <si>
    <t>Công ty Cổ Phần Đầu Tư Dịch Vụ Và Thương Mại Việt Đức</t>
  </si>
  <si>
    <t>V10178</t>
  </si>
  <si>
    <t>Công ty cổ phần đầu tư thiết bị điện chiếu sáng HBH</t>
  </si>
  <si>
    <t>V10216</t>
  </si>
  <si>
    <t>Công ty cổ phần đầu tư thương mại DG</t>
  </si>
  <si>
    <t>V10261</t>
  </si>
  <si>
    <t>Công ty cổ phần dịch vụ an toàn dầu khí Việt Nam</t>
  </si>
  <si>
    <t>V10350</t>
  </si>
  <si>
    <t>Công ty cổ phần dịch vụ bảo vệ Alsok Việt Nam</t>
  </si>
  <si>
    <t>V10022</t>
  </si>
  <si>
    <t>Công ty Cổ phần Dịch vụ Kỹ thuật Bảo An</t>
  </si>
  <si>
    <t>V10355</t>
  </si>
  <si>
    <t>Công ty cổ phần dịch vụ thương mại tổng hợp Vincommerce</t>
  </si>
  <si>
    <t>V10146</t>
  </si>
  <si>
    <t>Công ty cổ phần Điện Công nghiệp tàu thủy Thái Bình Dương</t>
  </si>
  <si>
    <t>V10201</t>
  </si>
  <si>
    <t>Công ty cổ phần điện tử Techmaster</t>
  </si>
  <si>
    <t>V10120</t>
  </si>
  <si>
    <t>Công ty Cổ phần Du lịch Khách sạn Hải Đăng</t>
  </si>
  <si>
    <t>V10277</t>
  </si>
  <si>
    <t>Công ty cổ phần EEI</t>
  </si>
  <si>
    <t>V10307</t>
  </si>
  <si>
    <t>Công ty Cổ phần Giải pháp Công nghệ Việt Nam</t>
  </si>
  <si>
    <t>V10125</t>
  </si>
  <si>
    <t>Công ty cổ phần giải pháp VNT Việt Nam</t>
  </si>
  <si>
    <t>V10312</t>
  </si>
  <si>
    <t>CÔNG TY CỔ PHẦN GIÁO DỤC VÀ ĐÀO TẠO QUỐC TẾ HÀNG HẢI</t>
  </si>
  <si>
    <t>V10270</t>
  </si>
  <si>
    <t>Công ty cổ phần Hoa Phượng</t>
  </si>
  <si>
    <t>V10340</t>
  </si>
  <si>
    <t>Công ty Cổ phần Hợp Nhất Quốc tế</t>
  </si>
  <si>
    <t>V10113</t>
  </si>
  <si>
    <t>Công ty cổ phần Hưng Phát container</t>
  </si>
  <si>
    <t>V10347</t>
  </si>
  <si>
    <t>Công ty cổ phần Kansai Việt Nam</t>
  </si>
  <si>
    <t>V10031</t>
  </si>
  <si>
    <t>Công ty Cổ Phần Khu Công nghiệp Đình Vũ</t>
  </si>
  <si>
    <t>V10314</t>
  </si>
  <si>
    <t>Công ty cổ phần KSMC Việt Nam</t>
  </si>
  <si>
    <t>V10152</t>
  </si>
  <si>
    <t>Công ty cổ phần kỹ thuật nền móng và công trình ngầm FECON</t>
  </si>
  <si>
    <t>V10155</t>
  </si>
  <si>
    <t>Công ty cổ phần kỹ thuật và thương mại thiết bị công nghiệp NTD</t>
  </si>
  <si>
    <t>V10242</t>
  </si>
  <si>
    <t>Công ty cổ phần Lawsoft</t>
  </si>
  <si>
    <t>V10239</t>
  </si>
  <si>
    <t>Công ty cổ phần may và in Sao đỏ</t>
  </si>
  <si>
    <t>V10164</t>
  </si>
  <si>
    <t>Công ty cổ phần máy và thiết bị tự động hóa Việt Nhật</t>
  </si>
  <si>
    <t>V10308</t>
  </si>
  <si>
    <t>Công Ty Cổ Phần Môi Trường Xanh</t>
  </si>
  <si>
    <t>V10131</t>
  </si>
  <si>
    <t>Công ty cổ phần Ngân Lợi</t>
  </si>
  <si>
    <t>V10001</t>
  </si>
  <si>
    <t>Công ty cổ phần nghiên cứu và phát triển Đông Giang Việt Nam</t>
  </si>
  <si>
    <t>V10290</t>
  </si>
  <si>
    <t>Công ty cổ phần nguồn nhân lực Siêu Việt-chi nhánh tại Hà Nội</t>
  </si>
  <si>
    <t>V10365</t>
  </si>
  <si>
    <t>Công ty cổ phần Phòng cháy chữa cháy Thăng Long</t>
  </si>
  <si>
    <t>V10038</t>
  </si>
  <si>
    <t>Công ty cổ phần quốc tế A.S.I.A</t>
  </si>
  <si>
    <t>V10171</t>
  </si>
  <si>
    <t>Công Ty Cổ Phần Quốc Tế ALO</t>
  </si>
  <si>
    <t>V10344</t>
  </si>
  <si>
    <t>Công ty cổ phần quốc tế MBA</t>
  </si>
  <si>
    <t>V10046</t>
  </si>
  <si>
    <t>Công ty Cổ phần quốc tế Telehouse Việt Nam</t>
  </si>
  <si>
    <t>V10107</t>
  </si>
  <si>
    <t>Công Ty Cổ Phần Sản Xuất Kết Cấu Phụ Trợ  Công Nghiệp Hải Phòng</t>
  </si>
  <si>
    <t>V10266</t>
  </si>
  <si>
    <t>Công Ty Cổ Phần Sản Xuất và Kinh Doanh Việt Đức</t>
  </si>
  <si>
    <t>V10111</t>
  </si>
  <si>
    <t>Công ty cổ phần sản xuất và thương mại Đăng Anh</t>
  </si>
  <si>
    <t>V10249</t>
  </si>
  <si>
    <t>Công ty cổ phần sản xuất và thương mại thiết bị Inox Bếp Việt</t>
  </si>
  <si>
    <t>V10349</t>
  </si>
  <si>
    <t>Công ty cổ phần Work Station</t>
  </si>
  <si>
    <t>V10291</t>
  </si>
  <si>
    <t>Công ty cổ phần Tecotec Group</t>
  </si>
  <si>
    <t>V10103</t>
  </si>
  <si>
    <t>Công ty Cổ Phần Thiết Bị - Vật Tư Khoa Học Kỹ Thuật &amp; Du Lịch Trung Sơn T.S.S.E</t>
  </si>
  <si>
    <t>V10145</t>
  </si>
  <si>
    <t>Công ty cổ phần thương mại dầu khí Hoàng Gia</t>
  </si>
  <si>
    <t>V10143</t>
  </si>
  <si>
    <t>Công ty cổ phần thương mại đầu tư công nghệ số Việt Nam</t>
  </si>
  <si>
    <t>V10265</t>
  </si>
  <si>
    <t>Công ty cổ phần thương mại Đông Hưng</t>
  </si>
  <si>
    <t>V10099</t>
  </si>
  <si>
    <t>Công ty Cổ phần Thương Mại Hướng Nhật</t>
  </si>
  <si>
    <t>V10253</t>
  </si>
  <si>
    <t>Công ty cổ phần thương mại sinh vật cảnh Cường Đức</t>
  </si>
  <si>
    <t>V10211</t>
  </si>
  <si>
    <t>Công ty Cổ phần Thương mại và Công nghệ TST Việt Nam</t>
  </si>
  <si>
    <t>V10093</t>
  </si>
  <si>
    <t>Công ty Cổ phần Thương mại và Công nghiệp Thùy Minh</t>
  </si>
  <si>
    <t>V10267</t>
  </si>
  <si>
    <t>Công ty cổ phần thương mại và dịch vụ dầu khí Hải An</t>
  </si>
  <si>
    <t>V10129</t>
  </si>
  <si>
    <t>Công ty cổ phần Thương mại và Dịch vụ GMAX</t>
  </si>
  <si>
    <t>V10061</t>
  </si>
  <si>
    <t>Công ty cổ phần thương mại và dịch vụ I.F.S.C</t>
  </si>
  <si>
    <t>V10236</t>
  </si>
  <si>
    <t>Công ty Cổ phần Thương mại và Dịch vụ KT Thành Đạt</t>
  </si>
  <si>
    <t>V10245</t>
  </si>
  <si>
    <t>Công Ty Cổ Phần Thương Mại Và Du Lịch Tầm Nhìn Việt</t>
  </si>
  <si>
    <t>V10274</t>
  </si>
  <si>
    <t>Công Ty Cổ Phần Thương Mại và Xây Lắp Điện Trường Phúc</t>
  </si>
  <si>
    <t>V10160</t>
  </si>
  <si>
    <t>Công ty cổ phần Trọng Việt Hưng</t>
  </si>
  <si>
    <t>V10169</t>
  </si>
  <si>
    <t>Công ty cổ phần tự động hóa Bách Khoa TNT</t>
  </si>
  <si>
    <t>V10324</t>
  </si>
  <si>
    <t>V10241</t>
  </si>
  <si>
    <t>Công ty Cổ phần Ứng dụng công nghệ &amp; CNC Việt Nam</t>
  </si>
  <si>
    <t>V10299</t>
  </si>
  <si>
    <t>Công ty cổ phần vật tư thiết bị văn hóa</t>
  </si>
  <si>
    <t>V10096</t>
  </si>
  <si>
    <t>Công ty cổ phần xăng dầu dầu khí PVOIL Hải Phòng</t>
  </si>
  <si>
    <t>V10128</t>
  </si>
  <si>
    <t>Công ty cổ phần xây dựng công trình Đặng Phúc</t>
  </si>
  <si>
    <t>V10196</t>
  </si>
  <si>
    <t>Công ty cổ phần xây dựng Keiten Việt Nam</t>
  </si>
  <si>
    <t>V10050</t>
  </si>
  <si>
    <t>Công ty cổ phần xây dựng và cơ khí Đông A</t>
  </si>
  <si>
    <t>V10244</t>
  </si>
  <si>
    <t>Công ty cổ phần xây dựng và dịch vụ môi trường Hải Sơn Trang</t>
  </si>
  <si>
    <t>V10034</t>
  </si>
  <si>
    <t>V10226</t>
  </si>
  <si>
    <t>Công ty CP công nghệ máy tính và kiến trúc Hà Nội</t>
  </si>
  <si>
    <t>V10048</t>
  </si>
  <si>
    <t>Công ty CP Đầu tư Tài chính và công nghệ DataTech</t>
  </si>
  <si>
    <t>V10079</t>
  </si>
  <si>
    <t>Công Ty CP Dịch Vụ Công nghiệp Wolfram</t>
  </si>
  <si>
    <t>V10318</t>
  </si>
  <si>
    <t>Công ty CP dịch vụ giáo dục và y tế Hà Vân</t>
  </si>
  <si>
    <t>V10197</t>
  </si>
  <si>
    <t>Công ty TNHH Thương mại Cát Sơn</t>
  </si>
  <si>
    <t>V10017</t>
  </si>
  <si>
    <t>Công ty cổ phần kinh doanh LPG Việt Nam</t>
  </si>
  <si>
    <t>V10072</t>
  </si>
  <si>
    <t>Công ty CP kỹ thuật và thương mại Nhật Việt</t>
  </si>
  <si>
    <t>V10004</t>
  </si>
  <si>
    <t>Công ty CP phần mềm Bravo</t>
  </si>
  <si>
    <t>V10108</t>
  </si>
  <si>
    <t>Công ty CP Sản xuất thương mại và Đầu tư Quang Lý</t>
  </si>
  <si>
    <t>V10051</t>
  </si>
  <si>
    <t>Công ty CP Tập đoàn IDC</t>
  </si>
  <si>
    <t>V10077</t>
  </si>
  <si>
    <t>Công ty CP Thương mại Châu Thanh</t>
  </si>
  <si>
    <t>V10202</t>
  </si>
  <si>
    <t>Công ty CP Thương mại Kỹ thuật Cường Phú Thịnh</t>
  </si>
  <si>
    <t>V10058</t>
  </si>
  <si>
    <t>Công ty CP Thương Mại và Dịch vụ Chuyển phát nhanh PCS</t>
  </si>
  <si>
    <t>V10187</t>
  </si>
  <si>
    <t>Công ty CP Thương mại và Kỹ thuật năng lượng Việt Nam</t>
  </si>
  <si>
    <t>V10364</t>
  </si>
  <si>
    <t>Công ty CP thương mại xây dựng và xuất nhập khẩu Duyên Hải</t>
  </si>
  <si>
    <t>V10065</t>
  </si>
  <si>
    <t>Công Ty CP TM Dầu Khí Phương Đông</t>
  </si>
  <si>
    <t>V10009</t>
  </si>
  <si>
    <t>V10018</t>
  </si>
  <si>
    <t>Công ty CP xây dựng thương mại dịch vụ Tú Anh</t>
  </si>
  <si>
    <t>V10186</t>
  </si>
  <si>
    <t>Công ty CP xây dựng và nội thất 3D</t>
  </si>
  <si>
    <t>V10322</t>
  </si>
  <si>
    <t>Công ty TNHH quốc tế Hồ Tây</t>
  </si>
  <si>
    <t>V10325</t>
  </si>
  <si>
    <t>Công ty TNHH Aimnext Việt Nam</t>
  </si>
  <si>
    <t>V10258</t>
  </si>
  <si>
    <t>Công ty TNHH Alpha Electric</t>
  </si>
  <si>
    <t>V10225</t>
  </si>
  <si>
    <t>Công ty TNHH ATLAS COPCO Việt Nam</t>
  </si>
  <si>
    <t>V10319</t>
  </si>
  <si>
    <t>Công ty TNHH Azbil Việt Nam</t>
  </si>
  <si>
    <t>V10366</t>
  </si>
  <si>
    <t>Công ty TNHH bảo dưỡng và dịch vụ kỹ thuật Năng lượng</t>
  </si>
  <si>
    <t>V10033</t>
  </si>
  <si>
    <t>V10254</t>
  </si>
  <si>
    <t>Công ty TNHH BSI Việt Nam</t>
  </si>
  <si>
    <t>V10136</t>
  </si>
  <si>
    <t>Công ty TNHH BX Bunka Việt Nam</t>
  </si>
  <si>
    <t>V10305</t>
  </si>
  <si>
    <t>Công ty TNHH Careerlink</t>
  </si>
  <si>
    <t>V10080</t>
  </si>
  <si>
    <t>Công ty TNHH Chuyển Phát Nhanh DHL-VNPT</t>
  </si>
  <si>
    <t>V10105</t>
  </si>
  <si>
    <t>Công ty TNHH cơ khí kỹ thuật chính xác Ánh Dương</t>
  </si>
  <si>
    <t>V10292</t>
  </si>
  <si>
    <t>CÔNG TY TNHH CƠ KHÍ NAM THIÊN</t>
  </si>
  <si>
    <t>V10075</t>
  </si>
  <si>
    <t>Công ty TNHH Cơ khí Ngọc Linh</t>
  </si>
  <si>
    <t>V10006</t>
  </si>
  <si>
    <t>Công ty TNHH Cơ khí RK</t>
  </si>
  <si>
    <t>V10140</t>
  </si>
  <si>
    <t>Công ty TNHH Cơ khí Thủy Đức Thịnh</t>
  </si>
  <si>
    <t>V10121</t>
  </si>
  <si>
    <t>Công ty TNHH Cơ khí và Thương mại Việt Đức</t>
  </si>
  <si>
    <t>V10069</t>
  </si>
  <si>
    <t>Công ty TNHH Cơ khí và Tự động hóa công nghiệp</t>
  </si>
  <si>
    <t>V10041</t>
  </si>
  <si>
    <t>Công ty TNHH Công nghệ cơ nhiệt điện và xây lắp</t>
  </si>
  <si>
    <t>V10117</t>
  </si>
  <si>
    <t>Công ty TNHH Công nghệ Giang Sơn Việt Nam</t>
  </si>
  <si>
    <t>V10091</t>
  </si>
  <si>
    <t>Công ty TNHH Công nghệ hóa chất và môi trường Vũ Hoàng</t>
  </si>
  <si>
    <t>V10054</t>
  </si>
  <si>
    <t>Công Ty TNHH Công nghệ ô tô  T&amp;S</t>
  </si>
  <si>
    <t>V10137</t>
  </si>
  <si>
    <t>Công ty TNHH công nghệ Phương Bắc</t>
  </si>
  <si>
    <t>V10032</t>
  </si>
  <si>
    <t>Công ty TNHH công nghệ và thương mại Hà Sơn</t>
  </si>
  <si>
    <t>V10218</t>
  </si>
  <si>
    <t>Công Ty TNHH Công Nghệ và Thương Mại ICD Việt Nam</t>
  </si>
  <si>
    <t>V10037</t>
  </si>
  <si>
    <t>Công ty TNHH Công nghiệp Hóa chất Inchemco</t>
  </si>
  <si>
    <t>V10209</t>
  </si>
  <si>
    <t>Công ty TNHH Công nghiệp Q</t>
  </si>
  <si>
    <t>V10021</t>
  </si>
  <si>
    <t>Công ty TNHH công nghiệp Techno Việt Nam</t>
  </si>
  <si>
    <t>V10067</t>
  </si>
  <si>
    <t>Công ty TNHH công nghiệp Trí Cường</t>
  </si>
  <si>
    <t>V10114</t>
  </si>
  <si>
    <t>Công ty TNHH Công nghiệp và Thương mại Tân Hoàng Phát</t>
  </si>
  <si>
    <t>V10177</t>
  </si>
  <si>
    <t>Công ty TNHH Đại Hoàn</t>
  </si>
  <si>
    <t>V10138</t>
  </si>
  <si>
    <t>Công ty TNHH Daiichi Jitsugyo Việt Nam</t>
  </si>
  <si>
    <t>V10370</t>
  </si>
  <si>
    <t>CÔNG TY TNHH ĐÀO TẠO PHÁT TRIỂN DOANH NGHIỆP VIỆT</t>
  </si>
  <si>
    <t>V10182</t>
  </si>
  <si>
    <t>Công ty TNHH dầu nhờn Idemitsu Việt Nam</t>
  </si>
  <si>
    <t>V10233</t>
  </si>
  <si>
    <t>Công ty TNHH Đầu tư kỹ thuật ATC</t>
  </si>
  <si>
    <t>V10098</t>
  </si>
  <si>
    <t>Công ty TNHH Đầu tư phát triển LATA</t>
  </si>
  <si>
    <t>V10237</t>
  </si>
  <si>
    <t>Công ty TNHH đầu tư phát triển Probuy</t>
  </si>
  <si>
    <t>V10224</t>
  </si>
  <si>
    <t>Công ty TNHH đầu tư sản xuất và thương mại Tiến Cường</t>
  </si>
  <si>
    <t>V10287</t>
  </si>
  <si>
    <t>Công ty TNHH Đầu tư thương mại Lê Thanh</t>
  </si>
  <si>
    <t>V10127</t>
  </si>
  <si>
    <t>Công ty TNHH Đầu tư thương mại và dịch vụ vận tải Long Việt</t>
  </si>
  <si>
    <t>V10203</t>
  </si>
  <si>
    <t>Công ty TNHH Đầu tư thương mại xây dựng Nam Việt</t>
  </si>
  <si>
    <t>V10252</t>
  </si>
  <si>
    <t>Công ty TNHH Đầu tư và dịch vụ y tế Điện Biên Phủ</t>
  </si>
  <si>
    <t>V10192</t>
  </si>
  <si>
    <t>Công ty TNHH Đầu tư và phát triển Đức Bình</t>
  </si>
  <si>
    <t>V10057</t>
  </si>
  <si>
    <t>Công ty TNHH đầu tư và phát triển thiết bị công nghiệp Hoàng Hà</t>
  </si>
  <si>
    <t>V10045</t>
  </si>
  <si>
    <t>Công Ty TNHH Dịch Thuật Quốc Tế Thu Thảo</t>
  </si>
  <si>
    <t>V10024</t>
  </si>
  <si>
    <t>Công ty TNHH Dịch vụ bảo vệ Hồng Hải</t>
  </si>
  <si>
    <t>V10273</t>
  </si>
  <si>
    <t>Công Ty TNHH Dịch Vụ Kỹ Thuật Và Thương Mại Nam Vân</t>
  </si>
  <si>
    <t>V10235</t>
  </si>
  <si>
    <t>Công ty TNHH Dịch vụ tư vấn công nghệ Việt Tâm</t>
  </si>
  <si>
    <t>V10288</t>
  </si>
  <si>
    <t>Công ty TNHH Dịch vụ vận tải du lịch Hải Anh</t>
  </si>
  <si>
    <t>V10159</t>
  </si>
  <si>
    <t>Công ty TNHH Điện trở đốt nóng Việt Hùng</t>
  </si>
  <si>
    <t>V10303</t>
  </si>
  <si>
    <t>Công ty TNHH Dynapac (Hà Nội)</t>
  </si>
  <si>
    <t>V10052</t>
  </si>
  <si>
    <t>Công ty TNHH Eidensha Việt Nam</t>
  </si>
  <si>
    <t>V10112</t>
  </si>
  <si>
    <t>Công ty TNHH Elematec Việt Nam</t>
  </si>
  <si>
    <t>V10259</t>
  </si>
  <si>
    <t>Công Ty TNHH ENCO</t>
  </si>
  <si>
    <t>V10313</t>
  </si>
  <si>
    <t>CÔNG TY TNHH ERIKS VIỆT NAM</t>
  </si>
  <si>
    <t>V10286</t>
  </si>
  <si>
    <t>Công ty TNHH Evermore Việt Nam</t>
  </si>
  <si>
    <t>V10250</t>
  </si>
  <si>
    <t>Công ty TNHH EVIVA</t>
  </si>
  <si>
    <t>V10085</t>
  </si>
  <si>
    <t>Công ty TNHH Fanuc Việt Nam</t>
  </si>
  <si>
    <t>V10269</t>
  </si>
  <si>
    <t>Công ty TNHH Fircroft (Việt Nam)</t>
  </si>
  <si>
    <t>V10026</t>
  </si>
  <si>
    <t>V10141</t>
  </si>
  <si>
    <t>Công ty TNHH Giải pháp kỹ thuật Vina</t>
  </si>
  <si>
    <t>V10126</t>
  </si>
  <si>
    <t>Công ty TNHH Giải pháp Sato Việt Nam</t>
  </si>
  <si>
    <t>V10222</t>
  </si>
  <si>
    <t>Công ty TNHH Giải pháp và Dịch vụ 3T</t>
  </si>
  <si>
    <t>V10256</t>
  </si>
  <si>
    <t>CÔNG TY TNHH GIẢI PHÁP VÀ THIẾT BỊ TỰ ĐỘNG HÓA OTD</t>
  </si>
  <si>
    <t>V10144</t>
  </si>
  <si>
    <t>Công ty TNHH Goshu Kohsan Việt Nam</t>
  </si>
  <si>
    <t>V10102</t>
  </si>
  <si>
    <t>CÔNG TY TNHH HỆ THỐNG THIẾT BỊ UMW (VIỆT NAM)</t>
  </si>
  <si>
    <t>V10063</t>
  </si>
  <si>
    <t>V10247</t>
  </si>
  <si>
    <t>Công ty TNHH hệ thống thông tin FSE-FPT</t>
  </si>
  <si>
    <t>V10015</t>
  </si>
  <si>
    <t>Công ty TNHH Hitachi Plant Technologies Việt Nam</t>
  </si>
  <si>
    <t>V10309</t>
  </si>
  <si>
    <t>Công ty TNHH Logisteed Việt Nam</t>
  </si>
  <si>
    <t>V10097</t>
  </si>
  <si>
    <t>CÔNG TY TNHH HÓA CHẤT PETROLIMEX</t>
  </si>
  <si>
    <t>V10283</t>
  </si>
  <si>
    <t>Công ty TNHH Hóa chất và Thiết bị Atec</t>
  </si>
  <si>
    <t>V10361</t>
  </si>
  <si>
    <t>Công ty TNHH công nghệ Tân Phương Vinh</t>
  </si>
  <si>
    <t>V10189</t>
  </si>
  <si>
    <t>Công ty TNHH In và Quảng cáo Đại Thành</t>
  </si>
  <si>
    <t>V10255</t>
  </si>
  <si>
    <t>Công ty TNHH In và quảng cáo Hợp Thành</t>
  </si>
  <si>
    <t>V10331</t>
  </si>
  <si>
    <t>Công ty TNHH In và Quảng cáo Phúc Sơn</t>
  </si>
  <si>
    <t>V10013</t>
  </si>
  <si>
    <t>Công ty TNHH in và sản xuất bao bì Tân Lạc Việt</t>
  </si>
  <si>
    <t>V10376</t>
  </si>
  <si>
    <t>V10060</t>
  </si>
  <si>
    <t>Công ty TNHH Inter Art Sài Gòn</t>
  </si>
  <si>
    <t>V10214</t>
  </si>
  <si>
    <t>Công ty TNHH ITVC Toàn Cầu</t>
  </si>
  <si>
    <t>V10134</t>
  </si>
  <si>
    <t>Công ty TNHH Jade M-Tech</t>
  </si>
  <si>
    <t>V10301</t>
  </si>
  <si>
    <t>Công ty TNHH Jellyfish HR</t>
  </si>
  <si>
    <t>V10230</t>
  </si>
  <si>
    <t>Công ty TNHH Joyo Mark (Việt Nam)</t>
  </si>
  <si>
    <t>V10328</t>
  </si>
  <si>
    <t>CÔNG TY TNHH KAMOGAWA VIỆT NAM</t>
  </si>
  <si>
    <t>V10280</t>
  </si>
  <si>
    <t>Công ty TNHH Kanepackage Việt Nam</t>
  </si>
  <si>
    <t>V10090</t>
  </si>
  <si>
    <t>Công ty TNHH KD &amp; SX VTTB Trường Phát</t>
  </si>
  <si>
    <t>V10260</t>
  </si>
  <si>
    <t>Công ty TNHH KDDI Việt nam</t>
  </si>
  <si>
    <t>V10158</t>
  </si>
  <si>
    <t>Công ty TNHH KDIC</t>
  </si>
  <si>
    <t>V10142</t>
  </si>
  <si>
    <t>Công Ty TNHH Keyence Việt Nam</t>
  </si>
  <si>
    <t>V10297</t>
  </si>
  <si>
    <t>Công ty TNHH Khí công nghiệp Messer Hải Phòng</t>
  </si>
  <si>
    <t>V10053</t>
  </si>
  <si>
    <t>Công ty TNHH Kinh doanh lốp xe Bridgestone Việt Nam</t>
  </si>
  <si>
    <t>V10339</t>
  </si>
  <si>
    <t>Công ty TNHH Kintetsu World Express Việt Nam</t>
  </si>
  <si>
    <t>V10334</t>
  </si>
  <si>
    <t>Công ty TNHH Kosaido HR Việt Nam</t>
  </si>
  <si>
    <t>V10055</t>
  </si>
  <si>
    <t>Công ty TNHH KSMC</t>
  </si>
  <si>
    <t>V10330</t>
  </si>
  <si>
    <t>Công ty TNHH KUBOTA KASUI VIỆT NAM</t>
  </si>
  <si>
    <t>V10295</t>
  </si>
  <si>
    <t>Công ty TNHH Ký Hiệu</t>
  </si>
  <si>
    <t>V10109</t>
  </si>
  <si>
    <t>Công ty TNHH Kỹ Nghệ Thăng Long</t>
  </si>
  <si>
    <t>V10153</t>
  </si>
  <si>
    <t>Công ty TNHH kỹ thuật công nghiệp Nhật Việt</t>
  </si>
  <si>
    <t>V10282</t>
  </si>
  <si>
    <t>Công ty TNHH kỹ thuật điện hiệp lực</t>
  </si>
  <si>
    <t>V10035</t>
  </si>
  <si>
    <t>Công ty TNHH kỹ thuật quốc tế Connection</t>
  </si>
  <si>
    <t>V10139</t>
  </si>
  <si>
    <t>Công ty TNHH kỹ thuật Tiêu Điểm</t>
  </si>
  <si>
    <t>V10162</t>
  </si>
  <si>
    <t>Công ty TNHH Liên doanh Oval Việt Nam</t>
  </si>
  <si>
    <t>V10281</t>
  </si>
  <si>
    <t>Công ty TNHH LMS Technologies Việt Nam</t>
  </si>
  <si>
    <t>V10335</t>
  </si>
  <si>
    <t>Công ty TNHH Long Chương</t>
  </si>
  <si>
    <t>V10310</t>
  </si>
  <si>
    <t>CÔNG TY TNHH M.TEC VIỆT NAM</t>
  </si>
  <si>
    <t>V10358</t>
  </si>
  <si>
    <t>Công ty TNHH May mặc Tùng Phát Lộc</t>
  </si>
  <si>
    <t>V10215</t>
  </si>
  <si>
    <t>Công ty TNHH Máy và Dịch vụ Kỹ thuật Đức Sơn</t>
  </si>
  <si>
    <t>V10094</t>
  </si>
  <si>
    <t>Công ty TNHH Mễ Đình</t>
  </si>
  <si>
    <t>V10275</t>
  </si>
  <si>
    <t>Công ty TNHH Meda Hà nội</t>
  </si>
  <si>
    <t>V10064</t>
  </si>
  <si>
    <t>Công ty TNHH Megatech Việt Nam</t>
  </si>
  <si>
    <t>V10321</t>
  </si>
  <si>
    <t>Công ty TNHH Menkar</t>
  </si>
  <si>
    <t>V10363</t>
  </si>
  <si>
    <t>Công ty TNHH Misumi Việt Nam</t>
  </si>
  <si>
    <t>V10316</t>
  </si>
  <si>
    <t>Công ty TNHH một thành viên cao su CHƯ PĂH</t>
  </si>
  <si>
    <t>V10106</t>
  </si>
  <si>
    <t>Công Ty TNHH Một Thành Viên Cơ Khí Hoàng Sơn</t>
  </si>
  <si>
    <t>V10199</t>
  </si>
  <si>
    <t>Công ty TNHH một thành viên cơ khí Minh Lượng</t>
  </si>
  <si>
    <t>V10248</t>
  </si>
  <si>
    <t>Công ty TNHH công nghệ máy đo khí Riken Việt</t>
  </si>
  <si>
    <t>V10368</t>
  </si>
  <si>
    <t>Công ty TNHH Một thành viên thoát nước Hải Phòng</t>
  </si>
  <si>
    <t>V10184</t>
  </si>
  <si>
    <t>Công ty TNHH MTV Điện Lực Hải Phòng</t>
  </si>
  <si>
    <t>V10150</t>
  </si>
  <si>
    <t>Công ty TNHH MTV Micro Precision Calibration Việt Nam</t>
  </si>
  <si>
    <t>V10023</t>
  </si>
  <si>
    <t>Công ty TNHH NEC Việt Nam</t>
  </si>
  <si>
    <t>V10357</t>
  </si>
  <si>
    <t>Công ty TNHH Nichias Việt Nam</t>
  </si>
  <si>
    <t>V10345</t>
  </si>
  <si>
    <t>Công ty TNHH Nichiden Việt Nam</t>
  </si>
  <si>
    <t>V10206</t>
  </si>
  <si>
    <t>Công ty TNHH Nippon Express Engineering (Việt Nam)</t>
  </si>
  <si>
    <t>V10056</t>
  </si>
  <si>
    <t>Công ty TNHH NNMSAFETY</t>
  </si>
  <si>
    <t>V10200</t>
  </si>
  <si>
    <t>Công ty TNHH Nomura Fotranco</t>
  </si>
  <si>
    <t>V10115</t>
  </si>
  <si>
    <t>Công ty TNHH Ojitex Hải Phòng</t>
  </si>
  <si>
    <t>V10020</t>
  </si>
  <si>
    <t>Công ty TNHH Osco International</t>
  </si>
  <si>
    <t>V10007</t>
  </si>
  <si>
    <t>Công ty TNHH phát triển công nghệ Thái Sơn</t>
  </si>
  <si>
    <t>V10204</t>
  </si>
  <si>
    <t>Công ty TNHH Phúc Tăng</t>
  </si>
  <si>
    <t>V10353</t>
  </si>
  <si>
    <t>Công ty TNHH Printec Ohtomi</t>
  </si>
  <si>
    <t>V10066</t>
  </si>
  <si>
    <t>Công ty TNHH quảng cáo-in ấn-trang trí nội ngoại thất Hoa Việt</t>
  </si>
  <si>
    <t>V10374</t>
  </si>
  <si>
    <t>Công ty TNHH Quang Huy</t>
  </si>
  <si>
    <t>V10294</t>
  </si>
  <si>
    <t>CÔNG TY TNHH QUỐC TẾ THIỀN SINH THÁI</t>
  </si>
  <si>
    <t>V10293</t>
  </si>
  <si>
    <t>Công ty TNHH Rentokil Initial (Việt Nam)</t>
  </si>
  <si>
    <t>V10380</t>
  </si>
  <si>
    <t>Công ty TNHH Sắc Việt</t>
  </si>
  <si>
    <t>V10161</t>
  </si>
  <si>
    <t>CÔNG TY TNHH SAEHWA IMC VINA</t>
  </si>
  <si>
    <t>V10025</t>
  </si>
  <si>
    <t>Công ty TNHH Sản xuất - Thương mại Tân Quốc Hưng</t>
  </si>
  <si>
    <t>V10257</t>
  </si>
  <si>
    <t>Công ty TNHH Sản Xuất Bảo Hộ Lao Động Bảo An</t>
  </si>
  <si>
    <t>V10151</t>
  </si>
  <si>
    <t>Công ty TNHH sản xuất thương mại Đức Hợp</t>
  </si>
  <si>
    <t>V10062</t>
  </si>
  <si>
    <t>Công Ty TNHH sản xuất thương mại Quang Minh</t>
  </si>
  <si>
    <t>V10342</t>
  </si>
  <si>
    <t>Công ty TNHH sản xuất thương mại và dịch vụ Đăng Phát</t>
  </si>
  <si>
    <t>V10221</t>
  </si>
  <si>
    <t>Công ty TNHH Sản xuất thương mại xuất nhập khẩu Lửa Việt</t>
  </si>
  <si>
    <t>V10190</t>
  </si>
  <si>
    <t>Công ty TNHH Sản xuất và Thương mại Tùng Chi</t>
  </si>
  <si>
    <t>V10279</t>
  </si>
  <si>
    <t>Công ty TNHH Shiogai Seiki Việt Nam</t>
  </si>
  <si>
    <t>V10118</t>
  </si>
  <si>
    <t>Công ty TNHH Sinh Dương</t>
  </si>
  <si>
    <t>V10207</t>
  </si>
  <si>
    <t>Công ty TNHH Softbank Telecom Việt Nam</t>
  </si>
  <si>
    <t>V10086</t>
  </si>
  <si>
    <t>V10356</t>
  </si>
  <si>
    <t>Công ty TNHH Sức Bật</t>
  </si>
  <si>
    <t>V10272</t>
  </si>
  <si>
    <t>Công ty TNHH Sumiden International Trading Việt Nam</t>
  </si>
  <si>
    <t>V10317</t>
  </si>
  <si>
    <t>CÔNG TY TNHH SUN-WA TECHNOS (VIỆT NAM)</t>
  </si>
  <si>
    <t>V10157</t>
  </si>
  <si>
    <t>Công ty TNHH SX và TM Đại Hoàng</t>
  </si>
  <si>
    <t>V10059</t>
  </si>
  <si>
    <t>Công ty TNHH T.S.I Việt Nam</t>
  </si>
  <si>
    <t>V10088</t>
  </si>
  <si>
    <t>Công ty TNHH Tài Nguyên Tri Thức Việt Năng</t>
  </si>
  <si>
    <t>V10238</t>
  </si>
  <si>
    <t>Công ty TNHH Tamada Việt Nam</t>
  </si>
  <si>
    <t>V10119</t>
  </si>
  <si>
    <t>Công ty TNHH Tamsui Việt Nam</t>
  </si>
  <si>
    <t>V10044</t>
  </si>
  <si>
    <t>Công ty TNHH Tân Thế Kỷ</t>
  </si>
  <si>
    <t>V10081</t>
  </si>
  <si>
    <t>Công ty TNHH Thiết bị 2H</t>
  </si>
  <si>
    <t>V10040</t>
  </si>
  <si>
    <t>Công ty TNHH Thiết bị công nghiệp N.A.G.O.Y.A</t>
  </si>
  <si>
    <t>V10172</t>
  </si>
  <si>
    <t>Công ty TNHH Thiết bị hóa chất Nakagawa Việt Nam</t>
  </si>
  <si>
    <t>V10323</t>
  </si>
  <si>
    <t>Công ty TNHH thiết bị PCCC Duyên Hải</t>
  </si>
  <si>
    <t>V10194</t>
  </si>
  <si>
    <t>Công ty TNHH Thiết bị phụ tùng An Phát</t>
  </si>
  <si>
    <t>V10212</t>
  </si>
  <si>
    <t>Công Ty TNHH Thiết Bị Y Tế và Vật Tư Khoa Học Kỹ Thuật Nam Thành</t>
  </si>
  <si>
    <t>V10149</t>
  </si>
  <si>
    <t>Công ty TNHH Thoát nước - Môi trường Tuấn Nam</t>
  </si>
  <si>
    <t>V10271</t>
  </si>
  <si>
    <t>Công ty TNHH Thông tin NTT (Việt Nam)</t>
  </si>
  <si>
    <t>V10156</t>
  </si>
  <si>
    <t>Công ty TNHH Thương mại - Dịch vụ HB-KMIX</t>
  </si>
  <si>
    <t>V10229</t>
  </si>
  <si>
    <t>Cong ty TNHH Thuong Mai &amp; Dich Vu Kim Thinh</t>
  </si>
  <si>
    <t>V10251</t>
  </si>
  <si>
    <t>Công ty TNHH Thương Mại 19-3</t>
  </si>
  <si>
    <t>V10030</t>
  </si>
  <si>
    <t>Công ty TNHH thương mại bảo hộ lao động N&amp;C</t>
  </si>
  <si>
    <t>V10315</t>
  </si>
  <si>
    <t>Công ty TNHH Thương mại Dịch vụ Anh Nghi Sơn</t>
  </si>
  <si>
    <t>V10333</t>
  </si>
  <si>
    <t>Công ty TNHH Thương Mại Dịch Vụ Công Nghiệp Thành Tín</t>
  </si>
  <si>
    <t>V10208</t>
  </si>
  <si>
    <t>Công ty TNHH Thương mại Dịch vụ Đại Phú Cát</t>
  </si>
  <si>
    <t>V10076</t>
  </si>
  <si>
    <t>Công ty TNHH Thương mại -Dịch vụ kỹ thuật S.I.S</t>
  </si>
  <si>
    <t>V10167</t>
  </si>
  <si>
    <t>Công ty TNHH Thương mại Dịch vụ Song Thành Công</t>
  </si>
  <si>
    <t>V10367</t>
  </si>
  <si>
    <t>CÔNG TY TNHH THƯƠNG MẠI DỊCH VỤ TINH HÀ</t>
  </si>
  <si>
    <t>V10193</t>
  </si>
  <si>
    <t>Công ty TNHH Thương mại dịch vụ và sản xuất Tùng Lâm</t>
  </si>
  <si>
    <t>V10014</t>
  </si>
  <si>
    <t>Công ty TNHH thương mại Hoàng Phát</t>
  </si>
  <si>
    <t>V10122</t>
  </si>
  <si>
    <t>Công ty TNHH Thương mại quốc tế ICD</t>
  </si>
  <si>
    <t>V10240</t>
  </si>
  <si>
    <t>Công ty TNHH Thương mại Tuấn Nghị</t>
  </si>
  <si>
    <t>V10042</t>
  </si>
  <si>
    <t>V10010</t>
  </si>
  <si>
    <t>Công ty TNHH thương mại và dịch vụ công nghiệp Tuấn Huyền</t>
  </si>
  <si>
    <t>V10082</t>
  </si>
  <si>
    <t>Công ty TNHH Thương Mại và Dịch vụ Ngọc Trân</t>
  </si>
  <si>
    <t>V10078</t>
  </si>
  <si>
    <t>CÔNG TY TNHH THƯƠNG MẠI VÀ DỊCH VỤ TÂM THÀNH ĐẠT</t>
  </si>
  <si>
    <t>V10220</t>
  </si>
  <si>
    <t>Công ty TNHH thương mại và dịch vụ tổng hợp Hòa Thắng</t>
  </si>
  <si>
    <t>V10173</t>
  </si>
  <si>
    <t>Công ty TNHH Thương mại và Du lịch Minh Ngọc</t>
  </si>
  <si>
    <t>V10068</t>
  </si>
  <si>
    <t>Công ty TNHH thương mại và giao nhận MI</t>
  </si>
  <si>
    <t>V10168</t>
  </si>
  <si>
    <t>Công ty TNHH Thương mại và kỹ thuật Châu Á</t>
  </si>
  <si>
    <t>V10154</t>
  </si>
  <si>
    <t>Công ty TNHH Thương mại và phân phối linh kiện DPS Việt Nam</t>
  </si>
  <si>
    <t>V10083</t>
  </si>
  <si>
    <t>Công ty TNHH Thương mại Vận tải và Sản xuất Hải Nguyên</t>
  </si>
  <si>
    <t>V10195</t>
  </si>
  <si>
    <t>Công ty TNHH Thương mại Xuất nhập khẩu Khai Tâm</t>
  </si>
  <si>
    <t>V10005</t>
  </si>
  <si>
    <t>V10231</t>
  </si>
  <si>
    <t>Công ty TNHH thương mại Yuasa Việt Nam</t>
  </si>
  <si>
    <t>V10338</t>
  </si>
  <si>
    <t>Công ty TNHH Thương mại, dịch vụ và du lịch bầu trời xanh</t>
  </si>
  <si>
    <t>V10116</t>
  </si>
  <si>
    <t>V10362</t>
  </si>
  <si>
    <t>CÔNG TY TNHH TRUYỀN THÔNG BETANAM</t>
  </si>
  <si>
    <t>V10302</t>
  </si>
  <si>
    <t>Công ty TNHH Truyền Thông EFS Việt Nam</t>
  </si>
  <si>
    <t>V10369</t>
  </si>
  <si>
    <t>Công ty TNHH tư vấn công nghệ và quản lý Hải Phòng</t>
  </si>
  <si>
    <t>V10219</t>
  </si>
  <si>
    <t>Công ty TNHH tư vấn giải pháp Việt Nam</t>
  </si>
  <si>
    <t>V10191</t>
  </si>
  <si>
    <t>Công ty TNHH tư vấn kinh doanh và dịch vụ Yamato</t>
  </si>
  <si>
    <t>V10276</t>
  </si>
  <si>
    <t>Công ty TNHH tư vấn và chuyển giao công nghệ Tiên Tiến</t>
  </si>
  <si>
    <t>V10348</t>
  </si>
  <si>
    <t>Công ty TNHH tư vấn và đào tạo quản lý quốc tế</t>
  </si>
  <si>
    <t>V10073</t>
  </si>
  <si>
    <t>Công ty TNHH Tùng Vi</t>
  </si>
  <si>
    <t>V10213</t>
  </si>
  <si>
    <t>Công ty TNHH TUV Nord Việt Nam</t>
  </si>
  <si>
    <t>V10343</t>
  </si>
  <si>
    <t>V10296</t>
  </si>
  <si>
    <t>Công ty TNHH vật liệu công nghiệp Cao Sơn</t>
  </si>
  <si>
    <t>V10223</t>
  </si>
  <si>
    <t>Công Ty TNHH Việt Thăng</t>
  </si>
  <si>
    <t>V10246</t>
  </si>
  <si>
    <t>Công Ty TNHH Xây Dựng Thương Mại Dịch Vụ Vận Tải Nước Và Môi Trường</t>
  </si>
  <si>
    <t>V10210</t>
  </si>
  <si>
    <t>Công ty TNHH Xử lý nước Minh Hoàng</t>
  </si>
  <si>
    <t>V10311</t>
  </si>
  <si>
    <t>CÔNG TY TNHH YAMAZEN VIỆT NAM</t>
  </si>
  <si>
    <t>V10175</t>
  </si>
  <si>
    <t>Công ty TNHH Yaskawa Electric Việt Nam</t>
  </si>
  <si>
    <t>V10029</t>
  </si>
  <si>
    <t>Công ty TNHH Yokogawa Việt Nam</t>
  </si>
  <si>
    <t>V10074</t>
  </si>
  <si>
    <t>Công ty TNHH Yusen Logistics (Việt Nam)</t>
  </si>
  <si>
    <t>V10135</t>
  </si>
  <si>
    <t>V10092</t>
  </si>
  <si>
    <t>V10027</t>
  </si>
  <si>
    <t>Công ty Tropical Wave Corporation Việt Nam</t>
  </si>
  <si>
    <t>V10176</t>
  </si>
  <si>
    <t>Cửa hàng điện lạnh Vĩnh Lâm</t>
  </si>
  <si>
    <t>V10234</t>
  </si>
  <si>
    <t>Cửa hàng Ngọc Hà</t>
  </si>
  <si>
    <t>V10360</t>
  </si>
  <si>
    <t>Cửa hàng Nguyễn Thị Thùy Dung</t>
  </si>
  <si>
    <t>V10124</t>
  </si>
  <si>
    <t>Cửa hàng thiết bị và vật tư công nghiệp Bảo An</t>
  </si>
  <si>
    <t>V10011</t>
  </si>
  <si>
    <t>V10003</t>
  </si>
  <si>
    <t>Cửa hàng văn hóa phẩm TBVP Lê Hải Thanh</t>
  </si>
  <si>
    <t>V10133</t>
  </si>
  <si>
    <t>Cửa hàng VMAX</t>
  </si>
  <si>
    <t>V20020</t>
  </si>
  <si>
    <t>Daiichi Jitsugyo (Thailand) Co.,Ltd</t>
  </si>
  <si>
    <t>V20111</t>
  </si>
  <si>
    <t>Dalian Canmade Rubber &amp; Plastics Machinery Co.,Ltd.</t>
  </si>
  <si>
    <t>V10341</t>
  </si>
  <si>
    <t>Đặng Thị Mai Hương</t>
  </si>
  <si>
    <t>V4032C1</t>
  </si>
  <si>
    <t>Đặng Thu Vân</t>
  </si>
  <si>
    <t>V20015</t>
  </si>
  <si>
    <t>Otego</t>
  </si>
  <si>
    <t>V10002</t>
  </si>
  <si>
    <t>Công ty TNHH MTV Thiết bị văn phòng Thanh Ngọc</t>
  </si>
  <si>
    <t>V20063</t>
  </si>
  <si>
    <t>Dumbbell Co.,Ltd</t>
  </si>
  <si>
    <t>V20095</t>
  </si>
  <si>
    <t>Ecolab Pte Ltd</t>
  </si>
  <si>
    <t>V20010</t>
  </si>
  <si>
    <t>Evonik Wellink Silica (Nanping) Co.,Ltd</t>
  </si>
  <si>
    <t>V20028</t>
  </si>
  <si>
    <t>ExxonMobil Chemical Asia Pacific</t>
  </si>
  <si>
    <t>107301</t>
  </si>
  <si>
    <t>Firestone Polymers, LLC</t>
  </si>
  <si>
    <t>V4053C0</t>
  </si>
  <si>
    <t>Công Ty TNHH Greengoco</t>
  </si>
  <si>
    <t>V20127</t>
  </si>
  <si>
    <t>Forbo International Hong Kong Limited</t>
  </si>
  <si>
    <t>V20078</t>
  </si>
  <si>
    <t>Forbo Shanghai Co.,Ltd</t>
  </si>
  <si>
    <t>V20011</t>
  </si>
  <si>
    <t>Formosa Taffeta Co.,LTD</t>
  </si>
  <si>
    <t>V20059</t>
  </si>
  <si>
    <t>Fuji Die Co.,Ltd</t>
  </si>
  <si>
    <t>V20138</t>
  </si>
  <si>
    <t>FUJI ELECTRIC ASIA PACIFIC PTE LTD.</t>
  </si>
  <si>
    <t>V20025</t>
  </si>
  <si>
    <t>FUJIYA International Co.,Ltd</t>
  </si>
  <si>
    <t>V20031</t>
  </si>
  <si>
    <t>Fushun Maxwell Specialty Wax Co., Ltd</t>
  </si>
  <si>
    <t>V20032</t>
  </si>
  <si>
    <t>GRP Ltd.</t>
  </si>
  <si>
    <t>V20039</t>
  </si>
  <si>
    <t>Hebei Arksulf Chemical Co.,Ltd</t>
  </si>
  <si>
    <t>V20091</t>
  </si>
  <si>
    <t>Hinode Industory Co.,Ltd</t>
  </si>
  <si>
    <t>V10183</t>
  </si>
  <si>
    <t>HYOSUNG VIETNAM CO.,LTD</t>
  </si>
  <si>
    <t>V20115</t>
  </si>
  <si>
    <t>IHI Compressor and Machinery Co.,Ltd</t>
  </si>
  <si>
    <t>V20130</t>
  </si>
  <si>
    <t>IHI CORPORATION</t>
  </si>
  <si>
    <t>V3100C2</t>
  </si>
  <si>
    <t>IKAGAWA MASAFUMI</t>
  </si>
  <si>
    <t>V20106</t>
  </si>
  <si>
    <t>Inabata &amp; Co.,Ltd</t>
  </si>
  <si>
    <t>V20066</t>
  </si>
  <si>
    <t>Intralox Conveyor Belts (Shanghai) Ltd.</t>
  </si>
  <si>
    <t>V20033</t>
  </si>
  <si>
    <t>IOI Acidchem SDN BHD</t>
  </si>
  <si>
    <t>V20081</t>
  </si>
  <si>
    <t>Isobe Iron Works Co.,Ltd</t>
  </si>
  <si>
    <t>V20077</t>
  </si>
  <si>
    <t>Itochu Chemical Frontier Corporation</t>
  </si>
  <si>
    <t>V20100</t>
  </si>
  <si>
    <t>Itochu Corporation</t>
  </si>
  <si>
    <t>V20052</t>
  </si>
  <si>
    <t>Japan Automobile Tyre Manufacturers Association, Inc</t>
  </si>
  <si>
    <t>V20118</t>
  </si>
  <si>
    <t>Japan Productivity Center</t>
  </si>
  <si>
    <t>V20034</t>
  </si>
  <si>
    <t>Jiangsu Sinorgchem Technology Co.,Ltd</t>
  </si>
  <si>
    <t>V20012</t>
  </si>
  <si>
    <t>Jiangxi Black Cat Import And Export Co.,Ltd</t>
  </si>
  <si>
    <t>V20103</t>
  </si>
  <si>
    <t>Jiangxi Blackcat Singapore Pte.Ltd.</t>
  </si>
  <si>
    <t>V20086</t>
  </si>
  <si>
    <t>BST ENEOS Elastomer Co.,Ltd</t>
  </si>
  <si>
    <t>V20024</t>
  </si>
  <si>
    <t>JSR Trading Co.,Ltd</t>
  </si>
  <si>
    <t>V20120</t>
  </si>
  <si>
    <t>Kanaden Corporation</t>
  </si>
  <si>
    <t>V20049</t>
  </si>
  <si>
    <t>Kanematsu KGK Corp.</t>
  </si>
  <si>
    <t>V4082C1</t>
  </si>
  <si>
    <t>KAORU IWANO</t>
  </si>
  <si>
    <t>V20045</t>
  </si>
  <si>
    <t>Katou Kouzai Co.,Ltd</t>
  </si>
  <si>
    <t>V20087</t>
  </si>
  <si>
    <t>Kawasaki Thermal Engineering Co.,Ltd</t>
  </si>
  <si>
    <t>V20092</t>
  </si>
  <si>
    <t>Kawata (Thailand) Co.,Ltd</t>
  </si>
  <si>
    <t>V20018</t>
  </si>
  <si>
    <t>Keyence Singapore PTE LTD</t>
  </si>
  <si>
    <t>V20016</t>
  </si>
  <si>
    <t>Kiswire Cord Sdn.Bhd.</t>
  </si>
  <si>
    <t>V20114</t>
  </si>
  <si>
    <t>Kobe Steel.,Ltd</t>
  </si>
  <si>
    <t>V20068</t>
  </si>
  <si>
    <t>Kohoku Seiko (Thailand) Co.,Ltd</t>
  </si>
  <si>
    <t>V20129</t>
  </si>
  <si>
    <t>Kume Sekkei Co.,Ltd</t>
  </si>
  <si>
    <t>V20027</t>
  </si>
  <si>
    <t>Kumho Petrochemical Co.,Ltd</t>
  </si>
  <si>
    <t>V10181</t>
  </si>
  <si>
    <t>V20082</t>
  </si>
  <si>
    <t>Laboratory Standards and Technologies</t>
  </si>
  <si>
    <t>V4033C1</t>
  </si>
  <si>
    <t>Lâm Khánh Toàn</t>
  </si>
  <si>
    <t>V20083</t>
  </si>
  <si>
    <t>Lanxess Butyl Pte.Ltd</t>
  </si>
  <si>
    <t>V20036</t>
  </si>
  <si>
    <t>Lanxess Deutschland GmbH</t>
  </si>
  <si>
    <t>V4062C1</t>
  </si>
  <si>
    <t>Lê Thị Vân Huyền</t>
  </si>
  <si>
    <t>V20056</t>
  </si>
  <si>
    <t>Leader Machine Co.,Ltd</t>
  </si>
  <si>
    <t>V20007</t>
  </si>
  <si>
    <t>LG Chem, Ltd</t>
  </si>
  <si>
    <t>V20131</t>
  </si>
  <si>
    <t>LINTEC Corporation</t>
  </si>
  <si>
    <t>V20061</t>
  </si>
  <si>
    <t>Lintec Singapore Pte Ltd (SS)</t>
  </si>
  <si>
    <t>V20002</t>
  </si>
  <si>
    <t>LMS Technologies PTE LTD</t>
  </si>
  <si>
    <t>V20085</t>
  </si>
  <si>
    <t>Maeda Seisakusho Co.,Ltd.</t>
  </si>
  <si>
    <t>V10227</t>
  </si>
  <si>
    <t>Market</t>
  </si>
  <si>
    <t>V20046</t>
  </si>
  <si>
    <t>Marukoshi Co.,Ltd</t>
  </si>
  <si>
    <t>V20113</t>
  </si>
  <si>
    <t>Megatech Corporation</t>
  </si>
  <si>
    <t>V20133</t>
  </si>
  <si>
    <t>Mitsubishi Heavy Industries(Changshu) Machinery Co.,Ltd</t>
  </si>
  <si>
    <t>V20040</t>
  </si>
  <si>
    <t>Miwon Chemicals Co.,Ltd</t>
  </si>
  <si>
    <t>V20124</t>
  </si>
  <si>
    <t>Mobley Group Pacific Limited</t>
  </si>
  <si>
    <t>V20088</t>
  </si>
  <si>
    <t>Nakao Industry Co.,Ltd.</t>
  </si>
  <si>
    <t>V20093</t>
  </si>
  <si>
    <t>Nakata Engineering Co.,Ltd</t>
  </si>
  <si>
    <t>V20009</t>
  </si>
  <si>
    <t>Nanjing Shuguang Silane Chemical Co.,Ltd</t>
  </si>
  <si>
    <t>V4032C2</t>
  </si>
  <si>
    <t>Nguyễn Hồng Nam</t>
  </si>
  <si>
    <t>V20065</t>
  </si>
  <si>
    <t>NHV Corporation</t>
  </si>
  <si>
    <t>V20141</t>
  </si>
  <si>
    <t>Nihon Seikoh Giken co.,Ltd</t>
  </si>
  <si>
    <t>V20099</t>
  </si>
  <si>
    <t>NIKKA DENSOK LIMITED</t>
  </si>
  <si>
    <t>V20057</t>
  </si>
  <si>
    <t>Nippon Steel &amp; Sumikin Texeng.Co.,Ltd</t>
  </si>
  <si>
    <t>V20069</t>
  </si>
  <si>
    <t>Nissin Shoji Co.,Ltd</t>
  </si>
  <si>
    <t>V20042</t>
  </si>
  <si>
    <t>Nitta Corporation of Singapore PTE LTD</t>
  </si>
  <si>
    <t>V20035</t>
  </si>
  <si>
    <t>Nocil Limited</t>
  </si>
  <si>
    <t>V20128</t>
  </si>
  <si>
    <t>OCI Company Ltd</t>
  </si>
  <si>
    <t>V20058</t>
  </si>
  <si>
    <t>Omron Asia Pacific Pte Ltd</t>
  </si>
  <si>
    <t>V20004</t>
  </si>
  <si>
    <t>Oosaki Kikou Co.,Ltd</t>
  </si>
  <si>
    <t>V20139</t>
  </si>
  <si>
    <t>Oriental Carbon &amp; Chemicals Ltd</t>
  </si>
  <si>
    <t>V10104</t>
  </si>
  <si>
    <t>V20014</t>
  </si>
  <si>
    <t>PCBL Limited</t>
  </si>
  <si>
    <t>V20071</t>
  </si>
  <si>
    <t>PIPEBANK Co.,Ltd</t>
  </si>
  <si>
    <t>V20073</t>
  </si>
  <si>
    <t>PT Indo Kordsa TBK</t>
  </si>
  <si>
    <t>350200</t>
  </si>
  <si>
    <t>PT. Bridgestone Tire Indonesia</t>
  </si>
  <si>
    <t>V20076</t>
  </si>
  <si>
    <t>PT.Bekaert Indonesia</t>
  </si>
  <si>
    <t>V20047</t>
  </si>
  <si>
    <t>Pyramid Corporation</t>
  </si>
  <si>
    <t>V20137</t>
  </si>
  <si>
    <t>QINGDAO WENWUGANG TECHNOLOGY CO., LTD</t>
  </si>
  <si>
    <t>V20105</t>
  </si>
  <si>
    <t>R K. Reclaim &amp; Rubber Products Pvt. Ltd</t>
  </si>
  <si>
    <t>V20134</t>
  </si>
  <si>
    <t>Rix Corporation</t>
  </si>
  <si>
    <t>V20043</t>
  </si>
  <si>
    <t>Rix Technology (Thailand) Co.,Ltd.</t>
  </si>
  <si>
    <t>V20051</t>
  </si>
  <si>
    <t>Sanyo Company Limited</t>
  </si>
  <si>
    <t>V20079</t>
  </si>
  <si>
    <t>Sanyo Trading Co., LTD</t>
  </si>
  <si>
    <t>V20064</t>
  </si>
  <si>
    <t>Taekyung SBC Co.ltd</t>
  </si>
  <si>
    <t>V20101</t>
  </si>
  <si>
    <t>Shandong Sunsine Chemical Co.,Ltd</t>
  </si>
  <si>
    <t>V20030</t>
  </si>
  <si>
    <t>Shandong Yanggu Huatai Chemical Co.,Ltd</t>
  </si>
  <si>
    <t>V20003</t>
  </si>
  <si>
    <t>Shimadzu (Asia Pacific) Pte Ltd</t>
  </si>
  <si>
    <t>V20060</t>
  </si>
  <si>
    <t>Shinsho Corporation</t>
  </si>
  <si>
    <t>V20037</t>
  </si>
  <si>
    <t>SI Group-Shanghai Co.,Ltd</t>
  </si>
  <si>
    <t>V20017</t>
  </si>
  <si>
    <t>Siam Okamura International Co.,Ltd</t>
  </si>
  <si>
    <t>V10070</t>
  </si>
  <si>
    <t>V20062</t>
  </si>
  <si>
    <t>SPM Instrument Japan KK</t>
  </si>
  <si>
    <t>V20094</t>
  </si>
  <si>
    <t>Sun-wa Technos (HK) Co.,Ltd</t>
  </si>
  <si>
    <t>V20022</t>
  </si>
  <si>
    <t>Sun-Wa Technos Asia (Thailand) Co.,Ltd</t>
  </si>
  <si>
    <t>V20041</t>
  </si>
  <si>
    <t>Taekwang Fine Chemical Co.,Ltd</t>
  </si>
  <si>
    <t>V10170</t>
  </si>
  <si>
    <t>Takasago Vietnam Co.,Ltd</t>
  </si>
  <si>
    <t>V20050</t>
  </si>
  <si>
    <t>Tanaka Ai Co.,Ltd</t>
  </si>
  <si>
    <t>V20090</t>
  </si>
  <si>
    <t>TEREX Singapore PTE LTD.</t>
  </si>
  <si>
    <t>V20008</t>
  </si>
  <si>
    <t>Textilwerke Todtnau Bernauer GmbH &amp; Co. KG</t>
  </si>
  <si>
    <t>350100</t>
  </si>
  <si>
    <t>Thai Bridgestone Co.,Ltd</t>
  </si>
  <si>
    <t>V20112</t>
  </si>
  <si>
    <t>Birla Carbon (Thailand) Public Co.,Ltd</t>
  </si>
  <si>
    <t>V20089</t>
  </si>
  <si>
    <t>Thai Molten Bag and Film Ltd.,Part</t>
  </si>
  <si>
    <t>V20097</t>
  </si>
  <si>
    <t>V20019</t>
  </si>
  <si>
    <t>The Tire and Rim Association,INC</t>
  </si>
  <si>
    <t>V20001</t>
  </si>
  <si>
    <t>The Zenitaka Corporation - BTMV Project</t>
  </si>
  <si>
    <t>V20102</t>
  </si>
  <si>
    <t>The Zenitaka Corporation - BTMV Project Phase 3&amp;4</t>
  </si>
  <si>
    <t>V20096</t>
  </si>
  <si>
    <t>TIANJIN JIURONG WHEEL TECH CO., LTD</t>
  </si>
  <si>
    <t>970060</t>
  </si>
  <si>
    <t>TIRE MOLD (THAILAND) CO.,LTD.</t>
  </si>
  <si>
    <t>V20125</t>
  </si>
  <si>
    <t>TMEIC Aisa Pte.Ltd</t>
  </si>
  <si>
    <t>V10028</t>
  </si>
  <si>
    <t>TNT-Vietrans Express Worldwide (Vietnam) Ltd</t>
  </si>
  <si>
    <t>V20013</t>
  </si>
  <si>
    <t>Tokai Carbon(Tianjin) Co.,Ltd.</t>
  </si>
  <si>
    <t>V20109</t>
  </si>
  <si>
    <t>TOKOKOSEN CORP.</t>
  </si>
  <si>
    <t>V20126</t>
  </si>
  <si>
    <t>Tokyo Boeki Techno-System Ltd.,</t>
  </si>
  <si>
    <t>V20080</t>
  </si>
  <si>
    <t>Tokyo Zairyo Co.,Ltd</t>
  </si>
  <si>
    <t>V20119</t>
  </si>
  <si>
    <t>TOYO MACHINERY CO.,LTD</t>
  </si>
  <si>
    <t>V20006</t>
  </si>
  <si>
    <t>Toyo Seiki Seisaku-Sho, Ltd</t>
  </si>
  <si>
    <t>V20072</t>
  </si>
  <si>
    <t>Toyotsu Chemiplas Corporation</t>
  </si>
  <si>
    <t>V20048</t>
  </si>
  <si>
    <t>Trigon Gulf FZCO</t>
  </si>
  <si>
    <t>V10047</t>
  </si>
  <si>
    <t>Trung tâm Hỗ trợ kỹ thuật an toàn bức xạ hạt nhân và ứng phó sự cố</t>
  </si>
  <si>
    <t>V10264</t>
  </si>
  <si>
    <t>Trung tâm Hỗ trợ Kỹ thuật an toàn công nghiệp</t>
  </si>
  <si>
    <t>V10332</t>
  </si>
  <si>
    <t>Trung tâm huấn luyện an toàn vệ sinh lao động</t>
  </si>
  <si>
    <t>V10043</t>
  </si>
  <si>
    <t>TRUNG TÂM KIỂM ĐỊNH KỸ THUẬT AN TOÀN KHU VỰC I</t>
  </si>
  <si>
    <t>V10382</t>
  </si>
  <si>
    <t>CÔNG TY TNHH HẢI VÂN XANH</t>
  </si>
  <si>
    <t>V10049</t>
  </si>
  <si>
    <t>Trung tâm kinh doanh VNPT-Hải Phòng Chi nhánh tổng công ty dịch vụ viễn thông</t>
  </si>
  <si>
    <t>V10285</t>
  </si>
  <si>
    <t>Trung tâm Kỹ thuật Tiêu chuẩn Đo lường Chất lượng Hải Phòng</t>
  </si>
  <si>
    <t>V10320</t>
  </si>
  <si>
    <t>Trung tâm phát triển thương mại điện tử</t>
  </si>
  <si>
    <t>V10019</t>
  </si>
  <si>
    <t>Trung Tâm Quan trắc Môi trường</t>
  </si>
  <si>
    <t>V10036</t>
  </si>
  <si>
    <t>Trung tâm tần số vô tuyến điện khu vực V</t>
  </si>
  <si>
    <t>V10130</t>
  </si>
  <si>
    <t>Trung tâm viễn thông khu vực I - Chi nhánh Công ty Viễn thông liên tỉnh</t>
  </si>
  <si>
    <t>V10165</t>
  </si>
  <si>
    <t>Trung tâm y tế dự phòng</t>
  </si>
  <si>
    <t>V10337</t>
  </si>
  <si>
    <t>Trường trung cấp Khu kinh tế Hải phòng</t>
  </si>
  <si>
    <t>V20116</t>
  </si>
  <si>
    <t>TSUBAKIMOTO KOGYO CO., LTD</t>
  </si>
  <si>
    <t>V20029</t>
  </si>
  <si>
    <t>Ube Industries, Ltd</t>
  </si>
  <si>
    <t>V20107</t>
  </si>
  <si>
    <t>V20023</t>
  </si>
  <si>
    <t>Valqua Industries (Thailand), Ltd.</t>
  </si>
  <si>
    <t>V10101</t>
  </si>
  <si>
    <t>VIỆN ĐO LƯỜNG VIỆT NAM</t>
  </si>
  <si>
    <t>V10278</t>
  </si>
  <si>
    <t>Viện y học biển</t>
  </si>
  <si>
    <t>V20074</t>
  </si>
  <si>
    <t>Wire Automatic Device Co.,Ltd</t>
  </si>
  <si>
    <t>V20123</t>
  </si>
  <si>
    <t>YAMAZEN CORPORATION</t>
  </si>
  <si>
    <t>V20104</t>
  </si>
  <si>
    <t>Yuasa Trading Co.,Ltd</t>
  </si>
  <si>
    <t>V4025C0</t>
  </si>
  <si>
    <t>Công ty TNHH Mai Linh Hải Phòng</t>
  </si>
  <si>
    <t>V4021C0</t>
  </si>
  <si>
    <t>Công ty TNHH ĐTPT Thương mại Dịch vụ Ánh Dương</t>
  </si>
  <si>
    <t>V4060C0</t>
  </si>
  <si>
    <t>Công ty Luật TNHH Nishimura &amp; Asahi Việt Nam</t>
  </si>
  <si>
    <t>V4003C0</t>
  </si>
  <si>
    <t>Công ty Cổ phần Đầu tư và Du lịch LV</t>
  </si>
  <si>
    <t>V10397</t>
  </si>
  <si>
    <t>Công Ty Cổ Phần Công Nghệ Thẻ Nacencomm</t>
  </si>
  <si>
    <t>V4002C0</t>
  </si>
  <si>
    <t>Công ty Cổ phần Công nghệ Môi trường An Sinh</t>
  </si>
  <si>
    <t>V4035C0</t>
  </si>
  <si>
    <t>Trung tâm Dịch vụ việc làm Khu kinh tế Hải Phòng</t>
  </si>
  <si>
    <t>V4029C0</t>
  </si>
  <si>
    <t>Công ty TNHH Trang Thành</t>
  </si>
  <si>
    <t>V4006C0</t>
  </si>
  <si>
    <t>V4013C0</t>
  </si>
  <si>
    <t>Công ty Liên doanh làng Quốc tế Hướng Dương GS-HP</t>
  </si>
  <si>
    <t>V4085C0</t>
  </si>
  <si>
    <t>HRnet One (Guangzhou) Limited</t>
  </si>
  <si>
    <t>V4059C0</t>
  </si>
  <si>
    <t>CN Công ty Cổ Phần Navigos Group Việt Nam</t>
  </si>
  <si>
    <t>V4039C0</t>
  </si>
  <si>
    <t>V4034C0</t>
  </si>
  <si>
    <t>Trung tâm Chính trị Huyện An Dương</t>
  </si>
  <si>
    <t>V4000C0</t>
  </si>
  <si>
    <t>Bệnh viện đa khoa Lê Chân</t>
  </si>
  <si>
    <t>V4032C0</t>
  </si>
  <si>
    <t>Hoàng Văn Quang</t>
  </si>
  <si>
    <t>V4031C0</t>
  </si>
  <si>
    <t>Cửa hàng Long Anh</t>
  </si>
  <si>
    <t>V4028C0</t>
  </si>
  <si>
    <t>Công Ty TNHH Thương mại và Dịch Vụ V-Shine</t>
  </si>
  <si>
    <t>V4038C0</t>
  </si>
  <si>
    <t>Công ty Cổ phần Thương Mại Du Lịch và Dịch vụ Kuroba</t>
  </si>
  <si>
    <t>V4070C0</t>
  </si>
  <si>
    <t>Công ty TNHH Wellbe Việt Nam</t>
  </si>
  <si>
    <t>V10378</t>
  </si>
  <si>
    <t>CÔNG TY TNHH SNC TÍN PHÁT</t>
  </si>
  <si>
    <t>V4045C0</t>
  </si>
  <si>
    <t>Trung tâm kiểm định kỹ thuật an toàn Hải phòng</t>
  </si>
  <si>
    <t>V10381</t>
  </si>
  <si>
    <t>V10371</t>
  </si>
  <si>
    <t>V10386</t>
  </si>
  <si>
    <t>Công Ty TNHH phát triển thương mại Hoàng Sơn</t>
  </si>
  <si>
    <t>V10393</t>
  </si>
  <si>
    <t>Công ty TNHH VNHR</t>
  </si>
  <si>
    <t>V10391</t>
  </si>
  <si>
    <t>Công ty cổ phần thiết bị khoa học kỹ thuật Tân Phong</t>
  </si>
  <si>
    <t>V10396</t>
  </si>
  <si>
    <t>Công ty Cổ phần SOS Môi Trường</t>
  </si>
  <si>
    <t>V10389</t>
  </si>
  <si>
    <t>Chi nhánh Công ty TNHH Standard Units Supply Việt Nam tại Hải Phòng</t>
  </si>
  <si>
    <t>V4030C0</t>
  </si>
  <si>
    <t>Công ty TNHH tư vấn thuế Deloitte Việt Nam</t>
  </si>
  <si>
    <t>V4020C0</t>
  </si>
  <si>
    <t>Công ty TNHH Kiểm toán Deloitte Việt Nam</t>
  </si>
  <si>
    <t>V4019C0</t>
  </si>
  <si>
    <t>Công ty TNHH Deloitte consulting Việt Nam</t>
  </si>
  <si>
    <t>V10298</t>
  </si>
  <si>
    <t>Công ty cổ phần công nghệ sinh học Thông Minh</t>
  </si>
  <si>
    <t>V10400</t>
  </si>
  <si>
    <t>Chi nhánh Công ty TNHH Pasona Tech Việt Nam tại Hà Nội</t>
  </si>
  <si>
    <t>V20144</t>
  </si>
  <si>
    <t>Sciesen Technology Singapore Pte, Ltd</t>
  </si>
  <si>
    <t>V20145</t>
  </si>
  <si>
    <t>Paramelt Specialty Materials (Suzhou)Co., Ltd</t>
  </si>
  <si>
    <t>V4095C0</t>
  </si>
  <si>
    <t>Công ty TNHH đào tạo doanh nghiệp Việt Nam</t>
  </si>
  <si>
    <t>V20149</t>
  </si>
  <si>
    <t>P.S.P. Specialties Public Company Limited</t>
  </si>
  <si>
    <t>V20150</t>
  </si>
  <si>
    <t>FLEXSYS K.K. (Kabushiki Kaisha) -A SUBSIDIARY OF EASTMAN CHEMICAL COMPANY</t>
  </si>
  <si>
    <t>V10407</t>
  </si>
  <si>
    <t>Công ty cổ phần dịch vụ quốc tế Hà Thành</t>
  </si>
  <si>
    <t>V20147</t>
  </si>
  <si>
    <t>Objective Eye Tracking PTE., LTD</t>
  </si>
  <si>
    <t>V10405</t>
  </si>
  <si>
    <t>Công ty TNHH TBCOM Việt Nam</t>
  </si>
  <si>
    <t>V10406</t>
  </si>
  <si>
    <t>Công ty TNHH Mitsubishi Electric Việt Nam</t>
  </si>
  <si>
    <t>V4090C0</t>
  </si>
  <si>
    <t>Chi nhánh Phòng thương mại và công nghiệp tại Hải Phòng</t>
  </si>
  <si>
    <t>V10392</t>
  </si>
  <si>
    <t>Công ty TNHH Thương mại Dịch vụ Kỹ thuật Bảo Nghi</t>
  </si>
  <si>
    <t>V10402</t>
  </si>
  <si>
    <t>V10411</t>
  </si>
  <si>
    <t>V20152</t>
  </si>
  <si>
    <t>GV Technologies Corporation</t>
  </si>
  <si>
    <t>V10412</t>
  </si>
  <si>
    <t>Công ty TNHH Giáo dục và Du lịch Nguyễn Kim</t>
  </si>
  <si>
    <t>V20146</t>
  </si>
  <si>
    <t>Nippon Steel Conveyor Co.,Ltd</t>
  </si>
  <si>
    <t>V10410</t>
  </si>
  <si>
    <t>Công ty TNHH Yamato Logistics Việt Nam</t>
  </si>
  <si>
    <t>V10390</t>
  </si>
  <si>
    <t>Công ty TNHH Công nghệ và Đầu tư Thái Văn</t>
  </si>
  <si>
    <t>V20154</t>
  </si>
  <si>
    <t>Shinichi Kato Office Co., Ltd</t>
  </si>
  <si>
    <t>V20142</t>
  </si>
  <si>
    <t>SEALS CO., LTD</t>
  </si>
  <si>
    <t>V4096C0</t>
  </si>
  <si>
    <t>CÔNG TY TNHH MỘT THÀNH VIÊN MÔI TRƯỜNG ĐÔ THỊ HP</t>
  </si>
  <si>
    <t>V20157</t>
  </si>
  <si>
    <t>TOP SOLVENT COMPANY LIMITED</t>
  </si>
  <si>
    <t>V10416</t>
  </si>
  <si>
    <t>CHI NHÁNH CÔNG TY TNHH NNR GLOBAL LOGISTICS (VIỆT NAM)</t>
  </si>
  <si>
    <t>V20160</t>
  </si>
  <si>
    <t>Shinwa Intec Co.,Ltd</t>
  </si>
  <si>
    <t>V10415</t>
  </si>
  <si>
    <t>Công ty cổ phần thiết bị vật tư công nghiệp Hưng Phát</t>
  </si>
  <si>
    <t>V10414</t>
  </si>
  <si>
    <t>Công ty TNHH Tchem Việt Nam</t>
  </si>
  <si>
    <t>V4048C0</t>
  </si>
  <si>
    <t>Công ty Bảo hiểm Liên Hiệp</t>
  </si>
  <si>
    <t>V10420</t>
  </si>
  <si>
    <t>Công ty TNHH sản xuất và dịch vụ vận tải Mai Phương</t>
  </si>
  <si>
    <t>V10401</t>
  </si>
  <si>
    <t>Công ty TNHH Dịch Vụ Việt Xanh</t>
  </si>
  <si>
    <t>V10421</t>
  </si>
  <si>
    <t>Công ty TNHH thương mại và dịch vụ TSG</t>
  </si>
  <si>
    <t>V20158</t>
  </si>
  <si>
    <t>CSRC CHINA(ANSHAN) CORPORATION</t>
  </si>
  <si>
    <t>V20161</t>
  </si>
  <si>
    <t>CHINA SYNTHETIC RUBBER CORP.</t>
  </si>
  <si>
    <t>V10425</t>
  </si>
  <si>
    <t>Trung tâm dịch vụ khoa học kỹ thuật sức khỏe và môi trường</t>
  </si>
  <si>
    <t>V10426</t>
  </si>
  <si>
    <t>Công ty SGS Việt Nam Trách Nhiệm Hữu Hạn</t>
  </si>
  <si>
    <t>V10433</t>
  </si>
  <si>
    <t>Công ty TNHH một thành viên Thương mại kỹ thuật MATCO Á Châu Việt Nam</t>
  </si>
  <si>
    <t>V10431</t>
  </si>
  <si>
    <t>Công ty cổ phần phát triển công nghiệp Teksol Việt Nam</t>
  </si>
  <si>
    <t>V4011C0</t>
  </si>
  <si>
    <t>Công ty cổ phần thương mại Quang Cường</t>
  </si>
  <si>
    <t>V10447</t>
  </si>
  <si>
    <t>Công ty TNHH Kỹ thuật NK</t>
  </si>
  <si>
    <t>V10419</t>
  </si>
  <si>
    <t>Công ty TNHH thương mại thiết bị công nghiệp Trường An</t>
  </si>
  <si>
    <t>V10446</t>
  </si>
  <si>
    <t>Công ty cổ phần giáo dục quốc tế Đức Mạnh</t>
  </si>
  <si>
    <t>V4101C0</t>
  </si>
  <si>
    <t>Công ty TNHH Gốm sứ thủy tinh An Trường Lộc</t>
  </si>
  <si>
    <t>V10444</t>
  </si>
  <si>
    <t xml:space="preserve">Công ty TNHH thương mại Logitem VN </t>
  </si>
  <si>
    <t>V10452</t>
  </si>
  <si>
    <t xml:space="preserve">Công ty TNHH thiết bị công nghiệp Ishiko VN </t>
  </si>
  <si>
    <t>V10442</t>
  </si>
  <si>
    <t xml:space="preserve">Công ty cổ phần KD &amp; XNK khí hóa lỏng Vạn Lộc </t>
  </si>
  <si>
    <t>V10424</t>
  </si>
  <si>
    <t>Công ty TNHH TM &amp; DV điện cơ Tân Tiến</t>
  </si>
  <si>
    <t>V10403</t>
  </si>
  <si>
    <t>Công ty TNHH Xuân Sơn</t>
  </si>
  <si>
    <t>V10445</t>
  </si>
  <si>
    <t>V10465</t>
  </si>
  <si>
    <t>Hộ kinh doanh- Hoàng Thị Chuyên</t>
  </si>
  <si>
    <t>V10464</t>
  </si>
  <si>
    <t>Công ty TNHH Hiền Sách</t>
  </si>
  <si>
    <t>V10387</t>
  </si>
  <si>
    <t>Công ty TNHH Đầu tư thương mại dịch vụ Dũng Anh</t>
  </si>
  <si>
    <t>V10404</t>
  </si>
  <si>
    <t>Công ty TNHH TM SX điện trở đốt nóng Việt Sinh (VISIN HEATER Co., LTD)</t>
  </si>
  <si>
    <t>V10398</t>
  </si>
  <si>
    <t>CÔNG TY CỔ PHẦN BAO BÌ HẢI HÀ</t>
  </si>
  <si>
    <t>V10458</t>
  </si>
  <si>
    <t>Công ty Cổ Phần Phát triển Kỹ thuật và Thương Mại Tân Đức</t>
  </si>
  <si>
    <t>V10379</t>
  </si>
  <si>
    <t>CÔNG TY CỔ PHẦN CÔNG NGHỆ VÀ XÂY DỰNG MINH VIỆT</t>
  </si>
  <si>
    <t>V10453</t>
  </si>
  <si>
    <t>Công ty cổ phần công nghệ Hợp Long</t>
  </si>
  <si>
    <t>V4046C0</t>
  </si>
  <si>
    <t>Công ty TNHH ATC Quốc tế</t>
  </si>
  <si>
    <t>V10432</t>
  </si>
  <si>
    <t>Công ty TNHH thương mại Hà Nghĩa</t>
  </si>
  <si>
    <t>V10300</t>
  </si>
  <si>
    <t>Công ty TNHH G.A.Consultants Việt Nam</t>
  </si>
  <si>
    <t>V10471</t>
  </si>
  <si>
    <t>Công ty TNHH Foseca Việt Nam</t>
  </si>
  <si>
    <t>V10473</t>
  </si>
  <si>
    <t>Công ty TNHH kỹ thuật và thương mại BIBUS Việt Nam</t>
  </si>
  <si>
    <t>V10466</t>
  </si>
  <si>
    <t>Công ty TNHH khí công nghiệp Việt Nam</t>
  </si>
  <si>
    <t>V10460</t>
  </si>
  <si>
    <t>Công ty TNHH Kasanam</t>
  </si>
  <si>
    <t>V10467</t>
  </si>
  <si>
    <t>Công ty TNHH thương mại công nghiệp Ngọc Lâm</t>
  </si>
  <si>
    <t>V10462</t>
  </si>
  <si>
    <t>Công ty cổ phần kỹ thuật Sigma</t>
  </si>
  <si>
    <t>V10459</t>
  </si>
  <si>
    <t>Công ty TNHH JMUS Việt Nam</t>
  </si>
  <si>
    <t>V10456</t>
  </si>
  <si>
    <t>CN Hải Phòng - Công ty CP Daikin Air Conditioning VN</t>
  </si>
  <si>
    <t>V10454</t>
  </si>
  <si>
    <t>Chi nhánh Công ty TNHH SMC Corporation (Việt Nam) tại Hà Nội</t>
  </si>
  <si>
    <t>V10470</t>
  </si>
  <si>
    <t>Cửa hàng Trương Thị Cẩm Thành</t>
  </si>
  <si>
    <t>V10468</t>
  </si>
  <si>
    <t>Công ty cổ phần 40 giờ</t>
  </si>
  <si>
    <t>V20167</t>
  </si>
  <si>
    <t>Eastman Chemical Switzerland LLC - US branch of Eastman Chemical</t>
  </si>
  <si>
    <t>V10443</t>
  </si>
  <si>
    <t>Công ty TNHH dịch vụ thương mại và nguồn nhân lực Promanning</t>
  </si>
  <si>
    <t>V10437</t>
  </si>
  <si>
    <t>Công ty TNHH RGF HR Agent Việt Nam</t>
  </si>
  <si>
    <t>V20153</t>
  </si>
  <si>
    <t>Carl Zeiss Optotechnik GmbH</t>
  </si>
  <si>
    <t>V10422</t>
  </si>
  <si>
    <t>Công ty TNHH công nghiệp phụ trợ HPTech</t>
  </si>
  <si>
    <t>V20163</t>
  </si>
  <si>
    <t>Thai Pyramid Industrial Co., Ltd</t>
  </si>
  <si>
    <t>V10438</t>
  </si>
  <si>
    <t>Công ty TNHH SC Việt Nam</t>
  </si>
  <si>
    <t>V10461</t>
  </si>
  <si>
    <t>Công ty cổ phần thẩm định giá IVC Việt Nam</t>
  </si>
  <si>
    <t>V10383</t>
  </si>
  <si>
    <t>Công ty TNHH ECOLAB Việt Nam</t>
  </si>
  <si>
    <t>V10388</t>
  </si>
  <si>
    <t>Công ty TNHH tư vấn Hiệu Quả</t>
  </si>
  <si>
    <t>V10469</t>
  </si>
  <si>
    <t>Chi nhánh Công ty cổ phần thương mại và dịch vụ Khánh Nguyên</t>
  </si>
  <si>
    <t>V10480</t>
  </si>
  <si>
    <t>Công ty TNHH Thương mại dịch vụ An Phát</t>
  </si>
  <si>
    <t>V10472</t>
  </si>
  <si>
    <t>Công ty cổ phần truyền thông Trịnh Hoàng</t>
  </si>
  <si>
    <t>V10482</t>
  </si>
  <si>
    <t>Công ty cổ phần dịch vụ du lịch Thiên Đức</t>
  </si>
  <si>
    <t>V10481</t>
  </si>
  <si>
    <t>Công ty TNHH K.N.V</t>
  </si>
  <si>
    <t>V10475</t>
  </si>
  <si>
    <t>Công ty TNHH Ammega Việt Nam</t>
  </si>
  <si>
    <t>V20166</t>
  </si>
  <si>
    <t>Japan Controls Co., Ltd</t>
  </si>
  <si>
    <t>V10478</t>
  </si>
  <si>
    <t>Công ty TNHH đầu tư phát triển Thủy Mộc</t>
  </si>
  <si>
    <t>V10479</t>
  </si>
  <si>
    <t>Công ty CP công nghệ &amp; dịch vụ phần mềm Lạc Long Quân</t>
  </si>
  <si>
    <t>Bridgestone Software Co., Ltd</t>
  </si>
  <si>
    <t>V10477</t>
  </si>
  <si>
    <t>Công ty TNHH Nissin Shoji Việt Nam</t>
  </si>
  <si>
    <t>V10448</t>
  </si>
  <si>
    <t>Công ty TNHH MTV Asahi Tec Việt Nam</t>
  </si>
  <si>
    <t>V10372</t>
  </si>
  <si>
    <t>Công ty TNHH Zenitaka Việt Nam</t>
  </si>
  <si>
    <t>V10493</t>
  </si>
  <si>
    <t>Công ty Cổ phần BĐS Sơn và hóa chất Á Châu</t>
  </si>
  <si>
    <t>V20169</t>
  </si>
  <si>
    <t>Sanyo Shoji Co., Ltd.</t>
  </si>
  <si>
    <t>V20168</t>
  </si>
  <si>
    <t>Kohoku Seiko Co.,Ltd</t>
  </si>
  <si>
    <t>V10492</t>
  </si>
  <si>
    <t>Hộ kinh doanh Hồng Hạnh</t>
  </si>
  <si>
    <t>V10485</t>
  </si>
  <si>
    <t>Công ty cổ phần Maslow Toàn Cầu</t>
  </si>
  <si>
    <t>V10408</t>
  </si>
  <si>
    <t>Công ty TNHH Sản xuất và Thương mại PLC</t>
  </si>
  <si>
    <t>V10484</t>
  </si>
  <si>
    <t>Công ty TNHH Thiết bị Công nghiệp nặng MICO</t>
  </si>
  <si>
    <t>V10483</t>
  </si>
  <si>
    <t>Công ty cổ phần khách sạn du lịch thương mại Tường Đức</t>
  </si>
  <si>
    <t>V4108C0</t>
  </si>
  <si>
    <t>Chi nhánh công ty TNHH JBT-TNT</t>
  </si>
  <si>
    <t>V10498</t>
  </si>
  <si>
    <t>Công ty TNHH Thương mại. dịch vụ và du lịch Quốc Tế Á Châu</t>
  </si>
  <si>
    <t>V10496</t>
  </si>
  <si>
    <t>Công ty TNHH MTV truyền thông và tổ chức sự kiên Perfect Media</t>
  </si>
  <si>
    <t xml:space="preserve">V10499 </t>
  </si>
  <si>
    <t xml:space="preserve">Công ty cổ phần giải pháp nhân sự Việt Nam </t>
  </si>
  <si>
    <t>V10501</t>
  </si>
  <si>
    <t>Công ty cổ phần đầu tư Ginex</t>
  </si>
  <si>
    <t>V10506</t>
  </si>
  <si>
    <t>Công ty cổ phần đầu tư VINGAZ</t>
  </si>
  <si>
    <t>V10495C</t>
  </si>
  <si>
    <t>Công ty TNHH Hankyu Hanshin Express Việt Nam</t>
  </si>
  <si>
    <t>V10507</t>
  </si>
  <si>
    <t>Chi nhánh công ty cổ phần Tiền Phong tại Hải Phòng</t>
  </si>
  <si>
    <t>V10494</t>
  </si>
  <si>
    <t>Công ty TNHH Sebong Vina</t>
  </si>
  <si>
    <t>V10504</t>
  </si>
  <si>
    <t>Công ty TNHH Thương mại đầu tư Xuất nhập khẩu Thái Dương - CN Hải Dương</t>
  </si>
  <si>
    <t>V10503</t>
  </si>
  <si>
    <t>Công ty TNHH Vũ Minh</t>
  </si>
  <si>
    <t>V10497</t>
  </si>
  <si>
    <t>Công ty TNHH SX TM Chu Lai</t>
  </si>
  <si>
    <t>V4097C0</t>
  </si>
  <si>
    <t>The Japanese Chamber of Commerce and Industry in Vietnam-JCCI</t>
  </si>
  <si>
    <t>V10502</t>
  </si>
  <si>
    <t>Công ty Cổ phần dịch vụ thiết bị đo và hệ thống điều khiển</t>
  </si>
  <si>
    <t>V10505</t>
  </si>
  <si>
    <t>Công ty cổ phần thương mại năng lực Việt</t>
  </si>
  <si>
    <t>V10491</t>
  </si>
  <si>
    <t>Công ty TNHH Tuyết Nga</t>
  </si>
  <si>
    <t>V10512</t>
  </si>
  <si>
    <t>Công ty TNHH CRIF D&amp;B Việt Nam</t>
  </si>
  <si>
    <t>V10518</t>
  </si>
  <si>
    <t>Công ty cổ phần đầu tư và phát triển Quang Hải</t>
  </si>
  <si>
    <t>V10514</t>
  </si>
  <si>
    <t>Công ty TNHH Thư Viện Pháp Luật</t>
  </si>
  <si>
    <t>V10488</t>
  </si>
  <si>
    <t>Công ty TNHH Idemitsu Engineering Việt Nam</t>
  </si>
  <si>
    <t>V10511</t>
  </si>
  <si>
    <t>Công ty TNHH Vận tải Phú Quân</t>
  </si>
  <si>
    <t>V10515</t>
  </si>
  <si>
    <t>CN Công ty TNHH MTV Điện lực Hải Phòng - Xí nghiệp dịch vụ điện lực</t>
  </si>
  <si>
    <t>V4044C0</t>
  </si>
  <si>
    <t>Công ty TNHH trường quốc tế QSI Hải Phòng</t>
  </si>
  <si>
    <t>V10530</t>
  </si>
  <si>
    <t>Công ty TNHH Đại Hoàng Việt</t>
  </si>
  <si>
    <t>V10509</t>
  </si>
  <si>
    <t>Công ty cổ phần vận tải taxi Nguyễn Gia</t>
  </si>
  <si>
    <t>V20108</t>
  </si>
  <si>
    <t>Yamato Scale Co., Ltd</t>
  </si>
  <si>
    <t>V10522</t>
  </si>
  <si>
    <t>Công ty cổ phần du lịch và xây dựng Nam Thanh</t>
  </si>
  <si>
    <t>V10521</t>
  </si>
  <si>
    <t>Công ty TNHH Thương mại và dịch vụ Dặm Vàng</t>
  </si>
  <si>
    <t>V10450</t>
  </si>
  <si>
    <t>Trung tâm tư vấn và truyền thông môi trường</t>
  </si>
  <si>
    <t>V10525</t>
  </si>
  <si>
    <t>Công ty Cổ phần Tự Động Việt</t>
  </si>
  <si>
    <t>V10516</t>
  </si>
  <si>
    <t>Công ty cổ phần công nghệ đo lường Bảo Nam</t>
  </si>
  <si>
    <t>V10395</t>
  </si>
  <si>
    <t>Công ty TNHH công nghệ thiết bị điện GBN</t>
  </si>
  <si>
    <t>V10531</t>
  </si>
  <si>
    <t>Công ty TNHH THương Mại Kỹ thuật Quốc tế</t>
  </si>
  <si>
    <t>V10529</t>
  </si>
  <si>
    <t>Công ty TNHH FIL Việt Nam</t>
  </si>
  <si>
    <t>V10528</t>
  </si>
  <si>
    <t>Công ty TNHH Thương mại Sao Mai</t>
  </si>
  <si>
    <t>V10526</t>
  </si>
  <si>
    <t>Công ty TNHH Thương mại BIG-TREE</t>
  </si>
  <si>
    <t>V10527</t>
  </si>
  <si>
    <t>Công ty TNHH vận tải quốc tế Nhật - Việt</t>
  </si>
  <si>
    <t>V10520</t>
  </si>
  <si>
    <t>Công ty cổ phần tập đoàn Công nghiệp Việt</t>
  </si>
  <si>
    <t>V20174</t>
  </si>
  <si>
    <t>EKTRON TEK CO., LTD</t>
  </si>
  <si>
    <t>T3010C0</t>
  </si>
  <si>
    <t>Chi cục kiểm tra sau thông quan - Cục Hải Quan TP Hải Phòng</t>
  </si>
  <si>
    <t>V10523</t>
  </si>
  <si>
    <t>Công ty TNHH IGUS Việt Nam</t>
  </si>
  <si>
    <t>V10519</t>
  </si>
  <si>
    <t>Công ty TNHH Huấn luyện an toàn và kiểm định thiết bị Việt Nam</t>
  </si>
  <si>
    <t>V4094</t>
  </si>
  <si>
    <t>Bùi Thị Thu Trang</t>
  </si>
  <si>
    <t>Bridgestone Tire Sales Korea Ltd.</t>
  </si>
  <si>
    <t>V10510</t>
  </si>
  <si>
    <t>Công ty TNHH Ernst &amp; Young Việt Nam – Chi nhánh Hà Nội</t>
  </si>
  <si>
    <t>V10543</t>
  </si>
  <si>
    <t>Công ty TNHH xây dựng thương mại Tiến Hải</t>
  </si>
  <si>
    <t>V20175</t>
  </si>
  <si>
    <t>Kodaira manufacturing Co.,Ltd</t>
  </si>
  <si>
    <t>V20179</t>
  </si>
  <si>
    <t>Beijing Xiangyuan rubber and Tyre Inspection Technology Service Co.,Ltd</t>
  </si>
  <si>
    <t>V10550</t>
  </si>
  <si>
    <t>Chi nhánh công ty TNHH SMC Corporation(Việt Nam) tại Bắc Ninh</t>
  </si>
  <si>
    <t>V20171</t>
  </si>
  <si>
    <t>Wuxi Tengyu Machinery &amp; Technology Co.,Ltd</t>
  </si>
  <si>
    <t>V20172</t>
  </si>
  <si>
    <t>Shenma Industrial Co., Ltd</t>
  </si>
  <si>
    <t>V10548</t>
  </si>
  <si>
    <t>Công ty Cổ phần nước tinh khiết Samari</t>
  </si>
  <si>
    <t>V10545</t>
  </si>
  <si>
    <t>Công ty TNHH MTV Dịch vụ và Du Lịch Biển Đảo Hải Thành</t>
  </si>
  <si>
    <t>V4106C0</t>
  </si>
  <si>
    <t>Công ty TNHH Bảo hiểm Chubb Việt Nam</t>
  </si>
  <si>
    <t>V10409</t>
  </si>
  <si>
    <t>Chi nhánh Công ty Cổ phần CareerBuilder</t>
  </si>
  <si>
    <t>V20173</t>
  </si>
  <si>
    <t>Kamogawa Co., Ltd</t>
  </si>
  <si>
    <t>V4110C0</t>
  </si>
  <si>
    <t>Eximbank - CN Hải Phòng</t>
  </si>
  <si>
    <t>V10544</t>
  </si>
  <si>
    <t>Công ty TNHH M.J Việt Nam</t>
  </si>
  <si>
    <t>V10554</t>
  </si>
  <si>
    <t>Công ty TNHH Thiết kế châu Á Kume</t>
  </si>
  <si>
    <t>V20162</t>
  </si>
  <si>
    <t>SENNICS CO.,LTD</t>
  </si>
  <si>
    <t>V10547</t>
  </si>
  <si>
    <t xml:space="preserve">Công ty TNHH dịch vụ kỹ thuật Autorotics </t>
  </si>
  <si>
    <t>V10418</t>
  </si>
  <si>
    <t>Công ty cổ phần thí nghiệm điện Việt Nam</t>
  </si>
  <si>
    <t>V20176</t>
  </si>
  <si>
    <t>Shuguang Chemical (Singapore) Pte. Ltd</t>
  </si>
  <si>
    <t>V20181</t>
  </si>
  <si>
    <t>PT.Sumi Asih</t>
  </si>
  <si>
    <t>V10549</t>
  </si>
  <si>
    <t>Công ty TNHH thương mại và dịch vụ kỹ thuật Hải Phú Hà</t>
  </si>
  <si>
    <t>V10555</t>
  </si>
  <si>
    <t>Công ty TNHH đầu tư thương mại và dịch vụ Minh Thành</t>
  </si>
  <si>
    <t>V10553</t>
  </si>
  <si>
    <t>Công ty cổ phần đầu tư CM</t>
  </si>
  <si>
    <t>V20182</t>
  </si>
  <si>
    <t>G T Rubber Co.,Ltd</t>
  </si>
  <si>
    <t>V10552</t>
  </si>
  <si>
    <t>Công ty cổ phần Inotech</t>
  </si>
  <si>
    <t>V10561</t>
  </si>
  <si>
    <t>Công ty TNHH MAERSK Việt Nam</t>
  </si>
  <si>
    <t>Bridgestone Plant Engineering (Thailand) Co., Ltd</t>
  </si>
  <si>
    <t>V10560</t>
  </si>
  <si>
    <t>Công ty TNHH DAMCO Việt Nam</t>
  </si>
  <si>
    <t>V10557</t>
  </si>
  <si>
    <t>Công ty TNHH Tư vấn 3S Việt Nam</t>
  </si>
  <si>
    <t>V20184</t>
  </si>
  <si>
    <t>Wilmar Oleo (Dongguan) Co.,Ltd</t>
  </si>
  <si>
    <t>V10564</t>
  </si>
  <si>
    <t>Công ty TNHH sản xuất Tân Thành</t>
  </si>
  <si>
    <t>V4111C0</t>
  </si>
  <si>
    <t>Nguyễn Thị Lan</t>
  </si>
  <si>
    <t>V4112C0</t>
  </si>
  <si>
    <t>Vũ Ngọc Hưng</t>
  </si>
  <si>
    <t>V4113C0</t>
  </si>
  <si>
    <t>Hà Thúy Miền</t>
  </si>
  <si>
    <t>V10563</t>
  </si>
  <si>
    <t>Công ty TNHH Kanaden Việt Nam</t>
  </si>
  <si>
    <t>V10538</t>
  </si>
  <si>
    <t>Công ty TNHH Tiên Phong Xanh</t>
  </si>
  <si>
    <t>V10558</t>
  </si>
  <si>
    <t>Công ty TNHH MHP Hà Nội</t>
  </si>
  <si>
    <t>V20183</t>
  </si>
  <si>
    <t>Nuova Ciba S.p.A</t>
  </si>
  <si>
    <t>V10575</t>
  </si>
  <si>
    <t>Hộ kinh doanh Đỗ Văn Hiên</t>
  </si>
  <si>
    <t>V10571</t>
  </si>
  <si>
    <t>Viện cơ khí năng lượng và mỏ - VINACOMIN</t>
  </si>
  <si>
    <t>T3013C0</t>
  </si>
  <si>
    <t>Trung tâm Kỹ thuật</t>
  </si>
  <si>
    <t>V10569</t>
  </si>
  <si>
    <t>Công ty TNHH Toàn Thịnh</t>
  </si>
  <si>
    <t>V4114C0</t>
  </si>
  <si>
    <t>Đào Lệ Thu</t>
  </si>
  <si>
    <t>V10556</t>
  </si>
  <si>
    <t>Công ty TNHH Thiết bị Công nghiệp ICHI Việt Nam</t>
  </si>
  <si>
    <t>T3014C0</t>
  </si>
  <si>
    <t>Sở Tài Chính Hải Phòng</t>
  </si>
  <si>
    <t>V10578</t>
  </si>
  <si>
    <t>Công ty TNHH Trần Việt Phát</t>
  </si>
  <si>
    <t>V10559</t>
  </si>
  <si>
    <t>Công ty cổ phần xây dựng và công nghiệp NSN</t>
  </si>
  <si>
    <t>V3200C0</t>
  </si>
  <si>
    <t>RESIDENT EXPATRIATES</t>
  </si>
  <si>
    <t>V10573</t>
  </si>
  <si>
    <t>Công ty TNHH Vân Thăng Long</t>
  </si>
  <si>
    <t>V10577</t>
  </si>
  <si>
    <t>Công ty cổ phần thiết bị công nghiệp Anh Huy</t>
  </si>
  <si>
    <t>V10570</t>
  </si>
  <si>
    <t>Công ty TNHH sản xuất thương mại dịch vụ kỹ thuật Đại Hồng Phát</t>
  </si>
  <si>
    <t>V10574</t>
  </si>
  <si>
    <t>Công ty cổ phần công nghiệp Việt Xuân</t>
  </si>
  <si>
    <t>V10540</t>
  </si>
  <si>
    <t>Công ty TNHH Autech</t>
  </si>
  <si>
    <t>V3000C0</t>
  </si>
  <si>
    <t>LOCAL EMPLOYEES</t>
  </si>
  <si>
    <t>V10583</t>
  </si>
  <si>
    <t>Công ty TNHH kỹ thuật Công nghiệp Đại Nam</t>
  </si>
  <si>
    <t>V10565</t>
  </si>
  <si>
    <t>Công ty Cổ phần ION Hưng Phát</t>
  </si>
  <si>
    <t>V4115C0</t>
  </si>
  <si>
    <t>Nguyễn Văn Thành</t>
  </si>
  <si>
    <t>V20180</t>
  </si>
  <si>
    <t>NIPPON GEAR CO., LTD</t>
  </si>
  <si>
    <t>V4116C0</t>
  </si>
  <si>
    <t>Viện tin học doanh nghiệp</t>
  </si>
  <si>
    <t>V10576</t>
  </si>
  <si>
    <t>Công ty cổ phần dịch vụ y tế Hà Nội</t>
  </si>
  <si>
    <t>V10584</t>
  </si>
  <si>
    <t>Hộ kinh doanh Nguyễn Tất Trung</t>
  </si>
  <si>
    <t>T3015C0</t>
  </si>
  <si>
    <t>Trung tâm đo lường Chất lượng Viễn Thông</t>
  </si>
  <si>
    <t>V10590</t>
  </si>
  <si>
    <t>Công ty cổ phần thương mại XNK dược và thiết bị y tế Hải Phòng</t>
  </si>
  <si>
    <t>V10582</t>
  </si>
  <si>
    <t>Chi nhánh công ty TNHH KONICA MINOLTA BUSINESS SOLUTION VIỆT NAM tại thành phố Hà Nội</t>
  </si>
  <si>
    <t>V10585</t>
  </si>
  <si>
    <t>Công ty cổ phần thương mại và kỹ thuật Minh Dương</t>
  </si>
  <si>
    <t>V10581</t>
  </si>
  <si>
    <t>Trung tâm kiểm định công nghiệp 1</t>
  </si>
  <si>
    <t>V10586</t>
  </si>
  <si>
    <t>CÔNG TY TNHH THAKRAL ONE- CHI NHÁNH TẠI HÀ NỘI</t>
  </si>
  <si>
    <t>V10567</t>
  </si>
  <si>
    <t>Công ty TNHH Giải pháp Kỹ thuật Tân Long</t>
  </si>
  <si>
    <t>V10562</t>
  </si>
  <si>
    <t>Công ty TNHH Tự Động Hóa Việt Đức</t>
  </si>
  <si>
    <t>V10572</t>
  </si>
  <si>
    <t>Công ty Cổ phần Hạo Phương</t>
  </si>
  <si>
    <t>V20187</t>
  </si>
  <si>
    <t>Tanaka Ai (Thailand) Ltd.</t>
  </si>
  <si>
    <t>V10580</t>
  </si>
  <si>
    <t>Công ty TNHH Thương Mại Yên Hưng</t>
  </si>
  <si>
    <t>V10566</t>
  </si>
  <si>
    <t>Công ty cổ phần giao nhận vận tải Vàng</t>
  </si>
  <si>
    <t>V10592</t>
  </si>
  <si>
    <t>Chi nhánh Công ty TNHH tư vấn thuế Deloitte Việt Nam</t>
  </si>
  <si>
    <t>V4117C0</t>
  </si>
  <si>
    <t>Trung tâm đào tạo và giới thiệu việc làm trường Đại học Hàng Hải</t>
  </si>
  <si>
    <t>V10579</t>
  </si>
  <si>
    <t>Công ty TNHH xuất nhập khẩu công nghiệp Á Châu</t>
  </si>
  <si>
    <t>V20186</t>
  </si>
  <si>
    <t>Yamato Scale (Thailand) Co., Ltd</t>
  </si>
  <si>
    <t>V10595</t>
  </si>
  <si>
    <t>Công ty TNHH Dịch vụ Du lịch Cảnh Hưng</t>
  </si>
  <si>
    <t>V10589</t>
  </si>
  <si>
    <t>Công ty TNHH An Bình Giang</t>
  </si>
  <si>
    <t>V10588</t>
  </si>
  <si>
    <t>Công ty TNHH NAITO Việt Nam</t>
  </si>
  <si>
    <t>V20189</t>
  </si>
  <si>
    <t>Shandong Derek New Material Co.,Ltd</t>
  </si>
  <si>
    <t>V10593</t>
  </si>
  <si>
    <t>Công Ty Cổ Phần Kho Vận Và Dịch Vụ Thương Mại</t>
  </si>
  <si>
    <t>V10596</t>
  </si>
  <si>
    <t>Công ty TNHH Thương mại Du lịch và Dịch vụ Hàng không An Bình</t>
  </si>
  <si>
    <t>V20192</t>
  </si>
  <si>
    <t>Thai Tokai Carbon Product Company Limited</t>
  </si>
  <si>
    <t>V20177</t>
  </si>
  <si>
    <t>Wealth Success International Trading Limited</t>
  </si>
  <si>
    <t>T3012C0</t>
  </si>
  <si>
    <t>Trung tâm Kiểm định và Chứng nhận 1</t>
  </si>
  <si>
    <t>V10594</t>
  </si>
  <si>
    <t>Công Ty Cổ Phần Matra Quốc Tế</t>
  </si>
  <si>
    <t>V10591</t>
  </si>
  <si>
    <t>Công ty TNHH Bơm Ebara Việt Nam</t>
  </si>
  <si>
    <t>V10597</t>
  </si>
  <si>
    <t>Công ty TNHH Aono Shokai Việt Nam</t>
  </si>
  <si>
    <t>V10600</t>
  </si>
  <si>
    <t>Khách sạn Mường Thanh Xa La - CN Công ty CP Tập đoàn Mường Thanh</t>
  </si>
  <si>
    <t>V10605</t>
  </si>
  <si>
    <t>Chi nhánh Công ty TNHH Du lịch Trần Việt</t>
  </si>
  <si>
    <t>V4064</t>
  </si>
  <si>
    <t>Công ty Cổ phần TS24</t>
  </si>
  <si>
    <t>V20196</t>
  </si>
  <si>
    <t>ENEOS Materials Corporation</t>
  </si>
  <si>
    <t>V10598</t>
  </si>
  <si>
    <t>Công ty TNHH thương mại điện cơ Tân Tiến</t>
  </si>
  <si>
    <t>V20178</t>
  </si>
  <si>
    <t>Mitsubishi Heavy Industries Machinery System, Ltd.</t>
  </si>
  <si>
    <t>V4118C0</t>
  </si>
  <si>
    <t>Nguyễn Văn Đông</t>
  </si>
  <si>
    <t>V4119C0</t>
  </si>
  <si>
    <t>Bùi Thị Lương</t>
  </si>
  <si>
    <t>V10614</t>
  </si>
  <si>
    <t>Khách sạn Mường Thanh Hà Nội - CN Công ty CP Tập đoàn Mường Thanh</t>
  </si>
  <si>
    <t>V10607</t>
  </si>
  <si>
    <t>Công Ty Cổ Phần Quốc Tế Thăng Long P&amp;T</t>
  </si>
  <si>
    <t>V10599</t>
  </si>
  <si>
    <t>Công ty Cổ phần Asin Việt Nam</t>
  </si>
  <si>
    <t>V10601</t>
  </si>
  <si>
    <t>Công ty CP sản xuất và dịch vụ thương mại Quốc Tuấn</t>
  </si>
  <si>
    <t>V10604</t>
  </si>
  <si>
    <t>Công ty cổ phần kỹ thuật xây dựng và thương mại thiết bị phòng cháy chữa cháy Đại Việt</t>
  </si>
  <si>
    <t>V10620</t>
  </si>
  <si>
    <t>Trung tâm kỹ thuật - Dữ liệu, Thông tin tài nguyên và môi trường</t>
  </si>
  <si>
    <t>V10612</t>
  </si>
  <si>
    <t>Công ty TNHH thương mại Hiệp Minh Phát</t>
  </si>
  <si>
    <t>V10613</t>
  </si>
  <si>
    <t>Công ty cổ phần kiểm định huấn luyện an toàn Việt Nam</t>
  </si>
  <si>
    <t>V10616</t>
  </si>
  <si>
    <t>Bệnh viện Kiến An</t>
  </si>
  <si>
    <t>V20193</t>
  </si>
  <si>
    <t>Sanko Industrial Solutions Co., Ltd</t>
  </si>
  <si>
    <t>V10429</t>
  </si>
  <si>
    <t>Công ty cổ phần BKAV</t>
  </si>
  <si>
    <t>V4120C0</t>
  </si>
  <si>
    <t>Đinh Thị Luận</t>
  </si>
  <si>
    <t>V10609</t>
  </si>
  <si>
    <t>Công ty trách nhiệm hữu hạn ISN-JUTEC</t>
  </si>
  <si>
    <t>V10618</t>
  </si>
  <si>
    <t>Công ty TNHH Chuo Việt Nam</t>
  </si>
  <si>
    <t>V10626</t>
  </si>
  <si>
    <t>CÔNG TY CỔ PHẦN VI NA PHẠM</t>
  </si>
  <si>
    <t>V10615</t>
  </si>
  <si>
    <t>Công ty TNHH thương mại - kỹ thuật công nghiệp Đen-ta</t>
  </si>
  <si>
    <t>V10611</t>
  </si>
  <si>
    <t>Công ty TNHH Thang Long Tech</t>
  </si>
  <si>
    <t>V10622</t>
  </si>
  <si>
    <t>Chi nhánh công ty TNHH thương mại và dịch vụ YSCM global tại Hà Nội</t>
  </si>
  <si>
    <t>V10625</t>
  </si>
  <si>
    <t>Công ty TNHH kỹ thuật ABA</t>
  </si>
  <si>
    <t>V20191</t>
  </si>
  <si>
    <t>IHI Asia Pacific (Thailand) Co., Ltd</t>
  </si>
  <si>
    <t>V10375</t>
  </si>
  <si>
    <t>CÔNG TY CỔ PHẦN CÔNG NGHỆ VÀ THIẾT BỊ CNC HÀ NỘI</t>
  </si>
  <si>
    <t>V10603</t>
  </si>
  <si>
    <t>CÔNG TY TNHH GIẢI PHÁP NĂNG LƯỢNG THIÊN TRƯỜNG</t>
  </si>
  <si>
    <t>V10608</t>
  </si>
  <si>
    <t>Công ty Cổ phần đầu tư phát triển và xuất nhập khẩu Hưng Phúc</t>
  </si>
  <si>
    <t>V10610</t>
  </si>
  <si>
    <t>Công Ty TNHH Thương Mại và Giải Pháp Tự Động Hóa Việt Nam</t>
  </si>
  <si>
    <t>V10624</t>
  </si>
  <si>
    <t>Công ty TNHH Taishun Việt Nam</t>
  </si>
  <si>
    <t>V10621</t>
  </si>
  <si>
    <t>CÔNG TY TNHH NAKASHIMA VIỆT NAM</t>
  </si>
  <si>
    <t>V20200</t>
  </si>
  <si>
    <t>Torishima Service Solutions Asia Pte. Ltd.</t>
  </si>
  <si>
    <t>V10619</t>
  </si>
  <si>
    <t>Công ty TNHH Bureau Veritas Certification (Việt Nam)</t>
  </si>
  <si>
    <t>Bridgestone Americas, Inc.</t>
  </si>
  <si>
    <t>V10623</t>
  </si>
  <si>
    <t>Công ty TNHH Công Nghệ Bách Khoa Phú Thọ</t>
  </si>
  <si>
    <t>V10606</t>
  </si>
  <si>
    <t>CHI NHÁNH CÔNG TY CỔ PHẦN TƯ VẤN EY VIỆT NAM TẠI THÀNH PHỐ HỒ CHÍ MINH</t>
  </si>
  <si>
    <t>V10617</t>
  </si>
  <si>
    <t>Công ty TNHH SM-CYCLO (VIỆT NAM)</t>
  </si>
  <si>
    <t>V10628</t>
  </si>
  <si>
    <t>Công ty TNHH Fujimoto Sangyo Việt Nam</t>
  </si>
  <si>
    <t>V10627</t>
  </si>
  <si>
    <t>CÔNG TY CỔ PHẦN VÒNG BI PECOM</t>
  </si>
  <si>
    <t>V10535</t>
  </si>
  <si>
    <t>Công ty TNHH tư vấn và đầu tư Gia Minh</t>
  </si>
  <si>
    <t>V10633</t>
  </si>
  <si>
    <t>CÔNG TY TNHH KỸ THUẬT KENTA VIỆT NAM</t>
  </si>
  <si>
    <t>V10634</t>
  </si>
  <si>
    <t>Công ty TNHH Chế tạo cơ điện &amp; thương mại Anh Dũng</t>
  </si>
  <si>
    <t>V10629</t>
  </si>
  <si>
    <t>Trung tâm kiểm soát bệnh tật thành phố Hải Phòng</t>
  </si>
  <si>
    <t>V10630</t>
  </si>
  <si>
    <t>CÔNG TY TNHH AMANO VIỆT NAM</t>
  </si>
  <si>
    <t>V10631</t>
  </si>
  <si>
    <t>CÔNG TY TNHH VẬT TƯ KỸ THUẬT A&amp;M VIỆT NAM</t>
  </si>
  <si>
    <t>V10632</t>
  </si>
  <si>
    <t>CÔNG TY CỔ PHẦN THIẾT BỊ QUANG MINH</t>
  </si>
  <si>
    <t>V10635</t>
  </si>
  <si>
    <t>CÔNG TY TNHH DỊCH VỤ TRANE VIỆT NAM</t>
  </si>
  <si>
    <t>V10636</t>
  </si>
  <si>
    <t>CÔNG TY TNHH MTV AZ</t>
  </si>
  <si>
    <t>V10637</t>
  </si>
  <si>
    <t>CÔNG TY TNHH EXTENDMAX VIỆT NAM</t>
  </si>
  <si>
    <t>V10638</t>
  </si>
  <si>
    <t>CÔNG TY TNHH THƯƠNG MẠI VÀ DỊCH VỤ QUẢNG CÁO PUKA</t>
  </si>
  <si>
    <t>V10639</t>
  </si>
  <si>
    <t>CÔNG TY TNHH PHẠM LINH HƯƠNG</t>
  </si>
  <si>
    <t>V10640</t>
  </si>
  <si>
    <t>CÔNG TY TNHH TƯ VẤN &amp; ĐÀO TẠO ISO SOLUTIONS</t>
  </si>
  <si>
    <t>V10642</t>
  </si>
  <si>
    <t>Công ty TNHH Thương Mại và Dịch Vụ Tăng Minh Phát</t>
  </si>
  <si>
    <t>V10643</t>
  </si>
  <si>
    <t>Công ty TNHH Kuehne + Nagel</t>
  </si>
  <si>
    <t>V20201</t>
  </si>
  <si>
    <t>TSRC Corporation</t>
  </si>
  <si>
    <t>V20202</t>
  </si>
  <si>
    <t>UBE Elastomer Co. Ltd</t>
  </si>
  <si>
    <t>V20203</t>
  </si>
  <si>
    <t>Flexsys Netherlands B.V.</t>
  </si>
  <si>
    <t>V20204</t>
  </si>
  <si>
    <t>Crowell and Moring LLP</t>
  </si>
  <si>
    <t>V20205</t>
  </si>
  <si>
    <t>Tianjin Jiurong Industry Tech Co., Ltd</t>
  </si>
  <si>
    <t>V20206</t>
  </si>
  <si>
    <t>Bureau Veritas Certification (Thailand) Ltd</t>
  </si>
  <si>
    <t>V20197</t>
  </si>
  <si>
    <t>WASINO TRADING CORPORATION</t>
  </si>
  <si>
    <t>V10644</t>
  </si>
  <si>
    <t>Công ty cổ phần Fiingroup</t>
  </si>
  <si>
    <t>V20207</t>
  </si>
  <si>
    <t>Monsoon Carbon Pte Ltd</t>
  </si>
  <si>
    <t>V20208</t>
  </si>
  <si>
    <t>Jufan Industrial Co., Ltd</t>
  </si>
  <si>
    <t>V10645</t>
  </si>
  <si>
    <t>Công ty TNHH vận chuyển người bệnh đất cảng</t>
  </si>
  <si>
    <t>Bridgestone Carbon Black (Thailand) Co.,Ltd</t>
  </si>
  <si>
    <t>V20209</t>
  </si>
  <si>
    <t>Amstrong Rubber and Chemical Products Co., Ltd</t>
  </si>
  <si>
    <t>V10651</t>
  </si>
  <si>
    <t>Công ty TNHH Nguyễn Hoàng Huynh</t>
  </si>
  <si>
    <t>V10652</t>
  </si>
  <si>
    <t>Công ty TNHH Đầu Tư và Phát Triển Thương Mại Quốc Tế AG</t>
  </si>
  <si>
    <t>V20211</t>
  </si>
  <si>
    <t>Qingdao Mesnac Machinery and Electric Engineering Co., Ltd</t>
  </si>
  <si>
    <t>V10653</t>
  </si>
  <si>
    <t>Công ty cổ phần kinh doanh thiết bị đo lường</t>
  </si>
  <si>
    <t>V20212</t>
  </si>
  <si>
    <t>Eidensha Co., Ltd</t>
  </si>
  <si>
    <t>V10654</t>
  </si>
  <si>
    <t>Công ty TNHH Phan Hà Anh</t>
  </si>
  <si>
    <t>V10655</t>
  </si>
  <si>
    <t>Công ty TNHH thương mại vận tải xuất nhập khẩu Tuấn Đạt</t>
  </si>
  <si>
    <t>V20213</t>
  </si>
  <si>
    <t>Jagro Singapore Pte. Ltd</t>
  </si>
  <si>
    <t>V10656</t>
  </si>
  <si>
    <t>Công ty cổ phần quản lý chuỗi cung ứng Jupiter Hải Phòng Việt Nam- Chi nhánh Đình Vũ</t>
  </si>
  <si>
    <t>V10657</t>
  </si>
  <si>
    <t>Hộ kinh doanh Phạm Xuân Tiến</t>
  </si>
  <si>
    <t>V10646</t>
  </si>
  <si>
    <t>Công ty TNHH dịch vụ IKAO</t>
  </si>
  <si>
    <t>V20170</t>
  </si>
  <si>
    <t>KATSURA ROLLER MFG CO.,LTD</t>
  </si>
  <si>
    <t>V10649</t>
  </si>
  <si>
    <t xml:space="preserve">Công ty cổ phần tư vấn xây dựng đô thị và phát triển công nghiệp </t>
  </si>
  <si>
    <t>V10660</t>
  </si>
  <si>
    <t>Công ty Cổ phần chứng số an toàn</t>
  </si>
  <si>
    <t>V10650</t>
  </si>
  <si>
    <t>Công ty cổ phần dịch vụ và ứng dụng tự động A2S</t>
  </si>
  <si>
    <t>V10658</t>
  </si>
  <si>
    <t>Công ty TNHH Thương Mại và Dịch Vụ LLAMA Quốc Tế</t>
  </si>
  <si>
    <t>V10659</t>
  </si>
  <si>
    <t>Công ty Cổ phần MPK Việt Nam</t>
  </si>
  <si>
    <t>V20210</t>
  </si>
  <si>
    <t>Evonik (SEA) Pte. Ltd</t>
  </si>
  <si>
    <t>V10661</t>
  </si>
  <si>
    <t>Công ty Cổ phần Đầu Tư &amp; Công nghệ Push</t>
  </si>
  <si>
    <t>V20214</t>
  </si>
  <si>
    <t>Exel Rubber Private Limited</t>
  </si>
  <si>
    <t>V10662</t>
  </si>
  <si>
    <t>Công ty TNHH Kỹ Thuật Nhật Phát</t>
  </si>
  <si>
    <t>V10663</t>
  </si>
  <si>
    <t>Công ty trách nhiệm hữu hạn H &amp; H</t>
  </si>
  <si>
    <t>V10647</t>
  </si>
  <si>
    <t>Công ty cổ phần đầu tư thương mại Tường Vi</t>
  </si>
  <si>
    <t>V10664</t>
  </si>
  <si>
    <t>Công ty TNHH dịch vụ kỹ thuật tiêu chuẩn thông dụng</t>
  </si>
  <si>
    <t>V10665</t>
  </si>
  <si>
    <t>Công ty TNHH Kỹ Thuật Hùng Vương</t>
  </si>
  <si>
    <t>V10666</t>
  </si>
  <si>
    <t>Công ty TNHH NACS Engineering Việt Nam</t>
  </si>
  <si>
    <t>V20215</t>
  </si>
  <si>
    <t>G M Root Asia Limited</t>
  </si>
  <si>
    <t>V10667</t>
  </si>
  <si>
    <t>Công ty cổ phần Thí nghiệm Khảo sát và Xây dựng Bạch Đằng</t>
  </si>
  <si>
    <t>V10669</t>
  </si>
  <si>
    <t>Công ty TNHH Ocean Network Express (Việt Nam)</t>
  </si>
  <si>
    <t>V10670</t>
  </si>
  <si>
    <t>Công ty TNHH Vina Foam Việt Nam</t>
  </si>
  <si>
    <t>Bridgestone Chemical Products Malaysia Sdn Bhd</t>
  </si>
  <si>
    <t>V20217</t>
  </si>
  <si>
    <t>Bridgestone Tatabánya Kft.</t>
  </si>
  <si>
    <t>V10672</t>
  </si>
  <si>
    <t>Kintetsu World Express (Vietnam) - Hanoi Branch</t>
  </si>
  <si>
    <t>V10673</t>
  </si>
  <si>
    <t>Công ty TNHH Thương Mại Dịch Vụ Greentech</t>
  </si>
  <si>
    <t>V10671</t>
  </si>
  <si>
    <t>Công ty TNHH Bureau Veritas Việt Nam</t>
  </si>
  <si>
    <t>V10668</t>
  </si>
  <si>
    <t>Công ty TNHH Nguồn Nhân Lực SK Việt Nam</t>
  </si>
  <si>
    <t>V20195</t>
  </si>
  <si>
    <t>Bekaert Toko Metal Fiber Co., Ltd</t>
  </si>
  <si>
    <t>V10674</t>
  </si>
  <si>
    <t>CÔNG TY CỔ PHẦN PHÁT TRIỂN DỊCH VỤ ĐÁM MÂY CLOUDAZ</t>
  </si>
  <si>
    <t>V10675</t>
  </si>
  <si>
    <t>Công ty TNHH tự động hóa mặt trời</t>
  </si>
  <si>
    <t>V10676</t>
  </si>
  <si>
    <t>Công ty cổ phần thiết bị Minh Khang</t>
  </si>
  <si>
    <t>V10677</t>
  </si>
  <si>
    <t>Công ty TNHH Hoa Ý</t>
  </si>
  <si>
    <t>V20218</t>
  </si>
  <si>
    <t>KYOKUTO BOEKI KAISHA, LTD</t>
  </si>
  <si>
    <t>V10679</t>
  </si>
  <si>
    <t>Công ty TNHH Việt Jungle</t>
  </si>
  <si>
    <t>V10678</t>
  </si>
  <si>
    <t>Công ty cổ phần công nghệ Quỳnh</t>
  </si>
  <si>
    <t>V4074C0</t>
  </si>
  <si>
    <t>Công ty TNHH Nhất Ly</t>
  </si>
  <si>
    <t>V20220</t>
  </si>
  <si>
    <t>NB Ventures, Inc.</t>
  </si>
  <si>
    <t>V10687</t>
  </si>
  <si>
    <t>Công ty TNHH Fuji Electric Việt Nam</t>
  </si>
  <si>
    <t>V10684</t>
  </si>
  <si>
    <t>Công ty TNHH So Asia</t>
  </si>
  <si>
    <t>V10685</t>
  </si>
  <si>
    <t>Công ty TNHH Cảnh Quan Thiên Thanh</t>
  </si>
  <si>
    <t>V10680C</t>
  </si>
  <si>
    <t>Công ty TNHH kỹ thuật động lực Servo</t>
  </si>
  <si>
    <t>V10682C</t>
  </si>
  <si>
    <t>Công ty TNHH Thương Mại và Kỹ Thuật Phan Long</t>
  </si>
  <si>
    <t>V20222</t>
  </si>
  <si>
    <t>EY Coporate Advisors Pte. Ltd</t>
  </si>
  <si>
    <t>V10686</t>
  </si>
  <si>
    <t>Công ty TNHH Hoa Sen Hải Dương</t>
  </si>
  <si>
    <t>V10688</t>
  </si>
  <si>
    <t>Công ty TNHH ABB Châu Á</t>
  </si>
  <si>
    <t>V20221</t>
  </si>
  <si>
    <t>MERCURY JAPAN LTD.</t>
  </si>
  <si>
    <t>V10683</t>
  </si>
  <si>
    <t>Công ty TNHH CCL Design Việt Nam</t>
  </si>
  <si>
    <t>V10689C</t>
  </si>
  <si>
    <t>Viện khoa học môi trường và sức khỏe cộng đồng</t>
  </si>
  <si>
    <t>V20223A</t>
  </si>
  <si>
    <t>SI Group- Nanjing Co., Ltd</t>
  </si>
  <si>
    <t>V20185</t>
  </si>
  <si>
    <t>DT Asia PTE LTD</t>
  </si>
  <si>
    <t>V10693C</t>
  </si>
  <si>
    <t>Công ty TNHH Thương mại và xây dựng An Sinh</t>
  </si>
  <si>
    <t>V10694C</t>
  </si>
  <si>
    <t>Công ty TNHH SEW-EURODRIVE</t>
  </si>
  <si>
    <t>V10695C</t>
  </si>
  <si>
    <t>Công ty cổ phần tem nhãn và bao bì Xlabels</t>
  </si>
  <si>
    <t>V20224C</t>
  </si>
  <si>
    <t>Flynde Singapore Pte Ltd</t>
  </si>
  <si>
    <t>V10690C</t>
  </si>
  <si>
    <t>Công ty TNHH thương mại dịch vụ kỹ thuật Sao Phương Nam</t>
  </si>
  <si>
    <t>V20225B</t>
  </si>
  <si>
    <t>Changzhou Baoling Heavy &amp; Industrial Machinery Co., Ltd</t>
  </si>
  <si>
    <t>V20226A</t>
  </si>
  <si>
    <t>Madhu Silica Pvt. Ltd</t>
  </si>
  <si>
    <t>V10696B</t>
  </si>
  <si>
    <t>Công ty TNHH Sản Xuất Pallet CS Việt Nam</t>
  </si>
  <si>
    <t>V10697C</t>
  </si>
  <si>
    <t>Công ty TNHH Đầu tư và dịch vụ Cường Ngân</t>
  </si>
  <si>
    <t>V10699C</t>
  </si>
  <si>
    <t>Công ty TNHH Tích Hợp Hệ Thống Quản Lý Quốc Tế</t>
  </si>
  <si>
    <t>V10700C</t>
  </si>
  <si>
    <t>Công ty cổ phần tập đoàn Du lịch Hải Đăng</t>
  </si>
  <si>
    <t>V10701</t>
  </si>
  <si>
    <t>Công ty cổ phần giao nhận tiếp vận quốc tế</t>
  </si>
  <si>
    <t>V10702C</t>
  </si>
  <si>
    <t>Công ty cổ phần Quốc tế ALO TOUR</t>
  </si>
  <si>
    <t>V20227C</t>
  </si>
  <si>
    <t>Skillsoft Asia Pacific Pte Ltd</t>
  </si>
  <si>
    <t>V10691C</t>
  </si>
  <si>
    <t>Công ty TNHH Thương mại Dịch vụ Điền Gia Hưng</t>
  </si>
  <si>
    <t>V10698C</t>
  </si>
  <si>
    <t>Công ty TNHH Aeon Việt Nam - Chi nhánh Hải Phòng</t>
  </si>
  <si>
    <t>V10703C</t>
  </si>
  <si>
    <t>Công ty TNHH DACO</t>
  </si>
  <si>
    <t>V10704B</t>
  </si>
  <si>
    <t>Công ty TNHH Tsubaco Việt Nam</t>
  </si>
  <si>
    <t>V10705B</t>
  </si>
  <si>
    <t>Công ty cổ phần BIMEXCO EC</t>
  </si>
  <si>
    <t>V20228A</t>
  </si>
  <si>
    <t>Lanxess Belgium N.V</t>
  </si>
  <si>
    <t>V10707</t>
  </si>
  <si>
    <t>Công ty TNHH thương mại MESO</t>
  </si>
  <si>
    <t>V10708</t>
  </si>
  <si>
    <t>Công ty TNHH MITSUI-SOKO VIỆT NAM</t>
  </si>
  <si>
    <t>V10709</t>
  </si>
  <si>
    <t>Công ty TNHH sự kiện và truyền thông Sungo</t>
  </si>
  <si>
    <t>V10710</t>
  </si>
  <si>
    <t>Công ty TNHH Nissin Lube Việt Nam</t>
  </si>
  <si>
    <t>V20219</t>
  </si>
  <si>
    <t>SHANGHAI HEWEI MACHINERY IMPORT &amp; EXPORT CO., LTD</t>
  </si>
  <si>
    <t>V10711</t>
  </si>
  <si>
    <t>Công ty TNHH KPMG</t>
  </si>
  <si>
    <t>V10692</t>
  </si>
  <si>
    <t>Công ty TNHH một thành viên thương mại dịch vụ Gia Nguyễn Nguyễn</t>
  </si>
  <si>
    <t>V10712</t>
  </si>
  <si>
    <t>Công ty cổ phần cơ khí và dịch vụ thương mại An Bình</t>
  </si>
  <si>
    <t>V10713</t>
  </si>
  <si>
    <t>Công ty cổ phần RTC Technology Việt Nam</t>
  </si>
  <si>
    <t>V10714</t>
  </si>
  <si>
    <t>Chi nhánh Hải Phòng- Công ty cổ phần Vinpearl</t>
  </si>
  <si>
    <t>V10715</t>
  </si>
  <si>
    <t>Công ty cổ phần Tu-Seiki</t>
  </si>
  <si>
    <t>V10384</t>
  </si>
  <si>
    <t>Công ty cổ phần đầu tư sản xuất năng lượng xanh</t>
  </si>
  <si>
    <t>Folder_name</t>
  </si>
  <si>
    <t>IMPORT_VENDOR</t>
  </si>
  <si>
    <t>Tokyo</t>
  </si>
  <si>
    <t>8701219</t>
  </si>
  <si>
    <t>SUMITOMO MITSUI  BANKING CORPORATION- NINGYOCHO BRANCH</t>
  </si>
  <si>
    <t>+81-3-3665-6461</t>
  </si>
  <si>
    <t>13-10 Nihombashi - Odenmacho, Chuo-ku, Tokyo 103-8570 Japan</t>
  </si>
  <si>
    <t>Đơn vị, tổ chức</t>
  </si>
  <si>
    <t>V20104C</t>
  </si>
  <si>
    <t>V20104B</t>
  </si>
  <si>
    <t>V20104A</t>
  </si>
  <si>
    <t>Osaka</t>
  </si>
  <si>
    <t>289271</t>
  </si>
  <si>
    <t>Sumitomo Mitsui banking corporation - Branch SENBA</t>
  </si>
  <si>
    <t>(06) 653403224</t>
  </si>
  <si>
    <t>2-3-16 Itachibori, Nishi-ku, Osaka 550-8660 Japan</t>
  </si>
  <si>
    <t>V20123C</t>
  </si>
  <si>
    <t>Sumitomo Mitsui banking corporation / SENBA</t>
  </si>
  <si>
    <t>V20123B</t>
  </si>
  <si>
    <t>Akashi</t>
  </si>
  <si>
    <t>1300781</t>
  </si>
  <si>
    <t>Sumitomo Mitsui Banking Corporation-Akashi Branch</t>
  </si>
  <si>
    <t>+81-78-918-5568</t>
  </si>
  <si>
    <t>5-22 Saenba-Cho, Akashi 673-8688, Japan</t>
  </si>
  <si>
    <t>V20108C</t>
  </si>
  <si>
    <t>Samutprakarn</t>
  </si>
  <si>
    <t>2210077602</t>
  </si>
  <si>
    <t>Sumitomo Mitsui banking Corporation-Bangkok Branch</t>
  </si>
  <si>
    <t>88/6 Moo.23 Soi Thidinthai, Thepharak Rd., Bangpleeyai, Bangplee, Samutprakarn 10540 Thailand</t>
  </si>
  <si>
    <t>V20186C</t>
  </si>
  <si>
    <t>Yamaguchi Bank</t>
  </si>
  <si>
    <t>006001</t>
  </si>
  <si>
    <t>Jiangsu</t>
  </si>
  <si>
    <t>504070916298</t>
  </si>
  <si>
    <t>Bank of China-Xishan sub-Branch</t>
  </si>
  <si>
    <t>85301493</t>
  </si>
  <si>
    <t>Wuxi Tengyu Machinery &amp; Technology Co., Ltd</t>
  </si>
  <si>
    <t>No.126 Xingyuan Road, Ehu town, Xishan District, Wuxi City, Jiangsu, china</t>
  </si>
  <si>
    <t>V20171C</t>
  </si>
  <si>
    <t>V20171B</t>
  </si>
  <si>
    <t>CG</t>
  </si>
  <si>
    <t>No.126 Xingyuan Road, Ehu town, Xishan District, Wuxi City, Jiangsu, China</t>
  </si>
  <si>
    <t>CG450027C0</t>
  </si>
  <si>
    <t>WOORI BANK, SME Fin.cen</t>
  </si>
  <si>
    <t>005902</t>
  </si>
  <si>
    <t>WOORI BANK, SEOUL</t>
  </si>
  <si>
    <t>005901</t>
  </si>
  <si>
    <t>Hyogo-Ken</t>
  </si>
  <si>
    <t>299102</t>
  </si>
  <si>
    <t>The Sumitomo Mitsui Banking Corporation - Utajimabashi Branch</t>
  </si>
  <si>
    <t>81-6-6482-3838</t>
  </si>
  <si>
    <t>1-9-27, Jokoji, Amagasaki-shi, Hyogo-ken 660-0811, Japan</t>
  </si>
  <si>
    <t>V20074C</t>
  </si>
  <si>
    <t>V20074B</t>
  </si>
  <si>
    <t>V20074A</t>
  </si>
  <si>
    <t>Guandong</t>
  </si>
  <si>
    <t>2010027919144200976</t>
  </si>
  <si>
    <t>Industrial and Commercial Bank of China, Dongguan branch</t>
  </si>
  <si>
    <t>WILMAR OLEO (DONGGUAN) CO., LTD</t>
  </si>
  <si>
    <t>Xinsha Industrial Zone, Machong Town, Dongguan, Guangdong, China 523147</t>
  </si>
  <si>
    <t>V20184A</t>
  </si>
  <si>
    <t>Hongkong</t>
  </si>
  <si>
    <t>015-514-25-07060-9</t>
  </si>
  <si>
    <t>BANK OF EAST ASIA, LIMITED,THE HONG KONG HK.</t>
  </si>
  <si>
    <t>Unit 2209, 22/F, Wu Chung House, 213 Queen's Road East, Wanchai, Hongkong</t>
  </si>
  <si>
    <t>V20177C</t>
  </si>
  <si>
    <t>Aichi</t>
  </si>
  <si>
    <t>2-1-20 Toei-cho, Anjyo, Aichi.446-0007, Japan</t>
  </si>
  <si>
    <t>V20197B</t>
  </si>
  <si>
    <t>GEN</t>
  </si>
  <si>
    <t>Quảng Ninh</t>
  </si>
  <si>
    <t>8002205227633</t>
  </si>
  <si>
    <t>AGRIBANK</t>
  </si>
  <si>
    <t>Hiệp Hòa, Quảng Yên, Quảng Ninh</t>
  </si>
  <si>
    <t>Cá nhân</t>
  </si>
  <si>
    <t>GOV</t>
  </si>
  <si>
    <t>Hải Phòng</t>
  </si>
  <si>
    <t>VP ủy ban Nhân dân Quận Lê Chân</t>
  </si>
  <si>
    <t>T3004C0</t>
  </si>
  <si>
    <t>VP Bank</t>
  </si>
  <si>
    <t>005803</t>
  </si>
  <si>
    <t>005802</t>
  </si>
  <si>
    <t>005801</t>
  </si>
  <si>
    <t>Vietnam Thuong Tin (Vietbank) Commercial Joint</t>
  </si>
  <si>
    <t>006201</t>
  </si>
  <si>
    <t>Vietnam Maritime Commercial Joint Stock Bank</t>
  </si>
  <si>
    <t>003403</t>
  </si>
  <si>
    <t>003402</t>
  </si>
  <si>
    <t>003401</t>
  </si>
  <si>
    <t>Vietnam Export Import Commercial Joint Stock Bank</t>
  </si>
  <si>
    <t>030001</t>
  </si>
  <si>
    <t>Vietnam Export Import commercial Joint - Stock Bank</t>
  </si>
  <si>
    <t>002009</t>
  </si>
  <si>
    <t>002008</t>
  </si>
  <si>
    <t>002007</t>
  </si>
  <si>
    <t>002006</t>
  </si>
  <si>
    <t>002005</t>
  </si>
  <si>
    <t>002004</t>
  </si>
  <si>
    <t>002003</t>
  </si>
  <si>
    <t>002002</t>
  </si>
  <si>
    <t>160314851007042</t>
  </si>
  <si>
    <t>002001</t>
  </si>
  <si>
    <t>Vietin bank</t>
  </si>
  <si>
    <t>005715</t>
  </si>
  <si>
    <t>005714</t>
  </si>
  <si>
    <t>005713</t>
  </si>
  <si>
    <t>005712</t>
  </si>
  <si>
    <t>005711</t>
  </si>
  <si>
    <t>005710</t>
  </si>
  <si>
    <t>005709</t>
  </si>
  <si>
    <t>005708</t>
  </si>
  <si>
    <t>005707</t>
  </si>
  <si>
    <t>005706</t>
  </si>
  <si>
    <t>005705</t>
  </si>
  <si>
    <t>005704</t>
  </si>
  <si>
    <t>005703</t>
  </si>
  <si>
    <t>005702</t>
  </si>
  <si>
    <t>005701</t>
  </si>
  <si>
    <t>Vietcombank - Haiphong Branch</t>
  </si>
  <si>
    <t>275 Lạch Tray, Hải phòng</t>
  </si>
  <si>
    <t>V4072C0</t>
  </si>
  <si>
    <t>Vietcombank - CN Hải Phòng</t>
  </si>
  <si>
    <t>11 Hoàng Diệu, Hồng Bàng, Hải Phòng</t>
  </si>
  <si>
    <t>CG470004C0</t>
  </si>
  <si>
    <t>Vietcombank</t>
  </si>
  <si>
    <t>005623</t>
  </si>
  <si>
    <t>005618</t>
  </si>
  <si>
    <t>005617</t>
  </si>
  <si>
    <t>005616</t>
  </si>
  <si>
    <t>005615</t>
  </si>
  <si>
    <t>005614</t>
  </si>
  <si>
    <t>005613</t>
  </si>
  <si>
    <t>005612</t>
  </si>
  <si>
    <t>005611</t>
  </si>
  <si>
    <t>005610</t>
  </si>
  <si>
    <t>005609</t>
  </si>
  <si>
    <t>005608</t>
  </si>
  <si>
    <t>005607</t>
  </si>
  <si>
    <t>005606</t>
  </si>
  <si>
    <t>005605</t>
  </si>
  <si>
    <t>005604</t>
  </si>
  <si>
    <t>005603</t>
  </si>
  <si>
    <t>005602</t>
  </si>
  <si>
    <t>31000785509</t>
  </si>
  <si>
    <t>005601</t>
  </si>
  <si>
    <t>005621</t>
  </si>
  <si>
    <t>005622</t>
  </si>
  <si>
    <t>Viet Nam International Bank (VIB)</t>
  </si>
  <si>
    <t>005404</t>
  </si>
  <si>
    <t>005403</t>
  </si>
  <si>
    <t>005402</t>
  </si>
  <si>
    <t>005401</t>
  </si>
  <si>
    <t>DOM</t>
  </si>
  <si>
    <t>2100311000042</t>
  </si>
  <si>
    <t>Ngân hàng NNPT NT Hải Phòng</t>
  </si>
  <si>
    <t>Võ Nguyên Giáp, P.Kênh Dương, Lê chân, Hải phòng</t>
  </si>
  <si>
    <t>V10278C</t>
  </si>
  <si>
    <t>Hà Nội</t>
  </si>
  <si>
    <t>0011001461477</t>
  </si>
  <si>
    <t>Sở giao dịch Vietcombank</t>
  </si>
  <si>
    <t>Số 9 Đào Duy Anh, Quận Đống Đa, TP Hà Nội</t>
  </si>
  <si>
    <t>Viễn thông Hải Phòng</t>
  </si>
  <si>
    <t>Số 4, Lạch Tray, Ngô Quyền, Hải Phòng</t>
  </si>
  <si>
    <t>CG440002C0</t>
  </si>
  <si>
    <t>0200 1010 8888 88</t>
  </si>
  <si>
    <t>TMCP Hàng hải - CN Hải Phòng</t>
  </si>
  <si>
    <t>0200287977</t>
  </si>
  <si>
    <t>V4047C0</t>
  </si>
  <si>
    <t>1251 0000 160 116</t>
  </si>
  <si>
    <t>TMCP Đầu tư và phát triển Việt Nam - CN Đông Đô</t>
  </si>
  <si>
    <t>04.35551723</t>
  </si>
  <si>
    <t>Viện quản lý toàn cầu</t>
  </si>
  <si>
    <t>0100514947-010</t>
  </si>
  <si>
    <t>P.304, Tòa nhà Đa Năng, 169 Nguyễn Ngọc Vũ, Quận Cầu Giấy, Hà Nội</t>
  </si>
  <si>
    <t>LS-000376</t>
  </si>
  <si>
    <t>0491001467042</t>
  </si>
  <si>
    <t>Ngân hàng TMCP Ngoại thương Việt Nam-Chi nhánh Thăng Long</t>
  </si>
  <si>
    <t>102238756</t>
  </si>
  <si>
    <t>Số nhà N8B18,Khu đô thị mới Trung Hòa- Nhân Chính, phường Nhân Chính,quận Thanh Xuân,thành phố Hà Nội, Việt Nam</t>
  </si>
  <si>
    <t>102010001498541</t>
  </si>
  <si>
    <t>TMCP Công thương Việt Nam - CN Nam Thăng Long, Hà Nội</t>
  </si>
  <si>
    <t>043.7564312</t>
  </si>
  <si>
    <t>Viện hóa học</t>
  </si>
  <si>
    <t>18 Hoàng Quốc Việt, Nghĩa Đô, Cầu Giấy, Hà Nội</t>
  </si>
  <si>
    <t>V4037C0</t>
  </si>
  <si>
    <t>14624311.20.000089</t>
  </si>
  <si>
    <t>Chi nhánh Ngân hàng Nông nghiệp và Phát triển nông thôn Tây Đô</t>
  </si>
  <si>
    <t>0100407085</t>
  </si>
  <si>
    <t>Số 8 Hoàng Quốc Việt, phường Nghĩa Đô, quận Cầu Giấy, thành phố Hà Nội</t>
  </si>
  <si>
    <t>V10101C</t>
  </si>
  <si>
    <t>V10101B</t>
  </si>
  <si>
    <t>V10101A</t>
  </si>
  <si>
    <t>117000002807</t>
  </si>
  <si>
    <t>Ngân hàng TMCP Công Thương Việt Nam, chi nhánh Thanh Xuân</t>
  </si>
  <si>
    <t>565 đường Nguyễn Trãi, phường Thanh Xuân Nam, quận Thanh Xuân, TP Hà Nội</t>
  </si>
  <si>
    <t>V10571C</t>
  </si>
  <si>
    <t>V10571B</t>
  </si>
  <si>
    <t>VID Public Bank</t>
  </si>
  <si>
    <t>005503</t>
  </si>
  <si>
    <t>005502</t>
  </si>
  <si>
    <t>005501</t>
  </si>
  <si>
    <t>2035649671</t>
  </si>
  <si>
    <t>The Sumitomo Mitsui Banking Corporation , Bangkok Branch</t>
  </si>
  <si>
    <t>324-0400-1</t>
  </si>
  <si>
    <t>538 Moo 4 Bangpoo Industrial Estate, Pattana2 Road, Muang District, Samutprakarn 10280</t>
  </si>
  <si>
    <t>V20023C</t>
  </si>
  <si>
    <t>53 Moo 4 Bangpoo Industrial Estate, Pattana2 Road, Muang District, Samutprakarn 10280</t>
  </si>
  <si>
    <t>V20023B</t>
  </si>
  <si>
    <t>V20023A</t>
  </si>
  <si>
    <t>243558</t>
  </si>
  <si>
    <t>The Bank of Tokyo - Mitsubishi UFJ Hanoi Branch</t>
  </si>
  <si>
    <t>+81-3-5575-8400</t>
  </si>
  <si>
    <t>Uryu &amp; Itoga - Hanoi Branch</t>
  </si>
  <si>
    <t>12th Floor, BIDV Building, 194 Tran Quang Khai Street, Hoan Kiem District, Hanoi, Vietnam</t>
  </si>
  <si>
    <t>V4036C0</t>
  </si>
  <si>
    <t>United overseas Bank (Thai) Public Company Limited</t>
  </si>
  <si>
    <t>005301</t>
  </si>
  <si>
    <t>Singapore</t>
  </si>
  <si>
    <t>1695951-1</t>
  </si>
  <si>
    <t>Sumitomo Mitsui Banking Corporation</t>
  </si>
  <si>
    <t>65-65422700</t>
  </si>
  <si>
    <t>ULVAC Singapore PTE LTD</t>
  </si>
  <si>
    <t>11 Tampiness Street 92 Tampines Biz-Hub #02-08 Singapore 528872</t>
  </si>
  <si>
    <t>V20107C</t>
  </si>
  <si>
    <t>SUMITOMO MITSUI  BANKING CORPORATION</t>
  </si>
  <si>
    <t>92 Tampines Biz-Hub #02-08, 11 Tampines Street, Singapore</t>
  </si>
  <si>
    <t>V20107B</t>
  </si>
  <si>
    <t>0004208</t>
  </si>
  <si>
    <t>The Bank Of Tokyo -Mitsubishi UFJ Ltd. Tokyo Main Office</t>
  </si>
  <si>
    <t>Seavans North Building,1-2-1, Shibaura, Minato-Ku, Tokyo 105-8449, Japan</t>
  </si>
  <si>
    <t>V20029C</t>
  </si>
  <si>
    <t>V20029B</t>
  </si>
  <si>
    <t>V20029A</t>
  </si>
  <si>
    <t>UBE Industries Ltd</t>
  </si>
  <si>
    <t>CG450029C0</t>
  </si>
  <si>
    <t>321-1403471</t>
  </si>
  <si>
    <t>MUFG BANK, LTD-Tokyo main office</t>
  </si>
  <si>
    <t>Seavans North Building 1-2-1 Shibaura, Minato-ku, Tokyo 105-6791 Japan</t>
  </si>
  <si>
    <t>V20202A</t>
  </si>
  <si>
    <t>OSAKA UMEDA BLDG., 3-3-20,27th FL., MEIJI YASUDA LIFEUMEDA KITA-KU,OSAKA 530-0001, JAPAN</t>
  </si>
  <si>
    <t>V20116C</t>
  </si>
  <si>
    <t>Kaohsiung</t>
  </si>
  <si>
    <t>00305084526</t>
  </si>
  <si>
    <t>Mega International Commercial Bank Co., LTD-Nan Tze Branch</t>
  </si>
  <si>
    <t>No.2 Singgong Rd. Dashe Dist., Kaohsiung City 815, Taiwan R.O.C</t>
  </si>
  <si>
    <t>V20201A</t>
  </si>
  <si>
    <t>Hải phòng</t>
  </si>
  <si>
    <t>117000162165</t>
  </si>
  <si>
    <t>Ngân hàng TMCP Công thương Việt Nam - CN Lê chân</t>
  </si>
  <si>
    <t>Số 1, đường Bạch đằng, Thị trấn Núi đèo, h.Thủy nguyên, TP Hải phòng</t>
  </si>
  <si>
    <t>V10337C</t>
  </si>
  <si>
    <t>3511, cấp NS 2. Mã ĐVQHNS 1070297</t>
  </si>
  <si>
    <t>Kho bạc nhà nước Hải Phòng</t>
  </si>
  <si>
    <t>0200139961</t>
  </si>
  <si>
    <t>21 Lê Đại Hành, Hồng Bàng, Hải Phòng</t>
  </si>
  <si>
    <t>V10165C</t>
  </si>
  <si>
    <t>V10165B</t>
  </si>
  <si>
    <t>V10165A</t>
  </si>
  <si>
    <t>10201 000 000 0989</t>
  </si>
  <si>
    <t>TMCP Công Thương Việt Nam chi nhánh Ba Đình - Hà Nội</t>
  </si>
  <si>
    <t>04.38400054</t>
  </si>
  <si>
    <t>0100686216-001</t>
  </si>
  <si>
    <t>30 Phạm Hùng, Từ Liêm, Hà Nội</t>
  </si>
  <si>
    <t>V10130C</t>
  </si>
  <si>
    <t>V10130B</t>
  </si>
  <si>
    <t>V10130A</t>
  </si>
  <si>
    <t>Trung tâm viễn thông khu vực I</t>
  </si>
  <si>
    <t>30 Phạm Hùng, Mỹ Đình, Từ Liêm, Hà Nội</t>
  </si>
  <si>
    <t>V4063C0</t>
  </si>
  <si>
    <t>V10450C</t>
  </si>
  <si>
    <t>26110000249975</t>
  </si>
  <si>
    <t>Ngân hàng BIDV – Chi nhánh Trang An</t>
  </si>
  <si>
    <t>Trung tâm tư vấn và truyền thông Môi trường</t>
  </si>
  <si>
    <t>0107371705</t>
  </si>
  <si>
    <t>Phòng 405, tòa nhà Bộ TN &amp; MT, 85 Nguyễn Chí Thanh, Phường Láng Hạ, Quận Đống Đa, Hà Nội</t>
  </si>
  <si>
    <t>CG440042C0</t>
  </si>
  <si>
    <t>Trung tâm thử nghiệm xe cơ giới</t>
  </si>
  <si>
    <t>Số 18 đường Phạm Hùng, Mỹ Đình 2, Nam Từ Liêm, Q.Mỹ Đình, HN</t>
  </si>
  <si>
    <t>V4088C0</t>
  </si>
  <si>
    <t>102423659</t>
  </si>
  <si>
    <t>Ngân hàng TMCP Á Châu - CN Hải Phòng</t>
  </si>
  <si>
    <t>Trung tâm thí nghiệm điện - Chi nhánh công ty TNHH MTV Điện lực Hải Phòng</t>
  </si>
  <si>
    <t>0200340211-033</t>
  </si>
  <si>
    <t>Khu liên cơ An Lạc, P. Hùng Vương, Q. Hồng Bàng, TP Hải Phòng</t>
  </si>
  <si>
    <t>V10451C</t>
  </si>
  <si>
    <t>102010000200321</t>
  </si>
  <si>
    <t>Ngân hàng Công thương - CN Hải Phòng</t>
  </si>
  <si>
    <t>0313 827857</t>
  </si>
  <si>
    <t>783 Tôn Đức Thắng, P. Sở Dầu, Q. Hồng Bàng, Hải Phòng</t>
  </si>
  <si>
    <t>V10036A</t>
  </si>
  <si>
    <t>V10036C</t>
  </si>
  <si>
    <t>V10036B</t>
  </si>
  <si>
    <t>102010000321839</t>
  </si>
  <si>
    <t>TMCP Công Thương Việt Nam - CN Tô Hiệu Hải Phòng</t>
  </si>
  <si>
    <t>0200588244</t>
  </si>
  <si>
    <t>Số 275 Lạch Tray,phường Đằng Giang ,Ngô Quyền,,Hải Phòng</t>
  </si>
  <si>
    <t>V10019C</t>
  </si>
  <si>
    <t>V10019B</t>
  </si>
  <si>
    <t>V10019A</t>
  </si>
  <si>
    <t>Hà nội</t>
  </si>
  <si>
    <t>38946139</t>
  </si>
  <si>
    <t>NH TMCP Á Châu - CN Thăng Long</t>
  </si>
  <si>
    <t>0102721113</t>
  </si>
  <si>
    <t>25 Ngô quyền, Hoàn kiếm, Hà nội</t>
  </si>
  <si>
    <t>V10320C</t>
  </si>
  <si>
    <t>0031000218079</t>
  </si>
  <si>
    <t>Ngân hàng TMCP ngoại thương Việt Nam-  CN Hải Phòng</t>
  </si>
  <si>
    <t>Số 240 Văn Cao, phường Đằng Giang, Quận Ngô Quyền Thành phố Hải Phòng</t>
  </si>
  <si>
    <t>V10285C</t>
  </si>
  <si>
    <t>10922288763014</t>
  </si>
  <si>
    <t>Techcombank - CN Hải Phòng</t>
  </si>
  <si>
    <t>Trung tâm kỹ thuật tài nguyên môi trường.</t>
  </si>
  <si>
    <t>Số 30, đường Lý Tự Trọng, P. Hoàng Văn Thụ, Quận Hồng Bàng, TP Hải Phòng</t>
  </si>
  <si>
    <t>V10440C</t>
  </si>
  <si>
    <t>Ngân hàng Techcombank - CN Hải Phòng</t>
  </si>
  <si>
    <t>Số 30, Lý Tự Trọng, Phường Hoàng Văn Thụ, Hồng Bàng, Hải Phòng</t>
  </si>
  <si>
    <t>V10620C</t>
  </si>
  <si>
    <t>0491001790759</t>
  </si>
  <si>
    <t>Ngân hàng Ngoại thương Việt Nam - Chi nhánh Thăng Long</t>
  </si>
  <si>
    <t>115 Trần Duy Hưng, quận Cầu Giấy, Hà Nội</t>
  </si>
  <si>
    <t>Trung tâm kỹ thuật</t>
  </si>
  <si>
    <t>CG440049C0</t>
  </si>
  <si>
    <t>0031 000 258888</t>
  </si>
  <si>
    <t>Ngân hàng TMCP Ngoại thương Việt nam - CN Hải Phòng</t>
  </si>
  <si>
    <t>031.800126</t>
  </si>
  <si>
    <t>Trung tâm kinh doanh VNPT-Hải Phòng, Chi nhánh Tổng công ty dịch vụ viễn thông</t>
  </si>
  <si>
    <t>0106869738-056</t>
  </si>
  <si>
    <t>Số 4, Lạch tray, P.Lạch tray, Q.Ngô quyền, Hải phòng</t>
  </si>
  <si>
    <t>V4069C0</t>
  </si>
  <si>
    <t>0031000258888</t>
  </si>
  <si>
    <t>Số 4 Lạch Tray - Ngô Quyền - Hải Phòng</t>
  </si>
  <si>
    <t>V10049C</t>
  </si>
  <si>
    <t>V10049B</t>
  </si>
  <si>
    <t>V10049A</t>
  </si>
  <si>
    <t>TMCP ngoại thương Việt Nam - CN Hải Phòng</t>
  </si>
  <si>
    <t>Trung tâm Kinh doanh VNPT-  Hải Phòng, Chi nhánh Tổng công ty dịch vụ Viễn Thông</t>
  </si>
  <si>
    <t>Tòa nhà VNPT Hải Phòng, Lô C6 Trung tâm Hành chính quận Hải An, Lê Hồng Phong, Đằng Hải, Hải An, Hải Phòng</t>
  </si>
  <si>
    <t>V10284C</t>
  </si>
  <si>
    <t>Trung tâm Kinh doanh VNPT- Hải Phòng Chi nhánh Tổng công ty Dịch vụ viễn thông</t>
  </si>
  <si>
    <t>3716.2.1131063.00000</t>
  </si>
  <si>
    <t>Số 21 Lê Đại Hành,phường Hoàng Văn Thụquận Hồng Bàng,Thành phố Hải Phòng</t>
  </si>
  <si>
    <t>V10629C</t>
  </si>
  <si>
    <t>03001010601338</t>
  </si>
  <si>
    <t>Ngân hàng Maritime Bank Hà Nội (MSB Hà Nội)</t>
  </si>
  <si>
    <t>Tòa nhà Cục Viễn Thông, Yên Hòa, Cầu Giấy, Hà Nội</t>
  </si>
  <si>
    <t>0011004014831</t>
  </si>
  <si>
    <t>Ngân hàng TMCP Ngoại Thương Việt Nam - Sở giao dịch</t>
  </si>
  <si>
    <t>04.39448651</t>
  </si>
  <si>
    <t>0100110341</t>
  </si>
  <si>
    <t>Tầng 19, Tòa nhà VTC Online, Số 18 Tam Trinh , Phường Minh Khai, Q. Hai Bà Trưng, Hà Nội</t>
  </si>
  <si>
    <t>V10043B</t>
  </si>
  <si>
    <t>V10043A</t>
  </si>
  <si>
    <t>Tầng 19, Tòa nhà VTC Online, Số 18 Tam Trinh , Phường Minh Khai,</t>
  </si>
  <si>
    <t>V10043C</t>
  </si>
  <si>
    <t>02001010051093</t>
  </si>
  <si>
    <t>Ngân Hàng Thương Mại Cổ Phần Hàng Hải- chi nhánh Hải Phòng</t>
  </si>
  <si>
    <t>0313.533278</t>
  </si>
  <si>
    <t>TRUNG TÂM KIỂM ĐỊNH KỸ THUẬT AN TOÀN HẢI PHÒNG</t>
  </si>
  <si>
    <t>0200809278</t>
  </si>
  <si>
    <t>Số 2 đường Nguyễn Sơn Hà, Phường Vĩnh Niệm, Quận Lê Chân, TP Hải Phòng</t>
  </si>
  <si>
    <t>2152696969</t>
  </si>
  <si>
    <t>Ngân hàng TMCP đầu tư và phát triển Việt Nam- CN Cầu Giấy</t>
  </si>
  <si>
    <t>Tầng 9, tòa nhà bộ công thương, số 655 đường Phạm Văn Đồng, P. Cổ Nhuế 1, Quận Bắc Từ Liêm, TP Hà Nội</t>
  </si>
  <si>
    <t>V10581C</t>
  </si>
  <si>
    <t>220-10-00-7686866</t>
  </si>
  <si>
    <t>Ngân hàng BIDV - CN Thăng Long</t>
  </si>
  <si>
    <t>0101539285</t>
  </si>
  <si>
    <t>Toàn nhà Liên cơ Bộ LĐTBXH, ngõ 8B Tôn Thất thuyế, P.Dịch Vọng, Q.Cầu giấy, Hà nội</t>
  </si>
  <si>
    <t>V10332C</t>
  </si>
  <si>
    <t>102010000031815</t>
  </si>
  <si>
    <t>Ngân hàng TMCP Công thương Việt Nam - Chi nhánh Hà Nội</t>
  </si>
  <si>
    <t>04.39344140</t>
  </si>
  <si>
    <t>0100792912</t>
  </si>
  <si>
    <t>Phòng 31, Tầng 3, Số 91 Đinh Tiên Hoàng, Phường Tràng Tiền, Quận Hoàn Kiếm, TP. Hà Nội</t>
  </si>
  <si>
    <t>V10264C</t>
  </si>
  <si>
    <t>1500201063462</t>
  </si>
  <si>
    <t>CN Ngân hàng Nông nghiệp HN - PGD Linh Lang</t>
  </si>
  <si>
    <t>0103071972</t>
  </si>
  <si>
    <t>Tầng 3, Tòa nhà 76 Nguyễn Trường Tộ, P.Trúc Bạch, Q.Ba Đình, Hà Nội, Việt Nam</t>
  </si>
  <si>
    <t>V10047C</t>
  </si>
  <si>
    <t>Số 56, phố Linh Lang - Quận Ba Đình - Thành phố Hà Nội</t>
  </si>
  <si>
    <t>V10047B</t>
  </si>
  <si>
    <t>Ngân hàng NN&amp;PTNT, CN Hà Nội - PGD Linh Lang</t>
  </si>
  <si>
    <t>V10047A</t>
  </si>
  <si>
    <t>Ngân hàng TMCP Hàng Hải (MSB) - Chi nhánh Hà Nội</t>
  </si>
  <si>
    <t>18 Nguyễn Du, Hà Nội</t>
  </si>
  <si>
    <t>116000009878</t>
  </si>
  <si>
    <t>Ngân hàng TMCP Công thương Việt Nam - CN Hồng Bàng</t>
  </si>
  <si>
    <t>0200355803-001</t>
  </si>
  <si>
    <t>24 Cù Chính Lan, Hồng Bàng, Hải Phòng</t>
  </si>
  <si>
    <t>0701001596118</t>
  </si>
  <si>
    <t>Ngân hàng thương mại cổ phần An Bình - CN Hà Nội, PGD Lò Đúc</t>
  </si>
  <si>
    <t>57 Lê Qúy Đôn, Phường Bạch Đằng, Quận Hai Bà Trưng, Hà Nội</t>
  </si>
  <si>
    <t>V10425C</t>
  </si>
  <si>
    <t>115000010229</t>
  </si>
  <si>
    <t>Ngân hàng Vietinbank, Chi nhánh Ngô Quyền, Hải Phòng</t>
  </si>
  <si>
    <t>Số 484 Lạch Tray, Kênh Dương, Lê Chân, Hải Phòng</t>
  </si>
  <si>
    <t>3713.0.1067946</t>
  </si>
  <si>
    <t>Kho bạc Nhà nước An Dương</t>
  </si>
  <si>
    <t>0313.671.387</t>
  </si>
  <si>
    <t>Số 184, tổ 4, thị trấn An Dương, huyện An Dương, Hải Phòng</t>
  </si>
  <si>
    <t>Dubai</t>
  </si>
  <si>
    <t>AE950200000035069384101</t>
  </si>
  <si>
    <t>HSBC Bank Middle East Ltd.,Jebel Ali Branch</t>
  </si>
  <si>
    <t>+971 4 8832010</t>
  </si>
  <si>
    <t>P.O. Box 61468, Jebel Ali, Dubai, U.A.E.</t>
  </si>
  <si>
    <t>V20048B</t>
  </si>
  <si>
    <t>V20048A</t>
  </si>
  <si>
    <t>V20048C</t>
  </si>
  <si>
    <t>0000108071974</t>
  </si>
  <si>
    <t>Ngân hàng TMCP Quân Đội, Chi nhánh Hải Phòng</t>
  </si>
  <si>
    <t>Trần Thị Kim Tuyến</t>
  </si>
  <si>
    <t>16B tổ 41 cụm 7, Đông khê, Phường Đông Khê, Quận Ngô Quyền, Thành phố Hải Phòng, Việt Nam</t>
  </si>
  <si>
    <t>V4122C0</t>
  </si>
  <si>
    <t>2037134</t>
  </si>
  <si>
    <t>Sumitomo Mitsui Banking Corporation Head office</t>
  </si>
  <si>
    <t>81-3-43065885</t>
  </si>
  <si>
    <t>Shinagawa Front Bldg. 11F, 3-13, Konan 2-chome, Minato-ku, Tokyo 108-8216 Japan</t>
  </si>
  <si>
    <t>V20072B</t>
  </si>
  <si>
    <t>V20072A</t>
  </si>
  <si>
    <t>V20072C</t>
  </si>
  <si>
    <t>2160</t>
  </si>
  <si>
    <t>BANK OF TOKYO MITSUBISHI UFJ - SUGAMO BRANCH</t>
  </si>
  <si>
    <t>81-3-3916-8183</t>
  </si>
  <si>
    <t>15-4, Takinogawa 5-Chome, Kita-Ku, Tokyo 114-8558 Japan</t>
  </si>
  <si>
    <t>V20006C</t>
  </si>
  <si>
    <t>BANK OF  TOKYO MITSUBISHI UFJ - SUGAMO BRANCH</t>
  </si>
  <si>
    <t>V20006B</t>
  </si>
  <si>
    <t>V20006A</t>
  </si>
  <si>
    <t>039-0308143</t>
  </si>
  <si>
    <t>The bank of Tokyo-Mitsubishi UFJ, Ltd. - Tenruko branch</t>
  </si>
  <si>
    <t>Zuiko 4-5-1, Higashi-Yodogawa-ku,Osaka 533-0005, Japan</t>
  </si>
  <si>
    <t>V20119C</t>
  </si>
  <si>
    <t>10410701</t>
  </si>
  <si>
    <t>Sumitomo Mitsui Banking Corporation-Singapore branch</t>
  </si>
  <si>
    <t>60 Benoi Road #01-07, Singapore 629906</t>
  </si>
  <si>
    <t>V20200C</t>
  </si>
  <si>
    <t>Bangkok</t>
  </si>
  <si>
    <t>099-92-0390-6</t>
  </si>
  <si>
    <t>Kasikornbank Public Company Limited</t>
  </si>
  <si>
    <t>027972993</t>
  </si>
  <si>
    <t>TOPNEXT International Company Limited</t>
  </si>
  <si>
    <t>555/1 Energy complex Bulding A 11th Floor, Vibhavadi Rangsit Road, , Chatuchak Bangkok 10900,</t>
  </si>
  <si>
    <t>V20157C</t>
  </si>
  <si>
    <t>V20157A</t>
  </si>
  <si>
    <t>4462467</t>
  </si>
  <si>
    <t>The bank of Tokyo-Mitsubishi UFJ, LTD SHIMBASHI BRANCH</t>
  </si>
  <si>
    <t>1-6-2 Marunouchi, 1-Chome, Chiyoda-ku , Tokyo 100-0005 , Japan</t>
  </si>
  <si>
    <t>V20080A</t>
  </si>
  <si>
    <t>V20080C</t>
  </si>
  <si>
    <t>V20080B</t>
  </si>
  <si>
    <t>Atsugi</t>
  </si>
  <si>
    <t>6983731</t>
  </si>
  <si>
    <t>Sumitomo Mitsui banking corporation / ATSUGI branch</t>
  </si>
  <si>
    <t>81-(0)3-3555-7140</t>
  </si>
  <si>
    <t>2-13-8 Hatchoubori, Chuo-ku, Tokyo, Japan 104-0032</t>
  </si>
  <si>
    <t>V20126B</t>
  </si>
  <si>
    <t>TOKYO BOEKI TECHNO</t>
  </si>
  <si>
    <t>0024682</t>
  </si>
  <si>
    <t>The Bank of Tokyo- Mitsubishi UFJ,Ltd.Aoyamadori Branch</t>
  </si>
  <si>
    <t>81-3-3512-3931</t>
  </si>
  <si>
    <t>Sw:BOTKJPJT</t>
  </si>
  <si>
    <t>Ban Building 4-2,Yonbancho Chiyoda-ku,Tokyo, 102-8362 Japan</t>
  </si>
  <si>
    <t>V20109A</t>
  </si>
  <si>
    <t>Tokio Marine &amp; Nichido Fire Insurance Co ., Ltd</t>
  </si>
  <si>
    <t>CG450015C0</t>
  </si>
  <si>
    <t>Tianjin</t>
  </si>
  <si>
    <t>151491</t>
  </si>
  <si>
    <t>Bank of Tokyo-Mitsubishi UFJ( China ), Ltd., Tianjin Branch</t>
  </si>
  <si>
    <t>+86-022-5991-1003</t>
  </si>
  <si>
    <t>Tokai Carbon (Tianjin) Co.,ltd</t>
  </si>
  <si>
    <t>No.45 Xixia Road,Teda Chemical Industry Park,Tianjin P.R.China 300480</t>
  </si>
  <si>
    <t>V20013C</t>
  </si>
  <si>
    <t>V20013B</t>
  </si>
  <si>
    <t>CG40002096</t>
  </si>
  <si>
    <t>V20013A</t>
  </si>
  <si>
    <t>0200888189</t>
  </si>
  <si>
    <t>CitiBank - CN Hà Nội 17 Ngô Quyền, Hà Nội</t>
  </si>
  <si>
    <t>04 37950001</t>
  </si>
  <si>
    <t>0100112613</t>
  </si>
  <si>
    <t>Cảng thông quan nội địa Mỹ Đình, Số 17 Phạm Hùng, xã Mỹ Đình, Huyện Từ Liêm, Thành phố Hà Nội</t>
  </si>
  <si>
    <t>V10028C</t>
  </si>
  <si>
    <t>V10028B</t>
  </si>
  <si>
    <t>V10028A</t>
  </si>
  <si>
    <t>1033780-2</t>
  </si>
  <si>
    <t>Sumitomo Mitsui Banking Corporation, Singapore Branch</t>
  </si>
  <si>
    <t>152 Beach Road #13-07/08 Gateway East Singapore 189721</t>
  </si>
  <si>
    <t>V20125C</t>
  </si>
  <si>
    <t>BS_INTER_V</t>
  </si>
  <si>
    <t>2100822159</t>
  </si>
  <si>
    <t>The bank of Ayudhya public company Ltd- Bangkok Sathorn Branch</t>
  </si>
  <si>
    <t>700/622 Amata Nakorn Industrial Estate, Moo 4 Bankao, Panthong, Chonburi 20160, Thailand</t>
  </si>
  <si>
    <t>Đơn vị trong tập đoàn (TCT)</t>
  </si>
  <si>
    <t>970060C</t>
  </si>
  <si>
    <t>Tien Phong Commercial Joint Stock Bank</t>
  </si>
  <si>
    <t>005102</t>
  </si>
  <si>
    <t>005101</t>
  </si>
  <si>
    <t>Tianjin Jiurong Wheel Tech Co., Ltd</t>
  </si>
  <si>
    <t>Zhangjiawo, No.12, An Fu Road,  Xiqing Dist, Tianjin 300380, P.R China</t>
  </si>
  <si>
    <t>CG450036C0</t>
  </si>
  <si>
    <t>0302070709911414078</t>
  </si>
  <si>
    <t>Industrial and Commercial Bank Of China Tianjin-NANKAI  sub-Br.</t>
  </si>
  <si>
    <t>86-22-27518788</t>
  </si>
  <si>
    <t>Zhongzin Industrial Zone, Yan An Rd, Nankai Dist. Tianjian 300112</t>
  </si>
  <si>
    <t>V20096A</t>
  </si>
  <si>
    <t>V20096C</t>
  </si>
  <si>
    <t>V20096B</t>
  </si>
  <si>
    <t>272685768876</t>
  </si>
  <si>
    <t>BANK OF CHINA TIANJIN NANKAI-SUB-BRANCH SHI YING LU RETAIL BANKING OFFICE</t>
  </si>
  <si>
    <t>No.12, Anfu Road, Zhangjiawo Xiqing Dist, Tianjin 300380, P.R China</t>
  </si>
  <si>
    <t>V20205B</t>
  </si>
  <si>
    <t>V20205C</t>
  </si>
  <si>
    <t>244740</t>
  </si>
  <si>
    <t>The Bank of Tokyo - Mitsubishi UFJ, Hanoi Branch</t>
  </si>
  <si>
    <t>31, Ichibancho, Chiyoda-ku, Tokyo, Japan</t>
  </si>
  <si>
    <t>V20102B</t>
  </si>
  <si>
    <t>V20102A</t>
  </si>
  <si>
    <t>CG450004C0</t>
  </si>
  <si>
    <t>V20102C</t>
  </si>
  <si>
    <t>242756</t>
  </si>
  <si>
    <t>Bank of Tokyo-Mitsubishi UFJ, HaNoi Branch</t>
  </si>
  <si>
    <t>V20001C</t>
  </si>
  <si>
    <t>V20001B</t>
  </si>
  <si>
    <t>V20001A</t>
  </si>
  <si>
    <t>CG450003C0</t>
  </si>
  <si>
    <t>Ohio</t>
  </si>
  <si>
    <t>861859627</t>
  </si>
  <si>
    <t>JP Morgan Chase Bank</t>
  </si>
  <si>
    <t>(330)666-8121</t>
  </si>
  <si>
    <t>175 Montrose West Avenue, Suite 150 Copley, Ohio, 44321, USA</t>
  </si>
  <si>
    <t>V20019C</t>
  </si>
  <si>
    <t>V20019B</t>
  </si>
  <si>
    <t>V20019A</t>
  </si>
  <si>
    <t>The Risona Bank LTD</t>
  </si>
  <si>
    <t>004301</t>
  </si>
  <si>
    <t>H15-795-400061</t>
  </si>
  <si>
    <t>Mizuho bank Ltd- CN Hà Nội</t>
  </si>
  <si>
    <t>JCCI</t>
  </si>
  <si>
    <t>044008</t>
  </si>
  <si>
    <t>The Bank of Tokyo-Mitsubishi UFJ, Ltd. - Hanoi Branch</t>
  </si>
  <si>
    <t>The Japan Business Association in Vietnam</t>
  </si>
  <si>
    <t>Room No. 602, DMC Tower, 535 Kim Ma Street, Ha Noi</t>
  </si>
  <si>
    <t>V4055C0</t>
  </si>
  <si>
    <t>The Bank of Tokyo-Mitsubishi UFJ, Ltd.</t>
  </si>
  <si>
    <t>005217</t>
  </si>
  <si>
    <t>005203</t>
  </si>
  <si>
    <t>005202</t>
  </si>
  <si>
    <t>005201</t>
  </si>
  <si>
    <t>005216</t>
  </si>
  <si>
    <t>005215</t>
  </si>
  <si>
    <t>005214</t>
  </si>
  <si>
    <t>005213</t>
  </si>
  <si>
    <t>005212</t>
  </si>
  <si>
    <t>005211</t>
  </si>
  <si>
    <t>005210</t>
  </si>
  <si>
    <t>005209</t>
  </si>
  <si>
    <t>005208</t>
  </si>
  <si>
    <t>005207</t>
  </si>
  <si>
    <t>005206</t>
  </si>
  <si>
    <t>005205</t>
  </si>
  <si>
    <t>005204</t>
  </si>
  <si>
    <t>THE BANK OF FUKUOKA LTD</t>
  </si>
  <si>
    <t>002101</t>
  </si>
  <si>
    <t>The Bank Of Fukuoka Ltd</t>
  </si>
  <si>
    <t>006901</t>
  </si>
  <si>
    <t>Thailand</t>
  </si>
  <si>
    <t>158-304961-2</t>
  </si>
  <si>
    <t>Bangkok Bank-Taksin road</t>
  </si>
  <si>
    <t>Thavorn Label and Ribbon Co.,Ltd</t>
  </si>
  <si>
    <t>50/1 moo3, Khokkrabue, Muangsamutsakorn, Samutsakorn 74000, Thailand.</t>
  </si>
  <si>
    <t>V20097C</t>
  </si>
  <si>
    <t>V20097B</t>
  </si>
  <si>
    <t>V20097A</t>
  </si>
  <si>
    <t>001-3-23702-8</t>
  </si>
  <si>
    <t>Siam Commercial Bank Public Company Limited</t>
  </si>
  <si>
    <t>54 Harindhorn Tower, North Sathorn Road, Silom,  Bangrak, Bangkok, Thailand 10500</t>
  </si>
  <si>
    <t>V20192A</t>
  </si>
  <si>
    <t>Chonburi</t>
  </si>
  <si>
    <t>F15-764-918967</t>
  </si>
  <si>
    <t>Mizuho Bank Ltd - Bangkok branch</t>
  </si>
  <si>
    <t>THAI PYRAMID INDUSTRIAL CO.,LTD.</t>
  </si>
  <si>
    <t>219/33 Moo 6 Tambol Bowin Chonburi 20230,AmphurSriracha,Thailand</t>
  </si>
  <si>
    <t>V20163A</t>
  </si>
  <si>
    <t>028-1-66925-2</t>
  </si>
  <si>
    <t>Krung Thai Bank Public Company Limited (KTB)</t>
  </si>
  <si>
    <t>+66-2184-9719</t>
  </si>
  <si>
    <t>294/65 RK Office Park, Romklao Rd., Ladkrabang, Bangkok, Thailand, 10520</t>
  </si>
  <si>
    <t>V20089C</t>
  </si>
  <si>
    <t>V20089B</t>
  </si>
  <si>
    <t>V20089A</t>
  </si>
  <si>
    <t>BS_INTRA_C</t>
  </si>
  <si>
    <t>Pathumthani</t>
  </si>
  <si>
    <t>14/3 Phaholyothin Road., Klong Luang, Pathumthani 12120, Thailand</t>
  </si>
  <si>
    <t>CG450008C0</t>
  </si>
  <si>
    <t>BS_INTRA_V</t>
  </si>
  <si>
    <t>2100802689</t>
  </si>
  <si>
    <t>Bank of Ayudhya Public Company Limited - Bangkok Sathorn Branch</t>
  </si>
  <si>
    <t>0-2516-8721-5</t>
  </si>
  <si>
    <t>14/3 Phaholyothin Rd.KM.33,Klong Nueng, Klong Luang Pathumthani 12120, Thailand.</t>
  </si>
  <si>
    <t>350100C</t>
  </si>
  <si>
    <t>165-5-83089-9</t>
  </si>
  <si>
    <t>Bangkok bank public Co., Ltd - Rangsit Thailand branch</t>
  </si>
  <si>
    <t>350100B</t>
  </si>
  <si>
    <t>350100A</t>
  </si>
  <si>
    <t>Todtnau</t>
  </si>
  <si>
    <t>30410752</t>
  </si>
  <si>
    <t>POSTBANK AG</t>
  </si>
  <si>
    <t>+49-7671-9117-0</t>
  </si>
  <si>
    <t>Meinrad Thoma Str. 14, 79674 Todtnau , Germany</t>
  </si>
  <si>
    <t>V20008C</t>
  </si>
  <si>
    <t>V20008B</t>
  </si>
  <si>
    <t>V20008A</t>
  </si>
  <si>
    <t>(65) 66927781</t>
  </si>
  <si>
    <t>23 Neythal Road BLK P #02-01 Singapore 628588</t>
  </si>
  <si>
    <t>V20090C</t>
  </si>
  <si>
    <t>V20090B</t>
  </si>
  <si>
    <t>V20090A</t>
  </si>
  <si>
    <t>Schaffhausen</t>
  </si>
  <si>
    <t>4427168770</t>
  </si>
  <si>
    <t>Bank of America</t>
  </si>
  <si>
    <t>TEREX Global GmbH.</t>
  </si>
  <si>
    <t>OS-000102</t>
  </si>
  <si>
    <t>Techcombank</t>
  </si>
  <si>
    <t>005003</t>
  </si>
  <si>
    <t>005002</t>
  </si>
  <si>
    <t>005001</t>
  </si>
  <si>
    <t>005018</t>
  </si>
  <si>
    <t>005017</t>
  </si>
  <si>
    <t>005016</t>
  </si>
  <si>
    <t>005015</t>
  </si>
  <si>
    <t>005014</t>
  </si>
  <si>
    <t>005013</t>
  </si>
  <si>
    <t>005012</t>
  </si>
  <si>
    <t>005011</t>
  </si>
  <si>
    <t>005010</t>
  </si>
  <si>
    <t>005009</t>
  </si>
  <si>
    <t>005008</t>
  </si>
  <si>
    <t>005007</t>
  </si>
  <si>
    <t>005006</t>
  </si>
  <si>
    <t>005005</t>
  </si>
  <si>
    <t>005004</t>
  </si>
  <si>
    <t>TBSC PROVING GROUND</t>
  </si>
  <si>
    <t>66Ayutthaya</t>
  </si>
  <si>
    <t>P0000116</t>
  </si>
  <si>
    <t>3013843</t>
  </si>
  <si>
    <t>Sumitomo Mitsui Banking Corporation, Hibiya Branch</t>
  </si>
  <si>
    <t>81-3-3501-6332</t>
  </si>
  <si>
    <t>Tanaka Ai Co., Ltd.</t>
  </si>
  <si>
    <t>Toranomon 2- Chome Tower, 21F, 2-3-17, Toranomon, Minato-ku, Tokyo 105-0001, Japan</t>
  </si>
  <si>
    <t>V20050C</t>
  </si>
  <si>
    <t>V20050B</t>
  </si>
  <si>
    <t>V20050A</t>
  </si>
  <si>
    <t>21-20064321</t>
  </si>
  <si>
    <t>Sumitomo Mitsui bangking Corporation-Bangkok</t>
  </si>
  <si>
    <t>1778 Summer Building 3rd Floor, Room 305, Sukhumvit Road, Prakhanong, Klongtoey, Bangkok 10110 Thailand</t>
  </si>
  <si>
    <t>V20187C</t>
  </si>
  <si>
    <t>H15-795-004564</t>
  </si>
  <si>
    <t>Mizuho Bank., Ltd - Hanoi Branch</t>
  </si>
  <si>
    <t>0102193872</t>
  </si>
  <si>
    <t>3rd floor, AC Office Building, Lot A1A, Handicraft&amp;Manufacturing Industrial Zone, Dich Vong Hau Ward,Cau Giay District,Hanoi,VN</t>
  </si>
  <si>
    <t>V10170C</t>
  </si>
  <si>
    <t>V10170B</t>
  </si>
  <si>
    <t>V10170A</t>
  </si>
  <si>
    <t>Khu 3, Dịch vọng, Cầu Giấy, Hà Nội</t>
  </si>
  <si>
    <t>CG440020C0</t>
  </si>
  <si>
    <t>Taiping General Insurance Co., Ltd</t>
  </si>
  <si>
    <t>33/F, 6001 ShenNan Avenue, Futian District, Shenzhen, P.R.CHINA</t>
  </si>
  <si>
    <t>CG450033C0</t>
  </si>
  <si>
    <t>Taipei Fubon Commercial Bank Co, Ltd</t>
  </si>
  <si>
    <t>004901</t>
  </si>
  <si>
    <t>Jeollabuk-Do</t>
  </si>
  <si>
    <t>180-003-985470</t>
  </si>
  <si>
    <t>Woori Bank, SME Fin.cen.Banwolgongdan Branch</t>
  </si>
  <si>
    <t>+82-31-491-3041</t>
  </si>
  <si>
    <t>TAEKYUNG SBC CO.,LTD.</t>
  </si>
  <si>
    <t>258, Sandandongseo-ro, Gunsan-Si, jeollabuk-Do, Korea</t>
  </si>
  <si>
    <t>V20064C</t>
  </si>
  <si>
    <t>V20064B</t>
  </si>
  <si>
    <t>V20064A</t>
  </si>
  <si>
    <t>Gyeonggi-do</t>
  </si>
  <si>
    <t>38689000007538</t>
  </si>
  <si>
    <t>Keb Hana Bank, sihwa corporate banking center Branch</t>
  </si>
  <si>
    <t>+82-31-432-4735</t>
  </si>
  <si>
    <t>82 Gyeongje-ro, Siheung-si, Gyeonggi-do,15096, Korea (Jeongwang-dong)</t>
  </si>
  <si>
    <t>V20041C</t>
  </si>
  <si>
    <t>Keb Hana Bank, Sihwa corporate banking center Branch</t>
  </si>
  <si>
    <t>V20041B</t>
  </si>
  <si>
    <t>Keb Hana Bank, Sihwa corporate banking center Branch(KOEXKRSE)</t>
  </si>
  <si>
    <t>V20041A</t>
  </si>
  <si>
    <t>2100826022</t>
  </si>
  <si>
    <t>The Bank of Tokyo-Mitsubishi UFJ, Ltd - Bangkok branch</t>
  </si>
  <si>
    <t>+66-2672.3581.5</t>
  </si>
  <si>
    <t>889 Thai CC Tower, 31st Floor, Room no.319, South Sathorn, Bangkok 10120 Thailand</t>
  </si>
  <si>
    <t>V20022C</t>
  </si>
  <si>
    <t>V20022B</t>
  </si>
  <si>
    <t>V20022A</t>
  </si>
  <si>
    <t>80806016304</t>
  </si>
  <si>
    <t>The Bank of Tokyo-Mitsubishi UFJ,LTD - Hong Kong Branch</t>
  </si>
  <si>
    <t>(852) 2350-4827</t>
  </si>
  <si>
    <t>Unit 1202-3, 12/F, Metropolis Tower, 10 Metropolis Drive, Hunghom, KLN, Hong Kong</t>
  </si>
  <si>
    <t>V20094C</t>
  </si>
  <si>
    <t>V20094B</t>
  </si>
  <si>
    <t>V20094A</t>
  </si>
  <si>
    <t>070001</t>
  </si>
  <si>
    <t>Sumitomo Mitsui banking corporation</t>
  </si>
  <si>
    <t>004818</t>
  </si>
  <si>
    <t>004817</t>
  </si>
  <si>
    <t>004816</t>
  </si>
  <si>
    <t>004815</t>
  </si>
  <si>
    <t>004814</t>
  </si>
  <si>
    <t>004813</t>
  </si>
  <si>
    <t>004812</t>
  </si>
  <si>
    <t>004811</t>
  </si>
  <si>
    <t>004810</t>
  </si>
  <si>
    <t>004809</t>
  </si>
  <si>
    <t>004808</t>
  </si>
  <si>
    <t>004807</t>
  </si>
  <si>
    <t>004806</t>
  </si>
  <si>
    <t>004805</t>
  </si>
  <si>
    <t>004804</t>
  </si>
  <si>
    <t>004803</t>
  </si>
  <si>
    <t>004802</t>
  </si>
  <si>
    <t>004801</t>
  </si>
  <si>
    <t>Standard Chartered Bank Vietnam Limited</t>
  </si>
  <si>
    <t>004704</t>
  </si>
  <si>
    <t>Standard Chartered Bank Limited</t>
  </si>
  <si>
    <t>004703</t>
  </si>
  <si>
    <t>Standard Chartered Bank (Vietnam) Limited</t>
  </si>
  <si>
    <t>004702</t>
  </si>
  <si>
    <t>004701</t>
  </si>
  <si>
    <t>Standard Chartered Bank</t>
  </si>
  <si>
    <t>050001</t>
  </si>
  <si>
    <t>0136782</t>
  </si>
  <si>
    <t>Mizuho Bank, LTD., - Minamisenba Branch</t>
  </si>
  <si>
    <t>+81 6-6266-1171</t>
  </si>
  <si>
    <t>Nagahori Bldg., 1-17-21, Minamisenba, Chuo-ku, Osaka 542-0081, Japan</t>
  </si>
  <si>
    <t>V20062C</t>
  </si>
  <si>
    <t>V20062B</t>
  </si>
  <si>
    <t>V20062A</t>
  </si>
  <si>
    <t>Southeast Asia Joint Stock Commercial Bank (SeA)</t>
  </si>
  <si>
    <t>004502</t>
  </si>
  <si>
    <t>004501</t>
  </si>
  <si>
    <t>10/15A Le Hong Phong, Dang Lam</t>
  </si>
  <si>
    <t>CG440048C0</t>
  </si>
  <si>
    <t>No. 10 / 15A Le Hong Phong, Dang Lam Ward, Hai An District, Hai Phong</t>
  </si>
  <si>
    <t>SMBC</t>
  </si>
  <si>
    <t>0180001</t>
  </si>
  <si>
    <t>57501029</t>
  </si>
  <si>
    <t>Bank of America N.A-Singapore Branch</t>
  </si>
  <si>
    <t>1 Harbourfront Ave,#14-08 Keppel Bay Tower,Singapore 098632</t>
  </si>
  <si>
    <t>20-1718102-1</t>
  </si>
  <si>
    <t>Sumitomo Mitsui Banking Corporation-Bangkok branch</t>
  </si>
  <si>
    <t>662-661-5474</t>
  </si>
  <si>
    <t>Switch code: SMBCTHBK</t>
  </si>
  <si>
    <t>3199 Maleenont Tower 19th Floor, Rama 4 road, Klongton, Klongtoey, Bangkok 10110 Thailand</t>
  </si>
  <si>
    <t>V20017C</t>
  </si>
  <si>
    <t>V20017B</t>
  </si>
  <si>
    <t>Sumitomo Mitsui Banking Corporation-Bangkok Branch</t>
  </si>
  <si>
    <t>V20017A</t>
  </si>
  <si>
    <t>Shanghai</t>
  </si>
  <si>
    <t>2700015940</t>
  </si>
  <si>
    <t>JPMorgan Chase Bank (China) Co., Ltd, Shanghai Branch</t>
  </si>
  <si>
    <t>268 Jiangtian Road (E), Songjiang Industrial Zone, Shanghai 201600, China</t>
  </si>
  <si>
    <t>V20037C</t>
  </si>
  <si>
    <t>V20037B</t>
  </si>
  <si>
    <t>V20037A</t>
  </si>
  <si>
    <t>2672004773</t>
  </si>
  <si>
    <t>JPMorgan Chase Bank (China) Co., Ltd-Shanghai</t>
  </si>
  <si>
    <t>No.99 South Guanqu Road,Nanjing Chemical Industrial Park,Nanjing,210047 Jiangsu China</t>
  </si>
  <si>
    <t>Waldkraiburg</t>
  </si>
  <si>
    <t>DE49501108006161304248</t>
  </si>
  <si>
    <t>J.P.Morgan SE</t>
  </si>
  <si>
    <t>SI Group Germany (DEAB) GmbH</t>
  </si>
  <si>
    <t>Teplitzer Str. 14-16 Waldkraiburg  84478, Germany</t>
  </si>
  <si>
    <t>V20216A</t>
  </si>
  <si>
    <t>03493520301</t>
  </si>
  <si>
    <t>Oversea - Chinese Banking Corporation Limited</t>
  </si>
  <si>
    <t>Shuguang Chemical (Singapore) Pte. Ltd.</t>
  </si>
  <si>
    <t>60 Paya Lebar Rd#08-10, Paya Lebar Square (Lobby1) S 409051 Singapore (068737)</t>
  </si>
  <si>
    <t>V20176A</t>
  </si>
  <si>
    <t>F15-764-916143</t>
  </si>
  <si>
    <t>Mizuho Bank Ltd.</t>
  </si>
  <si>
    <t>Shinwa Intec Co., Ltd</t>
  </si>
  <si>
    <t>Bangkok 10400 Thailand</t>
  </si>
  <si>
    <t>V20160C</t>
  </si>
  <si>
    <t>20125(USD); 374498(JPY)</t>
  </si>
  <si>
    <t>MUFG BANK, LTD - Tokyo Main Office</t>
  </si>
  <si>
    <t>2-5, Nihonbashi 1-Chome, Chuo-ku, 103-8261 Tokyo, Japan</t>
  </si>
  <si>
    <t>CG450009C0</t>
  </si>
  <si>
    <t>SWIFT: BOTKJPJT</t>
  </si>
  <si>
    <t>V20060C</t>
  </si>
  <si>
    <t>V20060B</t>
  </si>
  <si>
    <t>V20060A</t>
  </si>
  <si>
    <t>Yaesudori</t>
  </si>
  <si>
    <t>022-0107591</t>
  </si>
  <si>
    <t>The Bank of Mitsubishi Tokyo-UFJ-Yaesudori Branch</t>
  </si>
  <si>
    <t>81-3-5645-8670</t>
  </si>
  <si>
    <t>Shinichi Kato office Co.ltd</t>
  </si>
  <si>
    <t>11-7 Nihonbashikabutochou, chuoku, Tokyo 1030026, Japan</t>
  </si>
  <si>
    <t>V20154C</t>
  </si>
  <si>
    <t>7126-001-059572</t>
  </si>
  <si>
    <t>The Bank of Tokyo - Mitsubishi, Ltd</t>
  </si>
  <si>
    <t>79 Science Park Drive #02-01/08, Cintech IV, Singapore Science Park 1, Singapore 118264</t>
  </si>
  <si>
    <t>V20003C</t>
  </si>
  <si>
    <t>V20003B</t>
  </si>
  <si>
    <t>V20003A</t>
  </si>
  <si>
    <t>Henan</t>
  </si>
  <si>
    <t>255903932635</t>
  </si>
  <si>
    <t>Bank of China</t>
  </si>
  <si>
    <t>No.63, Jianshe road,Pingdingshan,Henan, China</t>
  </si>
  <si>
    <t>V20172A</t>
  </si>
  <si>
    <t>Shanghai, China</t>
  </si>
  <si>
    <t>09371114040000135</t>
  </si>
  <si>
    <t>Agricultural Bank of China-Shanghai Changshou Sub-branch</t>
  </si>
  <si>
    <t>Room 102, No 13,Lane 1118,Jiaozhou road, Putuo district,Shanghai, China 200060</t>
  </si>
  <si>
    <t>V20219B</t>
  </si>
  <si>
    <t>Yanggu</t>
  </si>
  <si>
    <t>211701924074</t>
  </si>
  <si>
    <t>Bank Of China-Shandong Branch</t>
  </si>
  <si>
    <t>No.399 Qinghexi Road, Yanggu County, Shandong province, China</t>
  </si>
  <si>
    <t>V20030C</t>
  </si>
  <si>
    <t>V20030B</t>
  </si>
  <si>
    <t>V20030A</t>
  </si>
  <si>
    <t>Shandong</t>
  </si>
  <si>
    <t>15919114040000027</t>
  </si>
  <si>
    <t>Agricultural Bank Of China - Heze Branch</t>
  </si>
  <si>
    <t>Shandong Sunsine Chemical Co., Ltd.</t>
  </si>
  <si>
    <t>Economy Technical Development Area, Shanxian City, Shandong Province, China 274300</t>
  </si>
  <si>
    <t>V20101C</t>
  </si>
  <si>
    <t>V20101B</t>
  </si>
  <si>
    <t>V20101A</t>
  </si>
  <si>
    <t>Economy Technical Development Area, Shanxian City, Shandong Province</t>
  </si>
  <si>
    <t>CG450005C0</t>
  </si>
  <si>
    <t>1615000109200203784</t>
  </si>
  <si>
    <t>Industrial and Commercial Bank of China</t>
  </si>
  <si>
    <t>Shandong Derek New Materials Co., Ltd</t>
  </si>
  <si>
    <t>No 6, Mingyuan Road, Blue Economic Zone, Hekou District, Dongying City, Shandong Province, China</t>
  </si>
  <si>
    <t>V20189A</t>
  </si>
  <si>
    <t>Shandong Derek New Materials Co.,Ltd</t>
  </si>
  <si>
    <t>000000501511251942</t>
  </si>
  <si>
    <t>Standard Chartered Bank (China) Limited</t>
  </si>
  <si>
    <t>SENNICS CO., LTD</t>
  </si>
  <si>
    <t>7F, Sinochem International Plaza,No. 233 North Changqing Rd.Pudong New Area,Shanghai 200126, China</t>
  </si>
  <si>
    <t>V20162A</t>
  </si>
  <si>
    <t>CG450028C0</t>
  </si>
  <si>
    <t>Yokohama</t>
  </si>
  <si>
    <t>3673156</t>
  </si>
  <si>
    <t>MUFG Bank, Ltd, Yokohama Branch</t>
  </si>
  <si>
    <t>14F Nittochi Yamashitacho Building, 23, Yamashita-cho, Naka-ku, Yokohama, Japan 231-0023, JP</t>
  </si>
  <si>
    <t>V20142C</t>
  </si>
  <si>
    <t>SEALS CO,.LTD</t>
  </si>
  <si>
    <t>Sealand Maersk Asia Pte.Ltd</t>
  </si>
  <si>
    <t>200 Cantonment road,#07-02 Southpoint,Singapore 089763</t>
  </si>
  <si>
    <t>CG450031C1</t>
  </si>
  <si>
    <t>CG450032C0</t>
  </si>
  <si>
    <t>SeaBank</t>
  </si>
  <si>
    <t>006701</t>
  </si>
  <si>
    <t>89153200006055</t>
  </si>
  <si>
    <t>Bank of comunications</t>
  </si>
  <si>
    <t>#34-03,8 Marina View, Asia Square Tower 1,Singapore 018960</t>
  </si>
  <si>
    <t>V20144A</t>
  </si>
  <si>
    <t>SB Chemical Co., Ltd</t>
  </si>
  <si>
    <t>CG440040C0</t>
  </si>
  <si>
    <t>0735603</t>
  </si>
  <si>
    <t>The bank of Tokyo-Mitsubishi UFJ, Ltd-Head Office</t>
  </si>
  <si>
    <t>2-11 Kanda Nishiki-Cho, Chiyoda-Ku, Tokyo, 101-0054 Japan</t>
  </si>
  <si>
    <t>V20079C</t>
  </si>
  <si>
    <t>V20079B</t>
  </si>
  <si>
    <t>V20079A</t>
  </si>
  <si>
    <t>2863</t>
  </si>
  <si>
    <t>MUFG Bank, Ltd. Suita Branch</t>
  </si>
  <si>
    <t>SANYO SHOJI CO., LTD</t>
  </si>
  <si>
    <t>2-29,2-Chome, Minami-Kaneden,Suita,Osaka 564-0044 Japan</t>
  </si>
  <si>
    <t>V20169C</t>
  </si>
  <si>
    <t>4-23-4-903 Takanawa, Minato-Ku, Tokyo 108, Japan</t>
  </si>
  <si>
    <t>CG450001C0</t>
  </si>
  <si>
    <t>7431835</t>
  </si>
  <si>
    <t>Sumitomo Mitsui Banking Corporation, Mita-Dori Branch</t>
  </si>
  <si>
    <t>81-3-3444-3411</t>
  </si>
  <si>
    <t>V20051C</t>
  </si>
  <si>
    <t>V20051B</t>
  </si>
  <si>
    <t>V20051A</t>
  </si>
  <si>
    <t>H15764153850</t>
  </si>
  <si>
    <t>Mizuho bank, Ltd-Bangkok Branch</t>
  </si>
  <si>
    <t>333 Lao Peng Nguan Tower 1 12th Floor C1, Soi Chuaypuang, Vibhavadee-Rangsit Road, Chompol, Chatuchak, Bangkok 10900, Thailand</t>
  </si>
  <si>
    <t>V20193B</t>
  </si>
  <si>
    <t>2100835120</t>
  </si>
  <si>
    <t>Bank of Ayudhya Public Company Limited / Bangkok Sathorn Branch</t>
  </si>
  <si>
    <t>SAN - THAP INTERNATIONAL CO., LTD</t>
  </si>
  <si>
    <t>11th Floor Ramaland Bldg.,952 Rama IV Rd.,Suriyawongse, Bangrak,Bangkok 10500</t>
  </si>
  <si>
    <t>V20143A</t>
  </si>
  <si>
    <t>003 1000 149 715</t>
  </si>
  <si>
    <t>NH Vietcombank - CN Hải Phòng</t>
  </si>
  <si>
    <t>SAKO TOMOHIRO</t>
  </si>
  <si>
    <t>V4082C0</t>
  </si>
  <si>
    <t>SaigonBank</t>
  </si>
  <si>
    <t>006602</t>
  </si>
  <si>
    <t>006601</t>
  </si>
  <si>
    <t>Saigon - Hanoi Commercial Joint Stock Bank (SHB)</t>
  </si>
  <si>
    <t>004605</t>
  </si>
  <si>
    <t>004604</t>
  </si>
  <si>
    <t>004603</t>
  </si>
  <si>
    <t>004602</t>
  </si>
  <si>
    <t>004601</t>
  </si>
  <si>
    <t>Sai Gon Thuong Tin Bank</t>
  </si>
  <si>
    <t>004401</t>
  </si>
  <si>
    <t>004406</t>
  </si>
  <si>
    <t>004405</t>
  </si>
  <si>
    <t>004404</t>
  </si>
  <si>
    <t>004403</t>
  </si>
  <si>
    <t>004402</t>
  </si>
  <si>
    <t>2108100626</t>
  </si>
  <si>
    <t>Bank of Ayudhya Public Co., Ltd-Bangkok Sathorn Branch</t>
  </si>
  <si>
    <t>02-1820146-7</t>
  </si>
  <si>
    <t>1588/5 Bangna-trad RD.,Bangna,Bangna,Bangkok 10260</t>
  </si>
  <si>
    <t>V20043A</t>
  </si>
  <si>
    <t>V20043C</t>
  </si>
  <si>
    <t>V20043B</t>
  </si>
  <si>
    <t>Fukuoka</t>
  </si>
  <si>
    <t>110154</t>
  </si>
  <si>
    <t>The Bank of Tokyo-Mitsubishi UFJ, Ltd. / Fukuoka - Chuo Branch</t>
  </si>
  <si>
    <t>1-15-15 Sanno, Hakata-ku, Fukuoka, JP</t>
  </si>
  <si>
    <t>V20134B</t>
  </si>
  <si>
    <t>1-15-15 Sanno, Hakata-ku, Fukuoka, Japan</t>
  </si>
  <si>
    <t>V20134C</t>
  </si>
  <si>
    <t>RHB Bank Berhad</t>
  </si>
  <si>
    <t>004201</t>
  </si>
  <si>
    <t>Resona Bank Ltd</t>
  </si>
  <si>
    <t>007101</t>
  </si>
  <si>
    <t>CG-EMP</t>
  </si>
  <si>
    <t>Khu đất CN4.1, KCN Đình Vũ, Đông Hải 2, Hải An, Hải Phòng</t>
  </si>
  <si>
    <t>CG420001C0</t>
  </si>
  <si>
    <t>EMP</t>
  </si>
  <si>
    <t>Bharuch</t>
  </si>
  <si>
    <t>14502790000029</t>
  </si>
  <si>
    <t>HDFC BANK Ltd.- Zadeshwar Road Bharuch</t>
  </si>
  <si>
    <t>+9102642277220</t>
  </si>
  <si>
    <t>R.K. Reclaim &amp; Rubber Products Pvt. Ltd</t>
  </si>
  <si>
    <t>S.code: HDFCINBB</t>
  </si>
  <si>
    <t>104/48 to 104/52,Phase II, GIDC Palej,Bharuch 392220 Gujarat</t>
  </si>
  <si>
    <t>V20105A</t>
  </si>
  <si>
    <t>HDFC Bank Ltd.</t>
  </si>
  <si>
    <t>104/48 to 104/52.Phase II.G.I.D.C.PalejBharuch</t>
  </si>
  <si>
    <t>Qingdao</t>
  </si>
  <si>
    <t>902140781006222810</t>
  </si>
  <si>
    <t>Qingdao Rural Commercial Bank Corporation / China</t>
  </si>
  <si>
    <t>Gangdong East dock Wanggezhuang Town, Laoshan District, Qingdao, China</t>
  </si>
  <si>
    <t>V20137A</t>
  </si>
  <si>
    <t>9021407810062228100026</t>
  </si>
  <si>
    <t>Qingdao Rural Commerical Bank Corporation</t>
  </si>
  <si>
    <t>+86-532-8791-2284</t>
  </si>
  <si>
    <t>Gangdong East dock Wanggezhuang Town,Laoshan District,Qingdao,China</t>
  </si>
  <si>
    <t>V20137C</t>
  </si>
  <si>
    <t>38080114040002026</t>
  </si>
  <si>
    <t>Agricultural Bank of China-Qingdao Branch</t>
  </si>
  <si>
    <t>No.43,Zhengzhou Road, QingdaoShandong 266045, China</t>
  </si>
  <si>
    <t>V20211C</t>
  </si>
  <si>
    <t>9105244</t>
  </si>
  <si>
    <t>Mizuho Bank, Ltd. - Kyobashi Branch</t>
  </si>
  <si>
    <t>03-3272-1917</t>
  </si>
  <si>
    <t>1178 Araki, Araki-machi, Kurume Fukuoka 830-0063, Japan</t>
  </si>
  <si>
    <t>V20047C</t>
  </si>
  <si>
    <t>V20047B</t>
  </si>
  <si>
    <t>V20047A</t>
  </si>
  <si>
    <t>Public Vietnam Bank</t>
  </si>
  <si>
    <t>005504</t>
  </si>
  <si>
    <t>Jarkarta</t>
  </si>
  <si>
    <t>005-3100489</t>
  </si>
  <si>
    <t>PT. Bank Central Asia TBK - KCU Wisma Millenia</t>
  </si>
  <si>
    <t>PT. SUMI ASIH</t>
  </si>
  <si>
    <t>Atria@Sudirman, 17th floor, JI.Jend. Surdiman Kav. 33A Jarkarta 10220, Indonesia</t>
  </si>
  <si>
    <t>V20181A</t>
  </si>
  <si>
    <t>Karawang</t>
  </si>
  <si>
    <t>00050-044055-001-60</t>
  </si>
  <si>
    <t>BNP Paribas -Singapore Branch</t>
  </si>
  <si>
    <t>+0062 267 440 288</t>
  </si>
  <si>
    <t>JL.Surya Utama Kav I-14 Kota Industri Suryacipta, Karawang 41363-Indonesia</t>
  </si>
  <si>
    <t>V20076C</t>
  </si>
  <si>
    <t>V20076B</t>
  </si>
  <si>
    <t>V20076A</t>
  </si>
  <si>
    <t>Kawasan Industri Surya Cipta JL Utama Kav 8-13 Kutamekar Ciampel Kab, Karawang Jawa Barat 41363 Indonesia</t>
  </si>
  <si>
    <t>CG450007C0</t>
  </si>
  <si>
    <t>303-636-0201</t>
  </si>
  <si>
    <t>Bank Mizuho Indonesia / Jakarta Branch</t>
  </si>
  <si>
    <t>350200C</t>
  </si>
  <si>
    <t>Bank Mizuho Indonesia-Jakarta Branch</t>
  </si>
  <si>
    <t>350200A</t>
  </si>
  <si>
    <t>350200B</t>
  </si>
  <si>
    <t>BSIN</t>
  </si>
  <si>
    <t>PT NGT Trading &amp; Engineering Indonesia</t>
  </si>
  <si>
    <t>JI. Cilosari No.4 Cikini, Jakarta</t>
  </si>
  <si>
    <t>CG450012C0</t>
  </si>
  <si>
    <t>Jawa Barat</t>
  </si>
  <si>
    <t>30600.142105</t>
  </si>
  <si>
    <t>JL. Pahlawan Desa Karang Asem Timur Citeureup, Bogor, Jawa Barat 16810 Indonesia</t>
  </si>
  <si>
    <t>V20073C</t>
  </si>
  <si>
    <t>V20073B</t>
  </si>
  <si>
    <t>V20073A</t>
  </si>
  <si>
    <t>004101</t>
  </si>
  <si>
    <t>Busan</t>
  </si>
  <si>
    <t>154 2001 9580 07</t>
  </si>
  <si>
    <t>Busanbank, Busan, Korea, Eobang Branch</t>
  </si>
  <si>
    <t>+82-51-796-1288</t>
  </si>
  <si>
    <t>41, Yutongdanji 1-Ro, Gangseo-Gu, Busan, Korea (T-T-PLEX219-211)</t>
  </si>
  <si>
    <t>V20071C</t>
  </si>
  <si>
    <t>V20071B</t>
  </si>
  <si>
    <t>V20071A</t>
  </si>
  <si>
    <t>Phòng Quản lý Xuất Nhập Cảnh</t>
  </si>
  <si>
    <t>T3003C0</t>
  </si>
  <si>
    <t>37610100176891049</t>
  </si>
  <si>
    <t>Kho bạc Nhà nước Hải An</t>
  </si>
  <si>
    <t>Phòng Kinh tế quận Hải An - Quỹ Phòng, Chống thiên tai quận Hải An</t>
  </si>
  <si>
    <t>Hải An, Hải Phòng</t>
  </si>
  <si>
    <t>T3011C0</t>
  </si>
  <si>
    <t>1100083627</t>
  </si>
  <si>
    <t>SHB - CN Lê Chân</t>
  </si>
  <si>
    <t>Phạm Thị Thanh Huyền</t>
  </si>
  <si>
    <t>0200611736</t>
  </si>
  <si>
    <t>Quán hoa số 3, Quang Trung, Hồng Bàng, Hải phòng</t>
  </si>
  <si>
    <t>V4062C0</t>
  </si>
  <si>
    <t>Petrolimex Group commercial Joint Stock Bank</t>
  </si>
  <si>
    <t>004004</t>
  </si>
  <si>
    <t>004003</t>
  </si>
  <si>
    <t>004002</t>
  </si>
  <si>
    <t>004001</t>
  </si>
  <si>
    <t>Kolkata</t>
  </si>
  <si>
    <t>828200112840</t>
  </si>
  <si>
    <t>DBS Bank India Limited</t>
  </si>
  <si>
    <t>31 Netaji Subhas Road, Post Box No.2229, Kolkata-700001, India</t>
  </si>
  <si>
    <t>V20014C</t>
  </si>
  <si>
    <t>V20014B</t>
  </si>
  <si>
    <t>V20014A</t>
  </si>
  <si>
    <t>SINGAPORE</t>
  </si>
  <si>
    <t>003-922159-2</t>
  </si>
  <si>
    <t>DBS BANK LIMITED, MBFC BRANCH</t>
  </si>
  <si>
    <t>Park Hotel CQ Pte.Ltd</t>
  </si>
  <si>
    <t>No1 Unity Street, Singapore 237983</t>
  </si>
  <si>
    <t>V4087C0</t>
  </si>
  <si>
    <t>Suzhou</t>
  </si>
  <si>
    <t>105513 1404 0000 851</t>
  </si>
  <si>
    <t>Agricultural Bank Of China</t>
  </si>
  <si>
    <t>Paramelt Specialty Materials (Suzhou) Co., LTd</t>
  </si>
  <si>
    <t>Suzhou Industrial Park,109 Sutong Road,Suzhou China</t>
  </si>
  <si>
    <t>V20145A</t>
  </si>
  <si>
    <t>570-200028-4840</t>
  </si>
  <si>
    <t>Siam Commercial Bank Pulic Company Ltd</t>
  </si>
  <si>
    <t>1 Boromrachachonanee Road, Arun-Amarin,Bangkoknoi, Bangkok 10700,Thailand</t>
  </si>
  <si>
    <t>V20149A</t>
  </si>
  <si>
    <t>DAGNEUX</t>
  </si>
  <si>
    <t>FR76 3000 3011 0000 0204 1171 715</t>
  </si>
  <si>
    <t>CAR Nord de France SOCIETE GENERALE</t>
  </si>
  <si>
    <t>0033 437 85 80 33</t>
  </si>
  <si>
    <t>465 RUE DES CHARTINIERES 01120 DAGNEUX FRANCE</t>
  </si>
  <si>
    <t>V20015C</t>
  </si>
  <si>
    <t>V20015B</t>
  </si>
  <si>
    <t>V20015A</t>
  </si>
  <si>
    <t>Andhra Pradesh</t>
  </si>
  <si>
    <t>10324773718</t>
  </si>
  <si>
    <t>State Bank of India / Overseas Branch</t>
  </si>
  <si>
    <t>+91-120-2446850</t>
  </si>
  <si>
    <t>14th Floor, Tower B, World Trade Tower, Plot No. C-1, Sector -16, Noida - 201301. UP, 201301 India</t>
  </si>
  <si>
    <t>V20139A</t>
  </si>
  <si>
    <t>Orient Commercail Joint stock bank (OCB)</t>
  </si>
  <si>
    <t>006301</t>
  </si>
  <si>
    <t>132-0142276</t>
  </si>
  <si>
    <t>THE SHOKO CHUKIN BANK, LTD</t>
  </si>
  <si>
    <t>+81-3-4530-3135</t>
  </si>
  <si>
    <t>6-3-17 Minamishinagawa, Shinagawa-ku, Tokyo, Japan 140-0004</t>
  </si>
  <si>
    <t>V20004C</t>
  </si>
  <si>
    <t>V20004B</t>
  </si>
  <si>
    <t>V20004A</t>
  </si>
  <si>
    <t>058610</t>
  </si>
  <si>
    <t>The bank of Tokyo-Mitsubishi UFJ, Ltd</t>
  </si>
  <si>
    <t>438A Alexandra Road, #05-05/08 Alexandra Technopark Singapore 119967</t>
  </si>
  <si>
    <t>V20058C</t>
  </si>
  <si>
    <t>V20058B</t>
  </si>
  <si>
    <t>V20058A</t>
  </si>
  <si>
    <t>Seoul</t>
  </si>
  <si>
    <t>OCI BLDG.94,SOGONG-RO JUNG-GU</t>
  </si>
  <si>
    <t>CG450021C0</t>
  </si>
  <si>
    <t>181-000-016843</t>
  </si>
  <si>
    <t>Shinhan Bank-Sogongdong corporation branch</t>
  </si>
  <si>
    <t>82-2-727-9451</t>
  </si>
  <si>
    <t>OCI BLDG.94,SOGONG-RO JUNG-GU,SEOUL,04532 KOREA</t>
  </si>
  <si>
    <t>V20128A</t>
  </si>
  <si>
    <t>1079016928</t>
  </si>
  <si>
    <t>DBS Bank / Buona Vista Corp Branch</t>
  </si>
  <si>
    <t>V20147C</t>
  </si>
  <si>
    <t>107-901692-8</t>
  </si>
  <si>
    <t>DBS Bank Ltd</t>
  </si>
  <si>
    <t>63 Niven Road Singapore 228412</t>
  </si>
  <si>
    <t>V20147B</t>
  </si>
  <si>
    <t>Reggio Emilia</t>
  </si>
  <si>
    <t>IT 49 Z02008 12814 0005 00020748</t>
  </si>
  <si>
    <t>UNICREDIT SPA</t>
  </si>
  <si>
    <t>Via Giovanni Fattori No 6, 42122 Reggio Emilia, Italy</t>
  </si>
  <si>
    <t>V20183C</t>
  </si>
  <si>
    <t>NON-RESIDENT EXPATRIATES</t>
  </si>
  <si>
    <t>CG430001C0</t>
  </si>
  <si>
    <t>V3300C0</t>
  </si>
  <si>
    <t>Mumbai</t>
  </si>
  <si>
    <t>Mafatlal House, H.T. Parekh Marg Backbay Reclamation , Churchgate, Mumbai 400 020, India</t>
  </si>
  <si>
    <t>CG450030C0</t>
  </si>
  <si>
    <t>000 1032 000 1756</t>
  </si>
  <si>
    <t>HDFC BANK LTD., FORT BRANCH</t>
  </si>
  <si>
    <t>91 22 56364062</t>
  </si>
  <si>
    <t>V20035C</t>
  </si>
  <si>
    <t>V20035B</t>
  </si>
  <si>
    <t>V20035A</t>
  </si>
  <si>
    <t>187872</t>
  </si>
  <si>
    <t>The bank of Tokyo-Mitsubishi UFJ, Ltd - Singapore Branch</t>
  </si>
  <si>
    <t>(65) 6438 8738</t>
  </si>
  <si>
    <t>120 Lower Delta Road, #05-07/08 Cendex Centre, Singapore 169208</t>
  </si>
  <si>
    <t>V20042C</t>
  </si>
  <si>
    <t>V20042B</t>
  </si>
  <si>
    <t>V20042A</t>
  </si>
  <si>
    <t>1022918</t>
  </si>
  <si>
    <t>SUMITOMO MITSUI BANKING CORPORATION - Marunouchi Branch</t>
  </si>
  <si>
    <t>+81 -(0)3-3457-6278</t>
  </si>
  <si>
    <t>4th floor Daiwa Shibaura Building 12-3, Shibaura 1- Chome, Minato-ku, Tokyo, Japan 105-0023</t>
  </si>
  <si>
    <t>V20069C</t>
  </si>
  <si>
    <t>V20069B</t>
  </si>
  <si>
    <t>Daiwa Shibaura BLDG 4F, 12-3, Shibaura 1- Chome, Minato-ku, Tokyo 105-0023, Japan</t>
  </si>
  <si>
    <t>V20069A</t>
  </si>
  <si>
    <t>NISHI-NIPPON CITY BANK</t>
  </si>
  <si>
    <t>003901</t>
  </si>
  <si>
    <t>Okayama</t>
  </si>
  <si>
    <t>156-00-1179363</t>
  </si>
  <si>
    <t>The Chugoku bank Ltd-Uno Branch</t>
  </si>
  <si>
    <t>Nippon steel conveyor Co.,Ltd</t>
  </si>
  <si>
    <t>643-8 Kita nanaku minamiku Okayama City, Okayama, Japan</t>
  </si>
  <si>
    <t>V20146C</t>
  </si>
  <si>
    <t>Nippon Steel Conveyor Co.Ltd</t>
  </si>
  <si>
    <t>19982</t>
  </si>
  <si>
    <t>Mizuho Bank Ltd., Kobunacho Branch</t>
  </si>
  <si>
    <t>+81-3-6860-6600</t>
  </si>
  <si>
    <t>Mitsubishi Building, 2-5-2, Marunouchi, Chiyoda-ku, Tokyo Japan</t>
  </si>
  <si>
    <t>V20057C</t>
  </si>
  <si>
    <t>V20057B</t>
  </si>
  <si>
    <t>V20057A</t>
  </si>
  <si>
    <t>Kanagawa</t>
  </si>
  <si>
    <t>2000948</t>
  </si>
  <si>
    <t>Sumitomo Mitsui Banking Corporation-Shonandai Branch</t>
  </si>
  <si>
    <t>7 Kiriharacho, Fujisawa-shi, Kanagawa 252-0811, Japan</t>
  </si>
  <si>
    <t>V20180C</t>
  </si>
  <si>
    <t>Japan</t>
  </si>
  <si>
    <t>9010852</t>
  </si>
  <si>
    <t>The Bank of Tokyo-Mitsubishi UFJ, Ltd. - OYAMA Branch Branch</t>
  </si>
  <si>
    <t>+81-49-266-7311</t>
  </si>
  <si>
    <t>710 Shimoakasaka,Kawagoe-shi,Saitama-ken, Japan</t>
  </si>
  <si>
    <t>V20099C</t>
  </si>
  <si>
    <t>V20099B</t>
  </si>
  <si>
    <t>V20099A</t>
  </si>
  <si>
    <t>4567262</t>
  </si>
  <si>
    <t>Sumitomo Mitsui banking corporation / Shinjuku Branch</t>
  </si>
  <si>
    <t>Nihon Seikoh Giken Co.,Ltd</t>
  </si>
  <si>
    <t>2-8-8 Shinjyuku,shinjyuku Ward,Tokyo 160-0022, Japan</t>
  </si>
  <si>
    <t>V20141B</t>
  </si>
  <si>
    <t>Shinjuku</t>
  </si>
  <si>
    <t>V20141C</t>
  </si>
  <si>
    <t>NHV corporation Co.,Ltd</t>
  </si>
  <si>
    <t>47 Umezu Takase-cho, Ukyo-ku Kyoto-shi, Kyoto, 615-8686, Japan</t>
  </si>
  <si>
    <t>CG450022C0</t>
  </si>
  <si>
    <t>Kyoto</t>
  </si>
  <si>
    <t>205528</t>
  </si>
  <si>
    <t>Sumitomo Mitsui Banking Corporation - Kyoto Branch</t>
  </si>
  <si>
    <t>+81(75)864-6831</t>
  </si>
  <si>
    <t>47, Umezu-Takase-cho, Ukyo-ku, Kyoto 615-8686, Japan</t>
  </si>
  <si>
    <t>V20065C</t>
  </si>
  <si>
    <t>V20065B</t>
  </si>
  <si>
    <t>V20065A</t>
  </si>
  <si>
    <t>068.100.379.3211</t>
  </si>
  <si>
    <t>Vietcombank Hanoi Office</t>
  </si>
  <si>
    <t>NH Sumitomo Mitsui Banking Corp CN TP HN</t>
  </si>
  <si>
    <t>V4073C0</t>
  </si>
  <si>
    <t>0681.00000.2787</t>
  </si>
  <si>
    <t>NH MUFG Bank, Ltd - CN TP Ha Noi</t>
  </si>
  <si>
    <t>V4073C1</t>
  </si>
  <si>
    <t>V4103C0</t>
  </si>
  <si>
    <t>19030451052011</t>
  </si>
  <si>
    <t>Techcombank - CN Tô Hiệu</t>
  </si>
  <si>
    <t>Số 118, Nam Hải, Hải An, Hải Phòng</t>
  </si>
  <si>
    <t>1020377389</t>
  </si>
  <si>
    <t>Vietcombank - PGD Lê Hồng Phong - CN Hải Phòng</t>
  </si>
  <si>
    <t>Xã Minh Tân, Nghĩa Lộ, Cát Hải, TP Hải Phòng</t>
  </si>
  <si>
    <t>2103205059829</t>
  </si>
  <si>
    <t>Ngân hàng nông nghiệp và phát triển nông thôn Việt Nam, chi nhánh Hải Phòng</t>
  </si>
  <si>
    <t>Nguyễn Thị Loan</t>
  </si>
  <si>
    <t>Thôn Minh Hồng, Nghĩa Lộ, Cát Hải, Thành phố Hải Phòng, Việt Nam</t>
  </si>
  <si>
    <t>V4124C0</t>
  </si>
  <si>
    <t>2103205049650</t>
  </si>
  <si>
    <t>Khu 2 thị trấn Cát Hải, Cát Hải, TP Hải Phòng</t>
  </si>
  <si>
    <t>0031000173042</t>
  </si>
  <si>
    <t>Nguyễn Thị Hiền</t>
  </si>
  <si>
    <t>Purchase Dept. / BTMV</t>
  </si>
  <si>
    <t>BMV-0215</t>
  </si>
  <si>
    <t>101010002636770</t>
  </si>
  <si>
    <t>Ngân hàng Vietinbank , chi nhánh Hải Phòng</t>
  </si>
  <si>
    <t>Nhà hàng Kaminumaya, 396A Lạch Tray, Ngô Quyền, Hải Phòng</t>
  </si>
  <si>
    <t>10910900622011</t>
  </si>
  <si>
    <t>Ngô Thị Phượng</t>
  </si>
  <si>
    <t>0200931623</t>
  </si>
  <si>
    <t>Quán hoa số 1, Quang Trung, Hồng Bàng, Hải Phòng</t>
  </si>
  <si>
    <t>V4033C0</t>
  </si>
  <si>
    <t>Ngân hàng Vietcombank</t>
  </si>
  <si>
    <t>005620</t>
  </si>
  <si>
    <t>Ngân hàng TMCP Công thương Việt Nam</t>
  </si>
  <si>
    <t>005716</t>
  </si>
  <si>
    <t>Ngân hàng thương mại cổ phần Ngoại thương Việt Nam - Vietcom</t>
  </si>
  <si>
    <t>005619</t>
  </si>
  <si>
    <t>0681 00000 2787</t>
  </si>
  <si>
    <t>Vietcombank, hội sở chính</t>
  </si>
  <si>
    <t>NGAN HANG THE BANK OF TOKYO - MITSUBISHI UFJ, LTD. CN TP HANOI</t>
  </si>
  <si>
    <t>V4075C0</t>
  </si>
  <si>
    <t>Ngân hàng Shanghai Commercial &amp; Savings Bank.Ltd</t>
  </si>
  <si>
    <t>009001</t>
  </si>
  <si>
    <t>New Jersey</t>
  </si>
  <si>
    <t>38258322</t>
  </si>
  <si>
    <t>Citibank, N.A.</t>
  </si>
  <si>
    <t>3rd Floor,100 Walnut Avenue,Clark, NJ 07066, United States</t>
  </si>
  <si>
    <t>V20220C</t>
  </si>
  <si>
    <t>V20220B</t>
  </si>
  <si>
    <t>Nanjing</t>
  </si>
  <si>
    <t>136041-709-14-0000035</t>
  </si>
  <si>
    <t>China Guangfa Bank Co., Ltd-Nanjing Branch</t>
  </si>
  <si>
    <t>Nanjing Shuguang Silane Chemical Co., Ltd.</t>
  </si>
  <si>
    <t>No.226, ChongFu Road, Chemical Industrial Park District, Nanjing, China</t>
  </si>
  <si>
    <t>V20009C</t>
  </si>
  <si>
    <t>JiaDongCun, YouFangQiao,XiShanQiao Town, YuHuaTai District, Nanjing China</t>
  </si>
  <si>
    <t>V20009B</t>
  </si>
  <si>
    <t>V20009A</t>
  </si>
  <si>
    <t>Kobe</t>
  </si>
  <si>
    <t>1685792</t>
  </si>
  <si>
    <t>Mizuho Bank, Ltd - Kobe Branch</t>
  </si>
  <si>
    <t>+81-(0)78-965-1030</t>
  </si>
  <si>
    <t>Nakata Engineering Co., Ltd</t>
  </si>
  <si>
    <t>619 Minami, Kande-cho, Nishi-ku, Kobe 651-2312, Japan</t>
  </si>
  <si>
    <t>V20093A</t>
  </si>
  <si>
    <t>V20093C</t>
  </si>
  <si>
    <t>V20093B</t>
  </si>
  <si>
    <t>Wakayama</t>
  </si>
  <si>
    <t>142-5, Gonose, Hirogawa-cho Arida-gun, Wakayama, 643-0053, Japan</t>
  </si>
  <si>
    <t>V20088C</t>
  </si>
  <si>
    <t>V20088B</t>
  </si>
  <si>
    <t>V20088A</t>
  </si>
  <si>
    <t>348-900-830-9</t>
  </si>
  <si>
    <t>UNITED OVERSEAS BANK</t>
  </si>
  <si>
    <t>10 Kallang Avenue # 14-10 Aperia, Singapore 339510</t>
  </si>
  <si>
    <t>V20207C</t>
  </si>
  <si>
    <t>+86 21 6340 6222</t>
  </si>
  <si>
    <t>222 Hubin Rd, Lu Wan Qu, Shanghai, Trung Quốc</t>
  </si>
  <si>
    <t>V20124C</t>
  </si>
  <si>
    <t>MIZUHO CORPORATE BANK LTD</t>
  </si>
  <si>
    <t>0390001</t>
  </si>
  <si>
    <t>Mizuho Corporate Bank</t>
  </si>
  <si>
    <t>010001</t>
  </si>
  <si>
    <t>Mizuho Bank, Ltd</t>
  </si>
  <si>
    <t>4th Floor,63 LTTBuilding,63 Ly Thai To, Hanoi</t>
  </si>
  <si>
    <t>CG470003C0</t>
  </si>
  <si>
    <t>MIZUHO BANK , LTD</t>
  </si>
  <si>
    <t>003806</t>
  </si>
  <si>
    <t>003805</t>
  </si>
  <si>
    <t>003804</t>
  </si>
  <si>
    <t>003803</t>
  </si>
  <si>
    <t>003802</t>
  </si>
  <si>
    <t>H15-795-014292</t>
  </si>
  <si>
    <t>003801</t>
  </si>
  <si>
    <t>003821</t>
  </si>
  <si>
    <t>003819</t>
  </si>
  <si>
    <t>003818</t>
  </si>
  <si>
    <t>003817</t>
  </si>
  <si>
    <t>003816</t>
  </si>
  <si>
    <t>003815</t>
  </si>
  <si>
    <t>003814</t>
  </si>
  <si>
    <t>003813</t>
  </si>
  <si>
    <t>003812</t>
  </si>
  <si>
    <t>003811</t>
  </si>
  <si>
    <t>003810</t>
  </si>
  <si>
    <t>003809</t>
  </si>
  <si>
    <t>003808</t>
  </si>
  <si>
    <t>003807</t>
  </si>
  <si>
    <t>Mizuho bank - Ha Noi Branch</t>
  </si>
  <si>
    <t>Tầng 4, Tòa nhà 63 LTT, 63 Lý Thái Tổ, Hoàn Kiếm, Hà nội</t>
  </si>
  <si>
    <t>V4065C0</t>
  </si>
  <si>
    <t>650-007963-871</t>
  </si>
  <si>
    <t>Keb Hana Bank - Beomgye Station Branch</t>
  </si>
  <si>
    <t>+82-31-383-0463</t>
  </si>
  <si>
    <t>Miwon Bldg, 464, Anyang-ro, Manan-gu Anyang-si, Gyeonggi-do, Seoul 13967, Korea</t>
  </si>
  <si>
    <t>V20040B</t>
  </si>
  <si>
    <t>V20040A</t>
  </si>
  <si>
    <t>+82-31-479-9200</t>
  </si>
  <si>
    <t>V20040C</t>
  </si>
  <si>
    <t>016152 (USD) / 016160 (JPY)</t>
  </si>
  <si>
    <t>Bank of Tokyo-Mitsubushi UFJ (China), Ltd. Suzhou Branch</t>
  </si>
  <si>
    <t>81, Huangpujiang Road, Changshu New and high-tech Industrial Development Zone, Changshu City, Jiangsu Province, P.R China</t>
  </si>
  <si>
    <t>V20133B</t>
  </si>
  <si>
    <t>V20133C</t>
  </si>
  <si>
    <t>Hyogo</t>
  </si>
  <si>
    <t>0622651</t>
  </si>
  <si>
    <t>MUFG Bank, Ltd Kobe branch</t>
  </si>
  <si>
    <t>Mitsubishi Heavy Industries Machinery Systems, LTD.</t>
  </si>
  <si>
    <t>V20178B</t>
  </si>
  <si>
    <t>V20178C</t>
  </si>
  <si>
    <t>Military Commercial Joint Stock bank (VN) - PGD Hải An</t>
  </si>
  <si>
    <t>003510</t>
  </si>
  <si>
    <t>Military Commercial Joint Stock bank (VN)</t>
  </si>
  <si>
    <t>003501</t>
  </si>
  <si>
    <t>003509</t>
  </si>
  <si>
    <t>003508</t>
  </si>
  <si>
    <t>003507</t>
  </si>
  <si>
    <t>003506</t>
  </si>
  <si>
    <t>003505</t>
  </si>
  <si>
    <t>003504</t>
  </si>
  <si>
    <t>003503</t>
  </si>
  <si>
    <t>003502</t>
  </si>
  <si>
    <t>023-02-0363392</t>
  </si>
  <si>
    <t>The Yokohama Shinkin Bank-Yokohamanishiguchi Branch</t>
  </si>
  <si>
    <t>4 Floor Yokohama T.O BLDG,2-9-16 Tsuruya-cho, Kanagawa-ku,Yokohama, 221-0835 Japan</t>
  </si>
  <si>
    <t>V20221C</t>
  </si>
  <si>
    <t>009-047036-006 (USD)</t>
  </si>
  <si>
    <t>The Hongkong Shanghai Banking Corporation Limited - Tokyo Office</t>
  </si>
  <si>
    <t>03 5354 1560</t>
  </si>
  <si>
    <t>Mercer Japan Ltd</t>
  </si>
  <si>
    <t>Tokyo Opera City Tower 37FI. 3-20-2, Nishi-shinjuku, Shinjuku-ku, Tokyo 163-1437</t>
  </si>
  <si>
    <t>V4083C0</t>
  </si>
  <si>
    <t>MeKong Housing Bank</t>
  </si>
  <si>
    <t>003701</t>
  </si>
  <si>
    <t>Mekong Development Joint Stock Commercial Bank</t>
  </si>
  <si>
    <t>003601</t>
  </si>
  <si>
    <t>Chiba</t>
  </si>
  <si>
    <t>280-1610911</t>
  </si>
  <si>
    <t>Mizuho Bank.,Ltd-Chiba Branch</t>
  </si>
  <si>
    <t>Chiba Port Side Tower 26F, 1-35, Tonya-Cho, Chuo-Ku, Chiba-City, Chiba,260-0025, Japan</t>
  </si>
  <si>
    <t>V20113C</t>
  </si>
  <si>
    <t>Kanagawa-Ken</t>
  </si>
  <si>
    <t>0071097</t>
  </si>
  <si>
    <t>The Bank of Tokyo-Mitsubishi UFJ Ltd, Fujisawa Branch</t>
  </si>
  <si>
    <t>00-81-467-87-1552</t>
  </si>
  <si>
    <t>5-16-17 Nango, Chigasaki-Shi, Kanagawa-Ken, Japan.253-0061</t>
  </si>
  <si>
    <t>V20046C</t>
  </si>
  <si>
    <t>V20046B</t>
  </si>
  <si>
    <t>V20046A</t>
  </si>
  <si>
    <t>V10227C</t>
  </si>
  <si>
    <t>V10227B</t>
  </si>
  <si>
    <t>V10227A</t>
  </si>
  <si>
    <t>153-4627627</t>
  </si>
  <si>
    <t>THE BANK OF TOKYO-MITSUBISHI UFJ, LTD - NOGATA BRANCH</t>
  </si>
  <si>
    <t>MANABU HATANO</t>
  </si>
  <si>
    <t>2-12-8 Maruyama, Nakano-ku Tokyo 165-0021 JAPAN</t>
  </si>
  <si>
    <t>V3400C0</t>
  </si>
  <si>
    <t>MAINFREIGHT INTERNATIONAL</t>
  </si>
  <si>
    <t>301BRISBANE</t>
  </si>
  <si>
    <t>P0000111</t>
  </si>
  <si>
    <t>670435</t>
  </si>
  <si>
    <t>Hachijuni Bank, Shinonoi Branch</t>
  </si>
  <si>
    <t>+81 (0) 26 292 2228</t>
  </si>
  <si>
    <t>1095 Onbegawa Shinonoi, Nagano City, Nagano 388-8522, Japan</t>
  </si>
  <si>
    <t>V20085C</t>
  </si>
  <si>
    <t>V20085B</t>
  </si>
  <si>
    <t>V20085A</t>
  </si>
  <si>
    <t>Ahmedabad</t>
  </si>
  <si>
    <t>806-0-502202-8</t>
  </si>
  <si>
    <t>Standard Chartered Bank-Ahmedabad Branch</t>
  </si>
  <si>
    <t>147,GIDC Vartej,Bhavnagar-364060, Gujarat, India</t>
  </si>
  <si>
    <t>CG400001C0</t>
  </si>
  <si>
    <t>Midview</t>
  </si>
  <si>
    <t>0004000039013022</t>
  </si>
  <si>
    <t>DBS Bank-Singapore</t>
  </si>
  <si>
    <t>20 Sin Ming Lane #05-59 Midview City, Singapore 573968</t>
  </si>
  <si>
    <t>V20002C</t>
  </si>
  <si>
    <t>V20002B</t>
  </si>
  <si>
    <t>V20002A</t>
  </si>
  <si>
    <t>189042</t>
  </si>
  <si>
    <t>(65)62215854/62787072</t>
  </si>
  <si>
    <t>2 Toh Guan Rd East # 02-01 Singapore 608837</t>
  </si>
  <si>
    <t>V20061C</t>
  </si>
  <si>
    <t>V20061B</t>
  </si>
  <si>
    <t>V20061A</t>
  </si>
  <si>
    <t>Itabashi</t>
  </si>
  <si>
    <t>0019514</t>
  </si>
  <si>
    <t>MIZUHO BANK , LTD / Itabashi branch</t>
  </si>
  <si>
    <t>Kowa Lidabashi Bldg, 2-1-2 Korabu, Bunkyo-ku, Tokyo 112-0004 Japan</t>
  </si>
  <si>
    <t>V20131C</t>
  </si>
  <si>
    <t>Lien Viet Post bank</t>
  </si>
  <si>
    <t>003303</t>
  </si>
  <si>
    <t>003302</t>
  </si>
  <si>
    <t>003301</t>
  </si>
  <si>
    <t>LGCHQG05</t>
  </si>
  <si>
    <t>WOORI BANK, SEOUL- TWIN TOWER BRANCH</t>
  </si>
  <si>
    <t>0082-2-3773-7592</t>
  </si>
  <si>
    <t>LG TWIN TOWER,128 ,YEOUI-DAERO,  YEONGDEUNGPO-GU, SEOUL, 07336, KOREA</t>
  </si>
  <si>
    <t>V20007C</t>
  </si>
  <si>
    <t>V20007B</t>
  </si>
  <si>
    <t>V20007A</t>
  </si>
  <si>
    <t>CG450024C0</t>
  </si>
  <si>
    <t>7240084</t>
  </si>
  <si>
    <t>Sumitomo Mitsui Banking Corporation - Matsudo Branch</t>
  </si>
  <si>
    <t>+81 (0) 47-367-2695</t>
  </si>
  <si>
    <t>21-15 Shimoyagiri, Matsudo-City, Chiba-Pref. 271-0096 Japan</t>
  </si>
  <si>
    <t>V20056B</t>
  </si>
  <si>
    <t>V20056A</t>
  </si>
  <si>
    <t>V20056C</t>
  </si>
  <si>
    <t>0031000856618</t>
  </si>
  <si>
    <t>Cologne</t>
  </si>
  <si>
    <t>710530700</t>
  </si>
  <si>
    <t>Deutsche Bank AG-Leverkusen Branch</t>
  </si>
  <si>
    <t>Kennedyplatz 1, 50569 Cologne, Germany</t>
  </si>
  <si>
    <t>CG450025C0</t>
  </si>
  <si>
    <t>V20036C</t>
  </si>
  <si>
    <t>V20036B</t>
  </si>
  <si>
    <t>V20036A</t>
  </si>
  <si>
    <t>3756583687</t>
  </si>
  <si>
    <t>Bank of America NA, Atlanta</t>
  </si>
  <si>
    <t>V20083C</t>
  </si>
  <si>
    <t>V20083B</t>
  </si>
  <si>
    <t>V20083A</t>
  </si>
  <si>
    <t>Brussels</t>
  </si>
  <si>
    <t>IBAN: BE53826001555653</t>
  </si>
  <si>
    <t>Deutsche Bank Belgium-Brussels Branch</t>
  </si>
  <si>
    <t>Haven 1992,Ketenislaan 2,9130 Kallo, Belgium</t>
  </si>
  <si>
    <t>0031000126842</t>
  </si>
  <si>
    <t>CN5.1B - Khu hóa dầu - KCN Đình Vũ - P. Đông Hải II - Q. Hải An - Tp Hải Phòng</t>
  </si>
  <si>
    <t>Texas</t>
  </si>
  <si>
    <t>10013536</t>
  </si>
  <si>
    <t>JPMorgan Chase Bank, New York City</t>
  </si>
  <si>
    <t>227 Somerset, Borger, Texas, 79007</t>
  </si>
  <si>
    <t>V20082C</t>
  </si>
  <si>
    <t>V20082B</t>
  </si>
  <si>
    <t>V20082A</t>
  </si>
  <si>
    <t>0011037</t>
  </si>
  <si>
    <t>MUFG Bank, Ltd-Shin-Marunouchi Branch</t>
  </si>
  <si>
    <t>Shin-Otemachi-Bldg., 2-1,Otemachi 2-Chome Chiyoda-kuTokyo 100-0004 Japan</t>
  </si>
  <si>
    <t>V20218C</t>
  </si>
  <si>
    <t>Kurume</t>
  </si>
  <si>
    <t>317426</t>
  </si>
  <si>
    <t>The Bank Of Fukuoka Ltd- Kurume Branch</t>
  </si>
  <si>
    <t>+81-942-32-4021</t>
  </si>
  <si>
    <t>Kurume Seiin Goumei Kaisha</t>
  </si>
  <si>
    <t>16-29, Honmachi, Kurume, Fukuoka, Japan, 830-0044</t>
  </si>
  <si>
    <t>OS-000056</t>
  </si>
  <si>
    <t>KURUME SEIIN GOUMEI KAISHA</t>
  </si>
  <si>
    <t>V20038C</t>
  </si>
  <si>
    <t>V20038B</t>
  </si>
  <si>
    <t>V20038A</t>
  </si>
  <si>
    <t>950-001707-257</t>
  </si>
  <si>
    <t>KEB Hana Bank,Business Division</t>
  </si>
  <si>
    <t>+ 82 2 6961 1763</t>
  </si>
  <si>
    <t>Switch code: KOEXKRSE</t>
  </si>
  <si>
    <t>East Wing 10-14 Floor, Signature Towers Seoul, 100 Cheonggyecheon-ro Jung-gu, Seoul, South Korea</t>
  </si>
  <si>
    <t>V20027C</t>
  </si>
  <si>
    <t>V20027B</t>
  </si>
  <si>
    <t>S.code: KOEXKRSE</t>
  </si>
  <si>
    <t>V20027A</t>
  </si>
  <si>
    <t>CG450034C0</t>
  </si>
  <si>
    <t>0019619 (JPY) / 9125764 (USD)</t>
  </si>
  <si>
    <t>Mizuho bank., Ltd - Yaesuguchi branch</t>
  </si>
  <si>
    <t>2-1-22 Shiomi, Koto-ku, Tokyo, Japan</t>
  </si>
  <si>
    <t>V20129B</t>
  </si>
  <si>
    <t>003201</t>
  </si>
  <si>
    <t>Korea Exchange Bank</t>
  </si>
  <si>
    <t>003103</t>
  </si>
  <si>
    <t>003102</t>
  </si>
  <si>
    <t>003101</t>
  </si>
  <si>
    <t>Shiga</t>
  </si>
  <si>
    <t>533</t>
  </si>
  <si>
    <t>The Shiga Bank, LTD.Nagahama Kita Branch</t>
  </si>
  <si>
    <t>351-2 Higashikozaka, Nagahama City, Shiga, Japan 526-0802</t>
  </si>
  <si>
    <t>V20168C</t>
  </si>
  <si>
    <t>172-2-46272-4</t>
  </si>
  <si>
    <t>Kasikorn Bank, Sriracha Branch</t>
  </si>
  <si>
    <t>038-384-667</t>
  </si>
  <si>
    <t>Pinthong 1 Industrial Estate 789/69 Moo1, T.Nongkham, A.Sriracha, Chonburi 20230, Thailand</t>
  </si>
  <si>
    <t>V20068C</t>
  </si>
  <si>
    <t>V20068B</t>
  </si>
  <si>
    <t>V20068A</t>
  </si>
  <si>
    <t>235-0101281</t>
  </si>
  <si>
    <t>Mizuho bank, Ltd - Nezu branch</t>
  </si>
  <si>
    <t>KODAIRA MANUFACTURING CO., LTD</t>
  </si>
  <si>
    <t>113-0031 2-35-1 Nezu, Bunkyo-ku, Tokyo, Japan</t>
  </si>
  <si>
    <t>V20175C</t>
  </si>
  <si>
    <t>0165164</t>
  </si>
  <si>
    <t>MIZUHO BANK, LTD.</t>
  </si>
  <si>
    <t>KOBE STEEL., LTD</t>
  </si>
  <si>
    <t>5-chome, Shinagawa-ku,  ON Building, 9-12, Kita-Shinagawa  Tokyo, 141-8688, Japan</t>
  </si>
  <si>
    <t>V20114C</t>
  </si>
  <si>
    <t>MIZUHO BANK, LTD-UCHISAIWAI-CHO CORPORATE BANKING DIVISION</t>
  </si>
  <si>
    <t>ON Building, 9-12, Kita-Shinagawa 5-chome, Shinagawa-ku, Tokyo, 141-8688, Japan</t>
  </si>
  <si>
    <t>V20114B</t>
  </si>
  <si>
    <t>Kiyobank Ltd</t>
  </si>
  <si>
    <t>006101</t>
  </si>
  <si>
    <t>Johor</t>
  </si>
  <si>
    <t>6-01053-0000168-5</t>
  </si>
  <si>
    <t>07-2551475</t>
  </si>
  <si>
    <t>Plo 475, Jalan Nibong,Kawasan Perindustrian Tanjung Langsat,81700 Pasir Gudang,Johor,Malaysia.</t>
  </si>
  <si>
    <t>V20016C</t>
  </si>
  <si>
    <t>V20016B</t>
  </si>
  <si>
    <t>V20016A</t>
  </si>
  <si>
    <t>CG450014C0</t>
  </si>
  <si>
    <t>Kho bac Nha nuoc Hai phong</t>
  </si>
  <si>
    <t>006401</t>
  </si>
  <si>
    <t>Kho Bac Nha nuoc An Duong</t>
  </si>
  <si>
    <t>006801</t>
  </si>
  <si>
    <t>213-10-00-036412-3</t>
  </si>
  <si>
    <t>Ngân hàng TMCP Đầu tư và phát triển VN - CN Nam Hà Nội</t>
  </si>
  <si>
    <t>KHÁCH SẠN MƯỜNG THANH XA LA - CHI NHÁNH CÔNG TY CỔ PHẦN TẬP ĐOÀN MƯỜNG THANH</t>
  </si>
  <si>
    <t>Số 66, đường Phúc La, Văn Phú, KĐT Xa La, Hà Đông, Hà Nội</t>
  </si>
  <si>
    <t>V10600C</t>
  </si>
  <si>
    <t>21310000364132</t>
  </si>
  <si>
    <t>Khách sạn Mường Thanh Hà Nội - Chi nhánh Công ty Cổ Phần Tập Đoàn Mường Thanh</t>
  </si>
  <si>
    <t>Lô CC2, Bắc Linh Đàm, Phường Đại Kim, Quận Hoàng Mai, TP Hà Nội</t>
  </si>
  <si>
    <t>V10614C</t>
  </si>
  <si>
    <t>Khách hàng không lấy hoá đơn</t>
  </si>
  <si>
    <t>CG489999C0</t>
  </si>
  <si>
    <t>221-0222-1</t>
  </si>
  <si>
    <t>151 Lorong Chuan #03-07 New Tech Park Lobby G, Singapore 556741</t>
  </si>
  <si>
    <t>V20018C</t>
  </si>
  <si>
    <t>V20018B</t>
  </si>
  <si>
    <t>V20018A</t>
  </si>
  <si>
    <t>12014876000220100326</t>
  </si>
  <si>
    <t>CHINA CONSTRUCTION BANK - TIANJIN BRANCH DAGANG SUB-BRANCH</t>
  </si>
  <si>
    <t>Kemai Chemical Co., Ltd</t>
  </si>
  <si>
    <t>No. 72 Hai Xin Road, Gu Lin Industrial Zone, Da Gang Dist., Bin Hai New Area,Tianjin 300272,P.R.China</t>
  </si>
  <si>
    <t>V20199A</t>
  </si>
  <si>
    <t>Kemai Chemical Co.,Ltd</t>
  </si>
  <si>
    <t>089-1-07708-4</t>
  </si>
  <si>
    <t>Kasikorn Bank Public Co.,Ltd - Rachadapisek-Huaykwang Branch</t>
  </si>
  <si>
    <t>KAWATA (THAILAND) CO.,LTD.</t>
  </si>
  <si>
    <t>135/15-16, 8th Floor, Amonphan 205 Tower 2 Soi. Ratchadapisek 7 (Nathong), Ratchadapisek Road, Bangkok 10400 Thailand</t>
  </si>
  <si>
    <t>V20092C</t>
  </si>
  <si>
    <t>V20092B</t>
  </si>
  <si>
    <t>V20092A</t>
  </si>
  <si>
    <t>1104431</t>
  </si>
  <si>
    <t>Mizuho Bank, Ltd - Tokyo International Operation Center</t>
  </si>
  <si>
    <t>+81-3-3645-8251</t>
  </si>
  <si>
    <t>Kawasaki Thermal Engineering Co., Ltd.</t>
  </si>
  <si>
    <t>1-5-25, Kiba, Koutou-ku, Tokyo 135 0042 Japan</t>
  </si>
  <si>
    <t>V20087C</t>
  </si>
  <si>
    <t>V20087B</t>
  </si>
  <si>
    <t>V20087A</t>
  </si>
  <si>
    <t>0183464</t>
  </si>
  <si>
    <t>MUFG BANK, LTD  - KAWARAMACHI BRANCH</t>
  </si>
  <si>
    <t>81-6-6966-8800</t>
  </si>
  <si>
    <t>KATSURA ROLLER MFG.CO., LTD</t>
  </si>
  <si>
    <t>1-4-10, Tokiwamachi, Chuo-ku, Osaka, 540-0028, Japan</t>
  </si>
  <si>
    <t>V20170C</t>
  </si>
  <si>
    <t>435-01-0958825</t>
  </si>
  <si>
    <t>The Risona Bank, LTD. Tanabe Branch</t>
  </si>
  <si>
    <t>06-6703-0371</t>
  </si>
  <si>
    <t>7-14-6 Imagawa, Higashi Sumiyoshi-Ku Osaka, Japan</t>
  </si>
  <si>
    <t>V20045C</t>
  </si>
  <si>
    <t>V20045B</t>
  </si>
  <si>
    <t>V20045A</t>
  </si>
  <si>
    <t>Kasikorn bank Public co.,ltd</t>
  </si>
  <si>
    <t>003004</t>
  </si>
  <si>
    <t>003003</t>
  </si>
  <si>
    <t>003002</t>
  </si>
  <si>
    <t>003001</t>
  </si>
  <si>
    <t>255-1358736</t>
  </si>
  <si>
    <t>MIZUHO BANK - YASAKA BRANCH</t>
  </si>
  <si>
    <t>V3500C0</t>
  </si>
  <si>
    <t>003 100 016 8427</t>
  </si>
  <si>
    <t>0828749</t>
  </si>
  <si>
    <t>The Bank of Tokyo - Mitsubishi UFJ, Head Office</t>
  </si>
  <si>
    <t>1-1-6, Sakuradai Nerima-ku, Tokyo, T176-8510</t>
  </si>
  <si>
    <t>V20049C</t>
  </si>
  <si>
    <t>V20049B</t>
  </si>
  <si>
    <t>V20049A</t>
  </si>
  <si>
    <t>2593649</t>
  </si>
  <si>
    <t>The Bank of Tokyo-Mitsubishi UFJ, Ltd-Branch KYOBASHI</t>
  </si>
  <si>
    <t>(03) 3433-2745</t>
  </si>
  <si>
    <t>2-6-1, Shiba-daimon, Minato-ku, Tokyo 105-0012 Japan</t>
  </si>
  <si>
    <t>V20120C</t>
  </si>
  <si>
    <t>Kyobashi</t>
  </si>
  <si>
    <t>The Bank of Tokyo-Mitsubishi UFJ, Ltd. / KYOBASHI</t>
  </si>
  <si>
    <t>V20120B</t>
  </si>
  <si>
    <t>Toji</t>
  </si>
  <si>
    <t>1366</t>
  </si>
  <si>
    <t>MUFG BANK, LTD-Toji Branch</t>
  </si>
  <si>
    <t>Kamogawa Co., LTD</t>
  </si>
  <si>
    <t>78 Tanaka Miya Cho,Takeda,Fushimi,Kyoto, 612-8444 Japan</t>
  </si>
  <si>
    <t>V20173B</t>
  </si>
  <si>
    <t>MUFG Bank, Ltd Toji Branch</t>
  </si>
  <si>
    <t>78 Tanaka Miya Cho, Takeda, Fushimi, Kyoto, 612-8444 Japan</t>
  </si>
  <si>
    <t>V20173C</t>
  </si>
  <si>
    <t>VIETIN BANK - Chi nhánh Hải Phòng</t>
  </si>
  <si>
    <t>Kaminumaya</t>
  </si>
  <si>
    <t>0200690350</t>
  </si>
  <si>
    <t>396A Lạch Tray - Ngô Quyền - Hải Phòng</t>
  </si>
  <si>
    <t>V4043C0</t>
  </si>
  <si>
    <t>Tainan</t>
  </si>
  <si>
    <t>050-53-02985-2</t>
  </si>
  <si>
    <t>Mega International Commercial Bank Co., LTD-Yung Kang Branch</t>
  </si>
  <si>
    <t>No.118 Yongkehuan R1, Yongkang Dist, Tainan City 71041, Taiwan</t>
  </si>
  <si>
    <t>V20208C</t>
  </si>
  <si>
    <t>349090</t>
  </si>
  <si>
    <t>The Bank of Tokyo - Mitsubishi UFJ, Ltd. Nihonbashi Chuo-Branch</t>
  </si>
  <si>
    <t>+81-3-6218-3810</t>
  </si>
  <si>
    <t>1-9-2, Higashi-Shinbashi, Minato-ku, Tokyo 105-0021, Japan</t>
  </si>
  <si>
    <t>V20024C</t>
  </si>
  <si>
    <t>V20024B</t>
  </si>
  <si>
    <t>V20024A</t>
  </si>
  <si>
    <t>JPMorgan Chase Bank (China) Co., Ltd</t>
  </si>
  <si>
    <t>002902</t>
  </si>
  <si>
    <t>JPMorgan Chase Bank</t>
  </si>
  <si>
    <t>002901</t>
  </si>
  <si>
    <t>Joint Stock Commercial Bank For Foreign Trade Of Vietnam</t>
  </si>
  <si>
    <t>020001</t>
  </si>
  <si>
    <t>00650090002485178</t>
  </si>
  <si>
    <t>Bank of China_Singapore branch</t>
  </si>
  <si>
    <t>0065-63339025</t>
  </si>
  <si>
    <t>JIANGXI BLACKCAT SINGAPORE PTE.LTD</t>
  </si>
  <si>
    <t>190 Middle Road, 18-07 Fortune Centre, Singapore 188979</t>
  </si>
  <si>
    <t>V20103C</t>
  </si>
  <si>
    <t>SWIFT:BKCHSGSG</t>
  </si>
  <si>
    <t>V20103B</t>
  </si>
  <si>
    <t>#09-04 International Plaza,10 ANSON Road 079903 Singapore</t>
  </si>
  <si>
    <t>V20103A</t>
  </si>
  <si>
    <t>Jiangxi Blackcat Singapore Pte Ltd</t>
  </si>
  <si>
    <t>CG450020C0</t>
  </si>
  <si>
    <t>Jiangxi</t>
  </si>
  <si>
    <t>203709146469</t>
  </si>
  <si>
    <t>Bank of China, Jingdezhen Branch</t>
  </si>
  <si>
    <t>No.910, Cidu Avenue, Jingdezhen, Jiangxi Province China</t>
  </si>
  <si>
    <t>V20012C</t>
  </si>
  <si>
    <t>V20012B</t>
  </si>
  <si>
    <t>V20012A</t>
  </si>
  <si>
    <t>10200014040018888</t>
  </si>
  <si>
    <t>Agricultural Bank of China, Jiangsu Branch</t>
  </si>
  <si>
    <t>+86-21-5061-9988</t>
  </si>
  <si>
    <t>No.1 Yaocheng Avenue, Taizhou, Jiangsu 225300, China</t>
  </si>
  <si>
    <t>V20034C</t>
  </si>
  <si>
    <t>V20034B</t>
  </si>
  <si>
    <t>V20034A</t>
  </si>
  <si>
    <t>162-0110333</t>
  </si>
  <si>
    <t>Mizuho bank,ltd-Shibuya_Chuo Branch</t>
  </si>
  <si>
    <t>3-1-1, Shibuya, Shibuya-ku,Tokyo, Japan 150-0002</t>
  </si>
  <si>
    <t>V20118C</t>
  </si>
  <si>
    <t>TOZA 0003698</t>
  </si>
  <si>
    <t>MIZUHO Bank, LTD-Kamiyacho Branch</t>
  </si>
  <si>
    <t>Japan Controls Co.,Ltd</t>
  </si>
  <si>
    <t>7-19, Akasaka 1-Chome Minato-ku, Tokyo Japan#107-0052</t>
  </si>
  <si>
    <t>V20166C</t>
  </si>
  <si>
    <t>Japan Business Association in VN</t>
  </si>
  <si>
    <t>Phòng 602 DMC Tower,535 K.Mã,B.Đình, Hà Nội</t>
  </si>
  <si>
    <t>CG480002C0</t>
  </si>
  <si>
    <t>Mizuho Bank, Ltd., Tokyo - Toranomon Branch</t>
  </si>
  <si>
    <t>81-3-3435-9094</t>
  </si>
  <si>
    <t>No.33 Mori Building, 3-8-21 Toranomon, Minato-ku, Tokyo, Japan 105-0001</t>
  </si>
  <si>
    <t>V20052C</t>
  </si>
  <si>
    <t>V20052B</t>
  </si>
  <si>
    <t>V20052A</t>
  </si>
  <si>
    <t>H10-849-416083</t>
  </si>
  <si>
    <t>Mizuho Bank, Ltd-Singapore</t>
  </si>
  <si>
    <t>300 Tampines Avenue 5,Tampines Junction#09 02 Singapore 529653</t>
  </si>
  <si>
    <t>V20213C</t>
  </si>
  <si>
    <t>1-3, Umeda 3-chome, Kita-ku, Osaka</t>
  </si>
  <si>
    <t>CG40002030</t>
  </si>
  <si>
    <t>9100022</t>
  </si>
  <si>
    <t>Mizuho Bank, Ltd. - Osaka Corporate Banking Branch</t>
  </si>
  <si>
    <t>1-3, Umeda 3-chome, Kita-Ku, Osaka 530-8448, Japan</t>
  </si>
  <si>
    <t>V20100C</t>
  </si>
  <si>
    <t>V20100B</t>
  </si>
  <si>
    <t>V20100A</t>
  </si>
  <si>
    <t>Mizuho Bank., Ltd. Branch Osaka Corporate Banking Division</t>
  </si>
  <si>
    <t>+81-6-7638-4781</t>
  </si>
  <si>
    <t>1-3, Umeda 3-Chome, Kita-ku, Osaka, 530-0001 Japan</t>
  </si>
  <si>
    <t>V20077C</t>
  </si>
  <si>
    <t>V20077B</t>
  </si>
  <si>
    <t>V20077A</t>
  </si>
  <si>
    <t>Yamaguchi</t>
  </si>
  <si>
    <t>42998</t>
  </si>
  <si>
    <t>Yamaguchi Bank - Chofu Branch</t>
  </si>
  <si>
    <t>083-248-5300</t>
  </si>
  <si>
    <t>1-15 Chofu ougimachi, Shimonoseki Shi, Yamaguchi Ken 752-0927 Japan</t>
  </si>
  <si>
    <t>V20081C</t>
  </si>
  <si>
    <t>V20081B</t>
  </si>
  <si>
    <t>V20081A</t>
  </si>
  <si>
    <t>Penang</t>
  </si>
  <si>
    <t>371-167958-001</t>
  </si>
  <si>
    <t>CITIBANK BERHAD</t>
  </si>
  <si>
    <t>2411, Lorong Perusahaan Satu, Prai Industrial Complex,13600 Prai, Penang,Malaysia,P.O.Box 237,12720 Butterworth, Penang,Malaysia</t>
  </si>
  <si>
    <t>V20033C</t>
  </si>
  <si>
    <t>V20033B</t>
  </si>
  <si>
    <t>V20033A</t>
  </si>
  <si>
    <t>1001279909148130855</t>
  </si>
  <si>
    <t>Industrial and Commercial Bank of China, Shanghai Branch</t>
  </si>
  <si>
    <t>+86-21-5111-8400</t>
  </si>
  <si>
    <t>No.23 workshop, No.150 Rijing Road, Waigaoqiao, Shanghai, P.R.C.</t>
  </si>
  <si>
    <t>V20066C</t>
  </si>
  <si>
    <t>V20066B</t>
  </si>
  <si>
    <t>V20066A</t>
  </si>
  <si>
    <t>Industrial Bank of Korea (IBK)</t>
  </si>
  <si>
    <t>002601</t>
  </si>
  <si>
    <t>Industrial Bank of Korea</t>
  </si>
  <si>
    <t>002602</t>
  </si>
  <si>
    <t>002702</t>
  </si>
  <si>
    <t>002701</t>
  </si>
  <si>
    <t>002703</t>
  </si>
  <si>
    <t>Indovina bank Ltd</t>
  </si>
  <si>
    <t>002805</t>
  </si>
  <si>
    <t>002804</t>
  </si>
  <si>
    <t>002803</t>
  </si>
  <si>
    <t>002802</t>
  </si>
  <si>
    <t>002801</t>
  </si>
  <si>
    <t>9101934(USD), 9103295(EUR), 0100706(JPY</t>
  </si>
  <si>
    <t>Mizuho Bank, Ltd_Yokoyamacho Branch_Swift code MHCBJPJT</t>
  </si>
  <si>
    <t>2-3-1 Nihonbashi-muromachi, Chuo-ku, Tokyo, Japan</t>
  </si>
  <si>
    <t>V20106A</t>
  </si>
  <si>
    <t>2-8-2, Nihonbashi Honcho, Chuo-ku, Tokyo, Japan</t>
  </si>
  <si>
    <t>CG450016C0</t>
  </si>
  <si>
    <t>1617788</t>
  </si>
  <si>
    <t>Mizuho bank - Kurume branch</t>
  </si>
  <si>
    <t>1167888</t>
  </si>
  <si>
    <t>Mizuho Bank, Ltd. - Uchisaiwaicho Corporate Banking Division</t>
  </si>
  <si>
    <t>Toyosu IHI Building, 1-1,Toyosu 3-chome,Koto-ku, Tokyo 135-8710, Japan</t>
  </si>
  <si>
    <t>V20130C</t>
  </si>
  <si>
    <t>024-1254984</t>
  </si>
  <si>
    <t>1-7-12, Shinonome, Koto-ku,  Tokyo, Japan</t>
  </si>
  <si>
    <t>V20115C</t>
  </si>
  <si>
    <t>F15-764-916800</t>
  </si>
  <si>
    <t>Mizuho bank, Ltd.-Bangkok branch</t>
  </si>
  <si>
    <t>No.6, O-NES Tower, 10th Floor, Soi Sukhumvit 6, Klongtoey, Klongtoey District, Bangkok 10110, Thailand</t>
  </si>
  <si>
    <t>V20191C</t>
  </si>
  <si>
    <t>Hồ Chí Minh</t>
  </si>
  <si>
    <t>076400043620001</t>
  </si>
  <si>
    <t>Industrial Bank of Korea - CN Ho Chi Minh</t>
  </si>
  <si>
    <t>0613566000 (ext: 2101)</t>
  </si>
  <si>
    <t>HYOSUNG VIETNAM CO., LTD</t>
  </si>
  <si>
    <t>3600890952</t>
  </si>
  <si>
    <t>N2 Street, Nhon Trach 05 Industrial Zone, Nhon Trach District, Dong Nai, Vietnam</t>
  </si>
  <si>
    <t>V10183C</t>
  </si>
  <si>
    <t>V10183B</t>
  </si>
  <si>
    <t>V10183A</t>
  </si>
  <si>
    <t>CG440028C0</t>
  </si>
  <si>
    <t>HSBC Bank Middle East Limited</t>
  </si>
  <si>
    <t>002511</t>
  </si>
  <si>
    <t>HSBC Bank (Vietnam) Ltd.</t>
  </si>
  <si>
    <t>002513</t>
  </si>
  <si>
    <t>002512</t>
  </si>
  <si>
    <t>002510</t>
  </si>
  <si>
    <t>002509</t>
  </si>
  <si>
    <t>002508</t>
  </si>
  <si>
    <t>002507</t>
  </si>
  <si>
    <t>002506</t>
  </si>
  <si>
    <t>002505</t>
  </si>
  <si>
    <t>002504</t>
  </si>
  <si>
    <t>002503</t>
  </si>
  <si>
    <t>002502</t>
  </si>
  <si>
    <t>002501</t>
  </si>
  <si>
    <t>Guangzhou</t>
  </si>
  <si>
    <t>629-016999-001</t>
  </si>
  <si>
    <t>HSBC BANK (CHINA) COMPANY LIMITED- GUANGZHOU BRANCH</t>
  </si>
  <si>
    <t>Unit 3809 Guangzhou International Finance Center No5 West Zhujiang Road, Tianhe District, Guangzhou 510623 P R China</t>
  </si>
  <si>
    <t>2105205052478</t>
  </si>
  <si>
    <t>Ngân hàng Nông nghiệp và phát triển nông thôn-huyện Thủy Nguyên</t>
  </si>
  <si>
    <t>0982 987 775</t>
  </si>
  <si>
    <t>Thôn 5, xã Thủy Sơn, huyện Thủy Nguyên, thành phố Hải Phòng</t>
  </si>
  <si>
    <t>190720136666</t>
  </si>
  <si>
    <t>Ngân hàng TMCP Quân Đội-PGD Thượng Lý</t>
  </si>
  <si>
    <t>Số 32C/10/1041 Tôn Đức Thắng,Phường Sở Dầu,Quận Hồng Bàng,Thành phố Hải Phòng, Việt Nam</t>
  </si>
  <si>
    <t>V10657C</t>
  </si>
  <si>
    <t>0690100557777</t>
  </si>
  <si>
    <t>MB Bank - CN Đống Đa - PGD Kim Liên</t>
  </si>
  <si>
    <t>Số 136 MB1 Khu đô thị Thanh Hà, Phường Kiến Hưng, Quận Hà Đông, TP Hà Nội</t>
  </si>
  <si>
    <t>V10584C</t>
  </si>
  <si>
    <t>Hải Dương</t>
  </si>
  <si>
    <t>46810001433389</t>
  </si>
  <si>
    <t>Ngân hàng TMCP Đầu tư và phát triển Việt Nam - CN Thành Đông</t>
  </si>
  <si>
    <t>Vũ Thị Hồng Hạnh</t>
  </si>
  <si>
    <t>0800631269</t>
  </si>
  <si>
    <t>Số 99 Tô Hiến Thành, Phường Hải Tân, Thành phố Hải Dương, Tỉnh Hải Dương</t>
  </si>
  <si>
    <t>V10492C</t>
  </si>
  <si>
    <t>016674270002</t>
  </si>
  <si>
    <t>Ngân hàng TMCP Bưu Điện Liên Việt</t>
  </si>
  <si>
    <t>Hoàng Thị Chuyên</t>
  </si>
  <si>
    <t>8374142075</t>
  </si>
  <si>
    <t>Xóm mới, Xã Hồng Thái, Huyện An Dương, Hải Phòng</t>
  </si>
  <si>
    <t>V10465C</t>
  </si>
  <si>
    <t>0941000010110</t>
  </si>
  <si>
    <t>Ngân hàng TMCP Ngoại thương Việt Nam - CN Sóc Sơn</t>
  </si>
  <si>
    <t>Đỗ Văn Hiên</t>
  </si>
  <si>
    <t>Thôn Lâm Nghiệp, xã Minh Phú, huyện Sóc Sơn, TP Hà Nội</t>
  </si>
  <si>
    <t>V10575B</t>
  </si>
  <si>
    <t>V10575C</t>
  </si>
  <si>
    <t>10920044185016</t>
  </si>
  <si>
    <t>Ngân Hàng TMCP Kỹ Thương Việt Nam- Hải Phòng</t>
  </si>
  <si>
    <t>0200181265-4</t>
  </si>
  <si>
    <t>Số 273 Phan Bội Châu, phường Phan Bội Châu, quận Hồng Bàng, thành phố Hải Phòng</t>
  </si>
  <si>
    <t>V10003A</t>
  </si>
  <si>
    <t>Hộ kinh doanh Cửa hàng Văn Hóa Phẩm TBVP Lê Hải Thanh</t>
  </si>
  <si>
    <t>V10003C</t>
  </si>
  <si>
    <t>V10003B</t>
  </si>
  <si>
    <t>833391</t>
  </si>
  <si>
    <t>Nisi-Nippon Sity Bank - Tukiguma Branch</t>
  </si>
  <si>
    <t>+81-92-405-8220</t>
  </si>
  <si>
    <t>181-1, Tobara, Kasuya-machi Kasuya-gun, Fukuoka, 811-2312, Japan</t>
  </si>
  <si>
    <t>V20091C</t>
  </si>
  <si>
    <t>V20091B</t>
  </si>
  <si>
    <t>V20091A</t>
  </si>
  <si>
    <t>Hiệu bánh Thanh Lịch</t>
  </si>
  <si>
    <t>0200301131</t>
  </si>
  <si>
    <t>162 Cầu Đất Hải phòng</t>
  </si>
  <si>
    <t>LS-000412</t>
  </si>
  <si>
    <t>Hebei</t>
  </si>
  <si>
    <t>1002 2971 9200</t>
  </si>
  <si>
    <t>Bank of China, Hengshui Branch Shengli Sub-Branch</t>
  </si>
  <si>
    <t>+86-318-6883010</t>
  </si>
  <si>
    <t>Wuyi Suzheng Industry Park, Hengshui, Hebei, China</t>
  </si>
  <si>
    <t>V20039C</t>
  </si>
  <si>
    <t>V20039B</t>
  </si>
  <si>
    <t>V20039A</t>
  </si>
  <si>
    <t>HDFC BANK LTD</t>
  </si>
  <si>
    <t>002401</t>
  </si>
  <si>
    <t>HDBank</t>
  </si>
  <si>
    <t>007201</t>
  </si>
  <si>
    <t>HACHIJUNI BANK</t>
  </si>
  <si>
    <t>002301</t>
  </si>
  <si>
    <t>1903561743801</t>
  </si>
  <si>
    <t>Khu 3 thị trấn Cát Hải, Cát Hải, TP Hải Phòng</t>
  </si>
  <si>
    <t>7278433</t>
  </si>
  <si>
    <t>V20152C</t>
  </si>
  <si>
    <t>00600120000447</t>
  </si>
  <si>
    <t>HDFC BANK LTD-FORT BRANCH</t>
  </si>
  <si>
    <t>+91 22 6708 2600/2500</t>
  </si>
  <si>
    <t>GRP LIMITED</t>
  </si>
  <si>
    <t>510, A Wing, Kohinoor City C-I, Kirol Road Off L.B.S. Marg, Kurla (W), Mumbai - 400070, India</t>
  </si>
  <si>
    <t>V20032C</t>
  </si>
  <si>
    <t>V20032B</t>
  </si>
  <si>
    <t>V20032A</t>
  </si>
  <si>
    <t>HDFC Bank Limited</t>
  </si>
  <si>
    <t>CG450026C0</t>
  </si>
  <si>
    <t>GRP Ltd</t>
  </si>
  <si>
    <t>N.A</t>
  </si>
  <si>
    <t>0-860221-004</t>
  </si>
  <si>
    <t>CITIBANK N.A-Singapore</t>
  </si>
  <si>
    <t>Goodpack IBC (Singpapore) Pte Ltd</t>
  </si>
  <si>
    <t>#03-01, Santa United Building, 3 Changi South Street 1, Singapore 486795</t>
  </si>
  <si>
    <t>V20229C</t>
  </si>
  <si>
    <t>3 Changi South Street 1, #03-01, Santa United Building,Singapore 486795</t>
  </si>
  <si>
    <t>CG450039C0</t>
  </si>
  <si>
    <t>Global Petro Commercial Joint Stock Bank</t>
  </si>
  <si>
    <t>002201</t>
  </si>
  <si>
    <t>57400032098</t>
  </si>
  <si>
    <t>Standard Chartered Bank Hong Kong-68 Nathan Road Branch</t>
  </si>
  <si>
    <t>G.M.Root Asia Ltd.</t>
  </si>
  <si>
    <t>7A Hatton Place, 1A Po Shan Road Midlevels, Hong Kong</t>
  </si>
  <si>
    <t>V20215C</t>
  </si>
  <si>
    <t>G.M.Root Asia Limited</t>
  </si>
  <si>
    <t>5133023927</t>
  </si>
  <si>
    <t>Siam commercial bank</t>
  </si>
  <si>
    <t>G T Rubber Co., Ltd</t>
  </si>
  <si>
    <t>9/1 Bannaihwang Rd.,Pakpraek,Thungsong,Nakhon Si Thamarat Thailand 80110</t>
  </si>
  <si>
    <t>V20182A</t>
  </si>
  <si>
    <t>Liaoning</t>
  </si>
  <si>
    <t>7214011482100000998</t>
  </si>
  <si>
    <t>China Citic Bank Head office Beijing</t>
  </si>
  <si>
    <t>+86 24 56601266</t>
  </si>
  <si>
    <t>12# Shunyuan Road, Economic Development Zone Fushun, Liaoning, China Post Code 113122</t>
  </si>
  <si>
    <t>CG450011C0</t>
  </si>
  <si>
    <t>V20031C</t>
  </si>
  <si>
    <t>V20031B</t>
  </si>
  <si>
    <t>V20031A</t>
  </si>
  <si>
    <t>0133213</t>
  </si>
  <si>
    <t>Resona Bank Ltd - Higashiosaka Branch</t>
  </si>
  <si>
    <t>+81-(0)72-963-0825</t>
  </si>
  <si>
    <t>2-6-32 MATSUBARA, HIGASHIOSAKA , OSAKA 578-0922, JAPAN</t>
  </si>
  <si>
    <t>V20025A</t>
  </si>
  <si>
    <t>V20025C</t>
  </si>
  <si>
    <t>V20025B</t>
  </si>
  <si>
    <t>F10-749-119063</t>
  </si>
  <si>
    <t>MIZUHO BANK , LTD / Singapore</t>
  </si>
  <si>
    <t>6565330014</t>
  </si>
  <si>
    <t>151 LORONG CHUAN, #03-01A, NEW TECH PARK, SINGAPORE 556741</t>
  </si>
  <si>
    <t>V20138C</t>
  </si>
  <si>
    <t>277859</t>
  </si>
  <si>
    <t>Sumitomo Mitsui Banking Corporation, Denenchofu Branch</t>
  </si>
  <si>
    <t>2-17-10 Shimomaruko Ohta-ku Tokyo 146-0092 Japan</t>
  </si>
  <si>
    <t>V20059C</t>
  </si>
  <si>
    <t>V20059B</t>
  </si>
  <si>
    <t>V20059A</t>
  </si>
  <si>
    <t>Taipei</t>
  </si>
  <si>
    <t>8152-90000-02872</t>
  </si>
  <si>
    <t>TAIPEI FUBON COMMERCIAL BANK CO.,LTD- TUNPEI BRANCH</t>
  </si>
  <si>
    <t>+886-91-3530839</t>
  </si>
  <si>
    <t>Formosa Taffeta Co., Ltd</t>
  </si>
  <si>
    <t>V20011C</t>
  </si>
  <si>
    <t>V20011B</t>
  </si>
  <si>
    <t>V20011A</t>
  </si>
  <si>
    <t>433859238517</t>
  </si>
  <si>
    <t>Bank of China Shanghai Waigaoqiao Sub-Branch</t>
  </si>
  <si>
    <t>+86 21 5048-2699</t>
  </si>
  <si>
    <t>Building 53, No.311, South Fute Rd., WGQ FTZ, Shanghai, China</t>
  </si>
  <si>
    <t>V20078C</t>
  </si>
  <si>
    <t>V20078B</t>
  </si>
  <si>
    <t>V20078A</t>
  </si>
  <si>
    <t>Hong Kong</t>
  </si>
  <si>
    <t>0009795050</t>
  </si>
  <si>
    <t>Deutsche Bank AG- Hong Kong Branch</t>
  </si>
  <si>
    <t>805A,8/F, Tsim Sha Tsui Centre, 66 Mody Road, Kowloon,HONG KONG</t>
  </si>
  <si>
    <t>V20127C</t>
  </si>
  <si>
    <t>695-849-562-001</t>
  </si>
  <si>
    <t>OCBC Bank-Main Branch</t>
  </si>
  <si>
    <t>175B Bencoolen Street, #07-02 Burlington Square, Singapore 189651</t>
  </si>
  <si>
    <t>Rotterdam</t>
  </si>
  <si>
    <t>NL24CHAS0626001855</t>
  </si>
  <si>
    <t>J.P.Morgan Bank Luxembourg S.A-Amsterdam Branch</t>
  </si>
  <si>
    <t>Weena-zuid 130 Begane grond, 3012NC Rotterdam, Netherlands</t>
  </si>
  <si>
    <t>V20203A</t>
  </si>
  <si>
    <t>0-857433-009</t>
  </si>
  <si>
    <t>CITIBANK N.A SINGAPORE</t>
  </si>
  <si>
    <t>16F, 1-6-6, Motoakasaka,Anzen Building,Minato-ku, Tokyo,107-0051, Japan</t>
  </si>
  <si>
    <t>V20150A</t>
  </si>
  <si>
    <t>FLEXSYS CHEMICALS (M) SDN BHD</t>
  </si>
  <si>
    <t>Gebeng Industrial Estate phase 2  Lot 120/120A, Jalan Gebeng 2/3 26080 Kuantan Pahang Darul Makmur Malaysia</t>
  </si>
  <si>
    <t>V20117A</t>
  </si>
  <si>
    <t>New York</t>
  </si>
  <si>
    <t>52-59975</t>
  </si>
  <si>
    <t>1-800-282-0222</t>
  </si>
  <si>
    <t>381 W. Wilbeth Road,Akron, OH  44301  U.S.A.</t>
  </si>
  <si>
    <t>107301A</t>
  </si>
  <si>
    <t>052-586096-001</t>
  </si>
  <si>
    <t>HSBC-Singapore-Collyer Quay</t>
  </si>
  <si>
    <t>1 Raffles Quay #18-01, Singapore 048583</t>
  </si>
  <si>
    <t>V20222C</t>
  </si>
  <si>
    <t>1 HarbourFront Place, #06-00 HarbourFront Tower One, Singapore</t>
  </si>
  <si>
    <t>CG450002C0</t>
  </si>
  <si>
    <t>6212-57112024</t>
  </si>
  <si>
    <t>Bank of America N.A.- Singapore Branch</t>
  </si>
  <si>
    <t>Exxonmobil Chemical Asia Pacific</t>
  </si>
  <si>
    <t>1 HarbourFront Place, #06-00 HarbourFront Tower One Singapore 098633</t>
  </si>
  <si>
    <t>V20028C</t>
  </si>
  <si>
    <t>V20028B</t>
  </si>
  <si>
    <t>V20028A</t>
  </si>
  <si>
    <t>32 Trần Phú, Ngô Quyền, Hải Phòng</t>
  </si>
  <si>
    <t>CG470002C0</t>
  </si>
  <si>
    <t>Koti</t>
  </si>
  <si>
    <t>31709132364</t>
  </si>
  <si>
    <t>State bank of India-Commercial Branch, Koti</t>
  </si>
  <si>
    <t>107/A,108/A,109/A &amp; 109/4, Cheriyal Sangareddy Mandal, Medak, Telangana,Hyderabad, India</t>
  </si>
  <si>
    <t>V20214C</t>
  </si>
  <si>
    <t>Fujian</t>
  </si>
  <si>
    <t>095028403055</t>
  </si>
  <si>
    <t>HSBC Bank (China) Company Limited</t>
  </si>
  <si>
    <t>+86 599 8608 357</t>
  </si>
  <si>
    <t>No.8 Zhuxi Road, Yanping District, Nanping Municipality, Fujian Province, PR China</t>
  </si>
  <si>
    <t>CG450035C0</t>
  </si>
  <si>
    <t>Evonik Wellink Silica (Nanping) Co., Ltd.</t>
  </si>
  <si>
    <t>V20010C</t>
  </si>
  <si>
    <t>V20010B</t>
  </si>
  <si>
    <t>V20010A</t>
  </si>
  <si>
    <t>DE04 5011 0800 6161 4036 10</t>
  </si>
  <si>
    <t>J.P.Morgan AG Frankfurt am Main</t>
  </si>
  <si>
    <t>3 International Business Park #07-18,Nordic European Centre Singapore 609927</t>
  </si>
  <si>
    <t>V20210A</t>
  </si>
  <si>
    <t>100-5482603</t>
  </si>
  <si>
    <t>Mizuho bank Ltd - Head office</t>
  </si>
  <si>
    <t>1-5-2, Higashi-Shinbashi, Minato-ku, Tokyo 105-7109, Japan</t>
  </si>
  <si>
    <t>V20196A</t>
  </si>
  <si>
    <t>Yuanlin</t>
  </si>
  <si>
    <t>023080002386</t>
  </si>
  <si>
    <t>Cathay United Bank-Yuanlin Branch</t>
  </si>
  <si>
    <t>886-4-8761635</t>
  </si>
  <si>
    <t>No. 182 lane. 380, Ton An road,Tien Chung town,Chang Hua Hsien, Taiwan R.O.C</t>
  </si>
  <si>
    <t>V20174B</t>
  </si>
  <si>
    <t>V20174C</t>
  </si>
  <si>
    <t>0225511</t>
  </si>
  <si>
    <t>MUFG Bank, Ltd-Kurume Branch</t>
  </si>
  <si>
    <t>2348-8, Minamitsuru,Tsubukuhonmachi,Kurume,Fukuoka, Japan 830-0047</t>
  </si>
  <si>
    <t>V20212C</t>
  </si>
  <si>
    <t>V20212B</t>
  </si>
  <si>
    <t>0-823840-012</t>
  </si>
  <si>
    <t>Citi bank NA- Singapore</t>
  </si>
  <si>
    <t>2 Int'l Business Park 02-20, the Strategy Tower 2, Singapore 609930</t>
  </si>
  <si>
    <t>V20095C</t>
  </si>
  <si>
    <t>V20095B</t>
  </si>
  <si>
    <t>V20095A</t>
  </si>
  <si>
    <t>Luxembourg</t>
  </si>
  <si>
    <t>80186010</t>
  </si>
  <si>
    <t>Bank of America, N.A.</t>
  </si>
  <si>
    <t>(81) 353916132</t>
  </si>
  <si>
    <t>Eastman Chemical Finance USD SARL</t>
  </si>
  <si>
    <t>11-13 Boulevard De la Foire, Luxembourg,1528</t>
  </si>
  <si>
    <t>V20167A</t>
  </si>
  <si>
    <t>298-0106872</t>
  </si>
  <si>
    <t>Mizuho Bank, Ltd. - Kawagoe-Ekimae Branch</t>
  </si>
  <si>
    <t>2243-1 Kasahata Kawagoe-shi, Saitama, 350-1175 Japan</t>
  </si>
  <si>
    <t>V20063C</t>
  </si>
  <si>
    <t>V20063B</t>
  </si>
  <si>
    <t>V20063A</t>
  </si>
  <si>
    <t>503-147563-301</t>
  </si>
  <si>
    <t>Oversea-Chinese Banking Corporation Limited-503</t>
  </si>
  <si>
    <t>21 Bukit Batok Crescent #02-72 WCEGA Tower Singapore 65865</t>
  </si>
  <si>
    <t>V20185C</t>
  </si>
  <si>
    <t>Dong A Bank</t>
  </si>
  <si>
    <t>001904</t>
  </si>
  <si>
    <t>001903</t>
  </si>
  <si>
    <t>001902</t>
  </si>
  <si>
    <t>001901</t>
  </si>
  <si>
    <t>2110 2051 22930</t>
  </si>
  <si>
    <t>Ngân hàng NN &amp; PTNT Việt Nam - CN An Lão</t>
  </si>
  <si>
    <t>Đỗ Thị Thu Hương</t>
  </si>
  <si>
    <t>Tiến Lập, Mỹ Đức, An Lão Hải Phòng</t>
  </si>
  <si>
    <t>V4071C0</t>
  </si>
  <si>
    <t>11123097062109</t>
  </si>
  <si>
    <t>Techcombank chi nhánh Hà Nội</t>
  </si>
  <si>
    <t>Đỗ Mỹ Hà</t>
  </si>
  <si>
    <t>56-58-60 Hai Bà Trưng, Phường Bến Nghé, Quận 1,TP. Hồ Chí Minh</t>
  </si>
  <si>
    <t>V4123C0</t>
  </si>
  <si>
    <t>1021356385</t>
  </si>
  <si>
    <t>Cụm 3 Hòa Hy, Thị Trấn Cát Hải, Huyện Cát Hải, TP Hải Phòng</t>
  </si>
  <si>
    <t>Deutsche Bank AG</t>
  </si>
  <si>
    <t>001801</t>
  </si>
  <si>
    <t>Details as attached sheet</t>
  </si>
  <si>
    <t>DETAILS AS ATTACHED SHEET</t>
  </si>
  <si>
    <t>BTMV-000</t>
  </si>
  <si>
    <t>2731175</t>
  </si>
  <si>
    <t>Mizuho Bank, Ltd.</t>
  </si>
  <si>
    <t>+81 3 6213 3800</t>
  </si>
  <si>
    <t>Deloitte Tohmatsu Tax Co.</t>
  </si>
  <si>
    <t>Shin Tokyo Building 5F 3-3-1 Marunouchi Chiyoda-ku, Tokyo 10</t>
  </si>
  <si>
    <t>V4102C0</t>
  </si>
  <si>
    <t>001702</t>
  </si>
  <si>
    <t>DBS Bank</t>
  </si>
  <si>
    <t>001701</t>
  </si>
  <si>
    <t>2102205172837</t>
  </si>
  <si>
    <t>An đồng, An Dương, Thành phố Hải Phòng</t>
  </si>
  <si>
    <t>0491001862396</t>
  </si>
  <si>
    <t>Ngân hàng Vietcombank, chi nhánh Hà Nội</t>
  </si>
  <si>
    <t>Số 7 Lô 5, 81 Thiên Lôi, Nghĩa Xá, Lê Chân, Hải Phòng</t>
  </si>
  <si>
    <t>2510166668668</t>
  </si>
  <si>
    <t>Ngân hàng TMCP Quân đội - CN Máy Tơ</t>
  </si>
  <si>
    <t>Đặng Thị Thu Phương</t>
  </si>
  <si>
    <t>0201656215</t>
  </si>
  <si>
    <t>392 Tô Hiệu, P.Hồ Nam, Q.Lê chân, Hải phòng</t>
  </si>
  <si>
    <t>V4084C0</t>
  </si>
  <si>
    <t>101010007445245</t>
  </si>
  <si>
    <t>Ngân hàng TMCP Công thương Việt Nam - CN Hải phòng</t>
  </si>
  <si>
    <t>0200892413</t>
  </si>
  <si>
    <t>Số 3 Đà nẵng, Máy Tơ, Ngô Quyền, Hải phòng</t>
  </si>
  <si>
    <t>V10341C</t>
  </si>
  <si>
    <t>Dalain</t>
  </si>
  <si>
    <t>285673299355</t>
  </si>
  <si>
    <t>Bank of China-Liaoning Branch</t>
  </si>
  <si>
    <t>Dalian Glospect Machinery Equipment Manufacturing Co., Ltd</t>
  </si>
  <si>
    <t>Beihai Industrial Development Zone, Ganjingzi District, Dailan, China</t>
  </si>
  <si>
    <t>V20155C</t>
  </si>
  <si>
    <t>Dalian Glospect Machinery Equipment Manafacturing Co.Ltd</t>
  </si>
  <si>
    <t>292160169472</t>
  </si>
  <si>
    <t>Bank of China, Liaoning Branch</t>
  </si>
  <si>
    <t>V20111C</t>
  </si>
  <si>
    <t>301A-52-8, Market Building, Free Trade Zone, Dalian, China</t>
  </si>
  <si>
    <t>V20111B</t>
  </si>
  <si>
    <t>301A-52-8,Market buikding,Free trade zone,Dalain,China</t>
  </si>
  <si>
    <t>V20111A</t>
  </si>
  <si>
    <t>2100509191</t>
  </si>
  <si>
    <t>The bank of Tokyo - Mitsubishi UFJ-Bangkok Branch</t>
  </si>
  <si>
    <t>662-643-8118</t>
  </si>
  <si>
    <t>33/4 The 9th Towers Grand Rama 9 Tower B, TNB 04-05 23rd Floor, Rama 9 Road, Huaykwang, Bangkok 10310</t>
  </si>
  <si>
    <t>V20020C</t>
  </si>
  <si>
    <t>V20020B</t>
  </si>
  <si>
    <t>V20020A</t>
  </si>
  <si>
    <t>Dai A Commercial Joint Stock Bank</t>
  </si>
  <si>
    <t>001601</t>
  </si>
  <si>
    <t>Cục thuế Hải Phòng</t>
  </si>
  <si>
    <t>Số 6 - Đà Nẵng - Ngô Quyền - Hải Phòng</t>
  </si>
  <si>
    <t>T3002C5</t>
  </si>
  <si>
    <t>T3002C4</t>
  </si>
  <si>
    <t>T3002C3</t>
  </si>
  <si>
    <t>T3002C2</t>
  </si>
  <si>
    <t>T3002C0</t>
  </si>
  <si>
    <t>7111</t>
  </si>
  <si>
    <t>Kho bạc nhà nước thành phố Hà Nội</t>
  </si>
  <si>
    <t>Cục kiểm tra sau thông quan</t>
  </si>
  <si>
    <t>T3008C0</t>
  </si>
  <si>
    <t>Cục hải quan Hà Nội</t>
  </si>
  <si>
    <t>T3009C0</t>
  </si>
  <si>
    <t>351101017489</t>
  </si>
  <si>
    <t>Kho bạc nhà nước Nam Từ Liêm</t>
  </si>
  <si>
    <t>Cục an toàn bức xạ và hạt nhân</t>
  </si>
  <si>
    <t>Tầng 14, Số 113 Trần Duy Hưng, Quận Cầu giấy, Hà Nội</t>
  </si>
  <si>
    <t>V4109C0</t>
  </si>
  <si>
    <t>2111201006219</t>
  </si>
  <si>
    <t>Ngân hàng NN &amp; PTNT Việt Nam - CN Bắc Hải Phòng</t>
  </si>
  <si>
    <t>0201320024</t>
  </si>
  <si>
    <t>Thôn 5 Do Nha, Xã Tân Tiến, Huyện An Dương, TP.Hải Phòng</t>
  </si>
  <si>
    <t>V10133C</t>
  </si>
  <si>
    <t>V10133B</t>
  </si>
  <si>
    <t>V10133A</t>
  </si>
  <si>
    <t>1220205086127</t>
  </si>
  <si>
    <t>Agribank - CN Long Biên</t>
  </si>
  <si>
    <t>8009111213</t>
  </si>
  <si>
    <t>Số 15, ngõ 56 Phố Thạch Cầu, Tổ 2, Phường Long Biên, Q. Long Biên, TP Hà Nội</t>
  </si>
  <si>
    <t>V10470C</t>
  </si>
  <si>
    <t>02001016886886</t>
  </si>
  <si>
    <t>Maritimebank CN Hải Phòng</t>
  </si>
  <si>
    <t>Cửa Hàng Thương mại Tuấn Huyền</t>
  </si>
  <si>
    <t>0200738429</t>
  </si>
  <si>
    <t>Số 206 Khu 2 Quán Toán - Hồng Bàng - HP</t>
  </si>
  <si>
    <t>V10011C</t>
  </si>
  <si>
    <t>V10011B</t>
  </si>
  <si>
    <t>V10011A</t>
  </si>
  <si>
    <t>167235379</t>
  </si>
  <si>
    <t>ACB - CN Hải Phòng</t>
  </si>
  <si>
    <t>0201630019</t>
  </si>
  <si>
    <t>Số 8/30/94 Lê Lợi, P. Gia Viên, Q. Ngô Quyền, Tp. Hải Phòng</t>
  </si>
  <si>
    <t>V10124A</t>
  </si>
  <si>
    <t>Số 8/30/94 Lê lợi, P. Gia Viên, Q. Ngô Quyền, TP. Hải Phòng</t>
  </si>
  <si>
    <t>V10124C</t>
  </si>
  <si>
    <t>V10124B</t>
  </si>
  <si>
    <t>1147040008272</t>
  </si>
  <si>
    <t>Petrolimex Group commercial Joint Stock Bank / Hà Nội</t>
  </si>
  <si>
    <t>0313588675</t>
  </si>
  <si>
    <t>xã Tân Tiến, Km 13 quốc lộ 5, huyện An Dương, thành phố Hải Phòng, VN</t>
  </si>
  <si>
    <t>V10360C</t>
  </si>
  <si>
    <t>V10360B</t>
  </si>
  <si>
    <t>Ngân hàng TMCP Xăng dầu Petrolimex  - CN Hà Nội</t>
  </si>
  <si>
    <t>0200899987</t>
  </si>
  <si>
    <t>Km 13 Quốc lộ 5 Tân Tiến - An Dương - Hải Phòng</t>
  </si>
  <si>
    <t>V10234C</t>
  </si>
  <si>
    <t>Ngân TMCP Xăng dầu Petrolimex  - CN Hà Nội</t>
  </si>
  <si>
    <t>V10234B</t>
  </si>
  <si>
    <t>V10234A</t>
  </si>
  <si>
    <t>38643746</t>
  </si>
  <si>
    <t>VPBank - CN Hải Phòng</t>
  </si>
  <si>
    <t>0316 257 868</t>
  </si>
  <si>
    <t>8104100772</t>
  </si>
  <si>
    <t>Tổ 11, phường Hòa Nghĩa, quận Dương Kinh, thành phố Hải Phòng</t>
  </si>
  <si>
    <t>2510 166 668 668</t>
  </si>
  <si>
    <t>Cửa hàng KDTM Minh Anh</t>
  </si>
  <si>
    <t>8056940433</t>
  </si>
  <si>
    <t>Tổ 22, cụm 4 Đông Khê, Ngô Quyền, Hải Phòng</t>
  </si>
  <si>
    <t>V4076C0</t>
  </si>
  <si>
    <t>30200013416699</t>
  </si>
  <si>
    <t>Đông Nam Á - Phòng giao dịch số 1, Minh Khai, Hải Phòng</t>
  </si>
  <si>
    <t>0200347601</t>
  </si>
  <si>
    <t>Số 3/5 Tầng An Dương, Tôn Đức Thắng, Lê Chân, Hải Phòng</t>
  </si>
  <si>
    <t>V10176C</t>
  </si>
  <si>
    <t>V10176B</t>
  </si>
  <si>
    <t>V10176A</t>
  </si>
  <si>
    <t>LIAONING,NO.1, HONGQI  RD,  LISHAN  DIS, ANSHAN,</t>
  </si>
  <si>
    <t>V20158A</t>
  </si>
  <si>
    <t>Washington</t>
  </si>
  <si>
    <t>1001 Pennsylvania  Ave Washington, DC 20004</t>
  </si>
  <si>
    <t>V20204C</t>
  </si>
  <si>
    <t>0541000248709</t>
  </si>
  <si>
    <t>Ngân hàng Vietcombank - CN Chương Dương-Hà Nội</t>
  </si>
  <si>
    <t>0800006427</t>
  </si>
  <si>
    <t>Phường Ngọc Châu, Thành Phố Hải Dương</t>
  </si>
  <si>
    <t>V10027C</t>
  </si>
  <si>
    <t>V10027B</t>
  </si>
  <si>
    <t>V10027A</t>
  </si>
  <si>
    <t>CG480003C0</t>
  </si>
  <si>
    <t>CÔNG TY TRÁCH NHIỆM HỮU HẠN SHIOGAI SEIKI VIỆT NAM</t>
  </si>
  <si>
    <t>phường Long Bình,  224/4, Đường 24-2, KCN Amata,  TP. Biên Hòa, tỉnh Đồng Nai</t>
  </si>
  <si>
    <t>V10279B</t>
  </si>
  <si>
    <t>0301000411181</t>
  </si>
  <si>
    <t>Ngân hàng TMCP Ngoại thương Việt nam - Chi nhánh Hoàn Kiếm</t>
  </si>
  <si>
    <t>Tầng 9, Tòa nhà VIT, số 519 Kim Mã, Phường Ngọc Khánh, Quận Ba Đình, Thành phố Hà Nội</t>
  </si>
  <si>
    <t>V10609C</t>
  </si>
  <si>
    <t>0031009426868</t>
  </si>
  <si>
    <t>Ngân hàng TMCP Ngoại thương Việt Nam-Chi nhánh Hải Phòng</t>
  </si>
  <si>
    <t>368 Lạch Tray,phường Đằng Giang,quận Ngô Quyền, thành phố Hải Phòng, Việt Nam</t>
  </si>
  <si>
    <t>V10663C</t>
  </si>
  <si>
    <t>244554</t>
  </si>
  <si>
    <t>Bank of Tokyo-Mitsubishi UFJ / Hà Nội</t>
  </si>
  <si>
    <t>84-243-9516392</t>
  </si>
  <si>
    <t>Zenitaka Viet Nam company limited</t>
  </si>
  <si>
    <t>Phòng 1502,tầng 15 tòa nhà Zodiac, phố Duy Tân,phường Dịch Vọng Hậu, quận Cầu Giấy, Hà Nội,Việt Nam</t>
  </si>
  <si>
    <t>V10372C</t>
  </si>
  <si>
    <t>V10372B</t>
  </si>
  <si>
    <t>143693</t>
  </si>
  <si>
    <t>MUFG bank, Ltd - Chi nhánh TP Hà Nội</t>
  </si>
  <si>
    <t>(04)-3768 4641</t>
  </si>
  <si>
    <t>0101936701</t>
  </si>
  <si>
    <t>Phòng 805, tòa nhà HITC, 239 Xuân Thủy, P.Dịch Vọng Hậu, Q.Cầu Giấy, Hà Nội</t>
  </si>
  <si>
    <t>V10074C</t>
  </si>
  <si>
    <t>V10074B</t>
  </si>
  <si>
    <t>V10074A</t>
  </si>
  <si>
    <t>The Bank of Tokyo-Mitsubishi UFJ LTD- Chi nhánh Hà Nội</t>
  </si>
  <si>
    <t>Phòng 805, tòa nhà HITC, 239 Xuân Thủy, P.Dịch Vọng, Q.Cầu Giấy, Hà Nội</t>
  </si>
  <si>
    <t>CG440024C0</t>
  </si>
  <si>
    <t>V4051C0</t>
  </si>
  <si>
    <t>V4051B0</t>
  </si>
  <si>
    <t>V4051A0</t>
  </si>
  <si>
    <t>H15-795-003699</t>
  </si>
  <si>
    <t>Mizuho Bank Ltd - CN Hà Nội</t>
  </si>
  <si>
    <t>04.37635115</t>
  </si>
  <si>
    <t>0102033861</t>
  </si>
  <si>
    <t>Tầng 10, tháp Hòa Bình, 106 Hoàng Quốc Việt, Cầu Giấy, Hà Nội</t>
  </si>
  <si>
    <t>V10029B</t>
  </si>
  <si>
    <t>V10029A</t>
  </si>
  <si>
    <t>V10029C</t>
  </si>
  <si>
    <t>H15-796-300554</t>
  </si>
  <si>
    <t>Mizuho Bank Ltd - CN Ho Chi Minh</t>
  </si>
  <si>
    <t>08 3822 8680</t>
  </si>
  <si>
    <t>0312596860</t>
  </si>
  <si>
    <t>Phòng 1104, Lầu 11, Saigon Tower, 29 Lê Duẩn, P.Bến Nghé, Q.1, TP.HCM</t>
  </si>
  <si>
    <t>V10175C</t>
  </si>
  <si>
    <t>V10175B</t>
  </si>
  <si>
    <t>V10175A</t>
  </si>
  <si>
    <t>249440</t>
  </si>
  <si>
    <t>MUFG bank, Ltd - Chi nhánh Hồ Chí Minh</t>
  </si>
  <si>
    <t>0309843534</t>
  </si>
  <si>
    <t>Tầng 8, Tòa nhà trung tâm thương mại tài chính dầu khí Phú Mỹ Hưng, số 12 Tân Trào, phường Tân Phú, quận 7, TP.HCM</t>
  </si>
  <si>
    <t>V10311B</t>
  </si>
  <si>
    <t>08-5417-9229</t>
  </si>
  <si>
    <t>V10311C</t>
  </si>
  <si>
    <t>H15-795-015654</t>
  </si>
  <si>
    <t>Ngân hàng Mizuho, chi nhánh Hà Nội</t>
  </si>
  <si>
    <t>Công Ty TNHH Yamato Logistics Việt Nam</t>
  </si>
  <si>
    <t>0106781258</t>
  </si>
  <si>
    <t>Tầng 10, tòa nhà 3D, số 3 đường Duy Tân,  Phường Dịch Vọng Hậu, Quận Cầu Giấy, Thành phố Hà Nội</t>
  </si>
  <si>
    <t>V10410C</t>
  </si>
  <si>
    <t>15110000450775</t>
  </si>
  <si>
    <t>Ngân hàng BIDV-CN thành đô, Hà Nội</t>
  </si>
  <si>
    <t>Số 19 ngõ 96 Thượng Thanh, P. Thượng Thanh, Q. Long Biên, Tp Hà Nội</t>
  </si>
  <si>
    <t>V10579C</t>
  </si>
  <si>
    <t>111.00000.9860</t>
  </si>
  <si>
    <t>Ngân hàng TMCP Công thương Việt Nam - CN Lê Chân</t>
  </si>
  <si>
    <t>Xóm Chùa, xã Tân Dương, Huyện Thủy Nguyên, Hải Phòng, VN</t>
  </si>
  <si>
    <t>V10403C</t>
  </si>
  <si>
    <t>19121141356014</t>
  </si>
  <si>
    <t>Ngân hàng TMCP Kỹ thương Việt Nam - CN Thăng Long</t>
  </si>
  <si>
    <t>04.35373790</t>
  </si>
  <si>
    <t>0101263710</t>
  </si>
  <si>
    <t>Số 14, ngõ 64/67 Thái Thịnh-Thịnh Quang-Đống Đa-Hà Nội</t>
  </si>
  <si>
    <t>V10210C</t>
  </si>
  <si>
    <t>V10210B</t>
  </si>
  <si>
    <t>V10210A</t>
  </si>
  <si>
    <t>2113201001724</t>
  </si>
  <si>
    <t>AGRIBANK / An Hưng, Hải Phòng</t>
  </si>
  <si>
    <t>Thôn Hỗ Đông (tại nhà ông Nguyễn Thanh Hải), xã Hồng Phong, huyện An Dương, Hải Phòng</t>
  </si>
  <si>
    <t>V10543C</t>
  </si>
  <si>
    <t>Ngân hàng Nông nghiệp và phát triển nông thôn Việt Nam-Chi nhánh KV An Hưng - Bắc Hải Phòng</t>
  </si>
  <si>
    <t>Thôn Hỗ Đông (tại nhà ông Nguyễn Thanh Hải), xã Hồng Phong,huyện An Dương,thành phố Hải Phòng</t>
  </si>
  <si>
    <t>V10543B</t>
  </si>
  <si>
    <t>030017405922</t>
  </si>
  <si>
    <t>Sacombank, CN Hải Phòng</t>
  </si>
  <si>
    <t>0313760364</t>
  </si>
  <si>
    <t>Số 2 Lê Lợi, Quận Ngô Quyền, Thành Phố Hải Phòng</t>
  </si>
  <si>
    <t>V10246C</t>
  </si>
  <si>
    <t>V10246B</t>
  </si>
  <si>
    <t>V10246A</t>
  </si>
  <si>
    <t>H15-795-018806 VND\F15-795-016236 (USD)</t>
  </si>
  <si>
    <t>Mizuho bank, Ltd Hanoi Branch</t>
  </si>
  <si>
    <t>04 3974 9354</t>
  </si>
  <si>
    <t>0104035254</t>
  </si>
  <si>
    <t>Tầng 5, Tòa nhà Sun red river, 23 Phan Chu Trinh, Q.Hoàn Kiếm, Hà nội</t>
  </si>
  <si>
    <t>050-9-00-00-03195</t>
  </si>
  <si>
    <t>VID Public Bank, Hải Phòng</t>
  </si>
  <si>
    <t>0313.557.829</t>
  </si>
  <si>
    <t>Công ty TNHH Vũ Thanh</t>
  </si>
  <si>
    <t>0200625168</t>
  </si>
  <si>
    <t>Đông Phong, Minh Đức, Đồ Sơn, Hải Phòng</t>
  </si>
  <si>
    <t>V4040C0</t>
  </si>
  <si>
    <t>111000000520</t>
  </si>
  <si>
    <t>Ngân hàng TMCP Công thương Việt Nam, CN Ba Đình, Hà Nội</t>
  </si>
  <si>
    <t>0100520387</t>
  </si>
  <si>
    <t>Phòng 503, tầng 5, số 101 Láng Hạ, phường Láng Hạ, quận Đống Đa, TP Hà Nội, Việt Nam</t>
  </si>
  <si>
    <t>V10503C</t>
  </si>
  <si>
    <t>Hồ chí minh</t>
  </si>
  <si>
    <t>0721000590998</t>
  </si>
  <si>
    <t>Vietcombank / Kỳ đồng</t>
  </si>
  <si>
    <t>Số 12M, Đường Nguyễn Thị Minh Khai, Phường Đa Kao, Quận 1,Thành phố Hồ Chí Minh</t>
  </si>
  <si>
    <t>V10393C</t>
  </si>
  <si>
    <t>0621101053002</t>
  </si>
  <si>
    <t>Ngân hàng TMCP Quân Đội-Chi nhánh Trần Duy Hưng</t>
  </si>
  <si>
    <t>Lô IN9.2, đường số 4, khu công nghiệp Cẩm Điền-Lương Điền, Xã Cẩm Điền, Huyện Cẩm Giàng, Tỉnh Hải Dương, Việt Nam</t>
  </si>
  <si>
    <t>V10670C</t>
  </si>
  <si>
    <t>007.100.0719.709</t>
  </si>
  <si>
    <t>(08)38449946</t>
  </si>
  <si>
    <t>0302615708</t>
  </si>
  <si>
    <t>307/10 Nguyễn Văn Trỗi, Phường 1 , Quận Tân Bình, TP.HCM</t>
  </si>
  <si>
    <t>V10223C</t>
  </si>
  <si>
    <t>V10223B</t>
  </si>
  <si>
    <t>V10223A</t>
  </si>
  <si>
    <t>0451000441984</t>
  </si>
  <si>
    <t>Ngân hàng thương mại cổ phần ngoại thương Việt Nam-Chi nhánh Thành Công</t>
  </si>
  <si>
    <t>Nhà A11-Viện Laser,Nhà A11-Viện Laser,phường Ô Chợ Dừa, quận Đống Đa, Hà Nội, Việt Nam</t>
  </si>
  <si>
    <t>V10679C</t>
  </si>
  <si>
    <t>8388388338</t>
  </si>
  <si>
    <t>Ngân hàng TMCP Á Châu (ACB)-Chi nhánh Hà Nội</t>
  </si>
  <si>
    <t>Cụm 6,xã Tân Lập,huyện Đan Phượng,thành phố Hà Nội, Việt Nam</t>
  </si>
  <si>
    <t>V10631C</t>
  </si>
  <si>
    <t>0071002924497</t>
  </si>
  <si>
    <t>Vietcombank - CN Kỳ Đồng - HCM</t>
  </si>
  <si>
    <t>61 Nguyễn Văn Đậu, Phường 6,Quận Bình ThạnhThành phố Hồ Chí Minh</t>
  </si>
  <si>
    <t>V10296C</t>
  </si>
  <si>
    <t>0491000024135</t>
  </si>
  <si>
    <t>Số 69 đường Tăng Thiết Giáp, phường Cổ Nhuế 2, quận Bắc Từ Liêm, thành phố Hà Nội, Việt Nam</t>
  </si>
  <si>
    <t>V10573C</t>
  </si>
  <si>
    <t>0031000002915</t>
  </si>
  <si>
    <t>Ngân hàng thương mại cổ phần ngoại thương Việt Nam -CN Hải Phòng</t>
  </si>
  <si>
    <t>0200114893</t>
  </si>
  <si>
    <t>Chùa Vẽ, đường Ngô Quyền, phường Đông Hải 1, quận Hải An, Hải Phòng</t>
  </si>
  <si>
    <t>V10527C</t>
  </si>
  <si>
    <t>2119201000643</t>
  </si>
  <si>
    <t>Ngân hàng nông nghiệp và phát triển nông thôn Việt Nam</t>
  </si>
  <si>
    <t>0201960151</t>
  </si>
  <si>
    <t>Tổ dân phố Nghĩa Sơn (tại nhà ông Bùi Phú Tuyến), phường Minh Đức, Quận Đồ Sơn, TP Hải Phòng, Việt Nam</t>
  </si>
  <si>
    <t>V10511C</t>
  </si>
  <si>
    <t>0144100000690006</t>
  </si>
  <si>
    <t>Ngân hàng TMCP Phương Đông-Chi nhánh Hải Phòng</t>
  </si>
  <si>
    <t>Số 165 Hoàng Minh Thảo, Phường Trần Nguyên Hãn, Quận Lê Chân, Thành phố Hải Phòng, Việt Nam</t>
  </si>
  <si>
    <t>V10645C</t>
  </si>
  <si>
    <t>102010001288379</t>
  </si>
  <si>
    <t>Vietin bank / Lê Chân, Hải Phòng</t>
  </si>
  <si>
    <t>0313589571</t>
  </si>
  <si>
    <t>Công ty TNHH ứng dụng công nghệ Vật liệu mới Hải Phòng</t>
  </si>
  <si>
    <t>(Nhà ông Trần Văn Hạnh),Km 27+400 đường quốc lộ 10, thôn 6,xã Bắc Sơn, Huyện An Dương,</t>
  </si>
  <si>
    <t>V10343C</t>
  </si>
  <si>
    <t>0011002097982</t>
  </si>
  <si>
    <t>Sở giao dịch Ngân hàng TMCP Ngoại thương Việt Nam</t>
  </si>
  <si>
    <t>02462581412</t>
  </si>
  <si>
    <t>0100364480</t>
  </si>
  <si>
    <t>D5c-55, Lô D5, ngõ 679, đường Lạc Long Quân - Phường Phú Thượng - Quận Tây Hồ - Hà Nội</t>
  </si>
  <si>
    <t>V10491C</t>
  </si>
  <si>
    <t>Ngân hàng TMCP Ngoại thương Việt Nam-Sở giao dịch</t>
  </si>
  <si>
    <t>D5c-55, Lô D5, ngõ 679,đường Lạc Long Quân, phường Phú Thượng,quận Tây Hồ, thành phố Hà Nội</t>
  </si>
  <si>
    <t>V10491B</t>
  </si>
  <si>
    <t>125 100000 72169</t>
  </si>
  <si>
    <t>BIDV - CN Đông Đô</t>
  </si>
  <si>
    <t>04.37722.892</t>
  </si>
  <si>
    <t>0101838278</t>
  </si>
  <si>
    <t>Tầng 8,tòa nhà Thăng Long, 105 Láng Hạ, Hà nội</t>
  </si>
  <si>
    <t>V10213C</t>
  </si>
  <si>
    <t>V10213B</t>
  </si>
  <si>
    <t>V10213A</t>
  </si>
  <si>
    <t>10921419133015</t>
  </si>
  <si>
    <t>Ngân hàng Techcombank- CN Hải Phòng</t>
  </si>
  <si>
    <t>0313.623.845</t>
  </si>
  <si>
    <t>0200597351</t>
  </si>
  <si>
    <t>Khu I Dư Hàng Kênh, Quận Lê Chân, TP Hải Phòng</t>
  </si>
  <si>
    <t>V10073A</t>
  </si>
  <si>
    <t>V10073C</t>
  </si>
  <si>
    <t>V10073B</t>
  </si>
  <si>
    <t>14022568998010</t>
  </si>
  <si>
    <t>Số 269 đường Văn Cao, Phường Đằng Lâm, Quận Hải An, TP Hải Phòng</t>
  </si>
  <si>
    <t>V10535C</t>
  </si>
  <si>
    <t>140.225.68998.010</t>
  </si>
  <si>
    <t>Ngân hàng thương mại cổ phần Kỹ thương Việt Nam (Techcombank)-CN Hải Phòng</t>
  </si>
  <si>
    <t>số 269 đường Văn Cao, phường Đằng Lâm,quận Hải An,thành phố Hải Phòng</t>
  </si>
  <si>
    <t>V10535B</t>
  </si>
  <si>
    <t>1251 0000 712377</t>
  </si>
  <si>
    <t>Ngân hàng TMCP đầu tư và phát triển Việt nam - CN Đông đô</t>
  </si>
  <si>
    <t>P.609, tầng 6,số 27, Trần Duy Hưng, P.Trung Hòa, Q.Cầu giấy, TP.Hà nội</t>
  </si>
  <si>
    <t>V10348C</t>
  </si>
  <si>
    <t>0611.001.907.991</t>
  </si>
  <si>
    <t>Vietcombank - CN Ba đình</t>
  </si>
  <si>
    <t>0106141868</t>
  </si>
  <si>
    <t>VP 413, tòa nhà  Dreamland Bonanza, 23 Duy Tân, Phường Dịch Vọng Hậu, Quận Cầu Giay, Thành phố Hà Nội, Việt Nam</t>
  </si>
  <si>
    <t>V10276C</t>
  </si>
  <si>
    <t>9383754</t>
  </si>
  <si>
    <t>ANZ Bank (Viet nam) Limited - Chi nhánh TP. Hồ Chí Minh</t>
  </si>
  <si>
    <t>04 6268 3568</t>
  </si>
  <si>
    <t>0103921690</t>
  </si>
  <si>
    <t>Tầng 15, Tòa nhà Vinaconex, Số 34 Láng Hạ, P.Láng Hạ, Q. Đống Đa, TP.Hà Nội</t>
  </si>
  <si>
    <t>61610299</t>
  </si>
  <si>
    <t>Ngân hàng Thương mại Cổ phần Á Châu (ACB) - CN Điện Biên Phủ</t>
  </si>
  <si>
    <t>08.39101347</t>
  </si>
  <si>
    <t>Công ty TNHH tư vấn Ngọc Lục Bảo</t>
  </si>
  <si>
    <t>0308799138</t>
  </si>
  <si>
    <t>Lầu 2, số 40 Phạm Ngọc Thạch, Phường 06, Quận 3, TP. HCM, Việt Nam</t>
  </si>
  <si>
    <t>V10268C</t>
  </si>
  <si>
    <t>160314851021702</t>
  </si>
  <si>
    <t>TMCP XNK Việt Nam - CN Hải Phòng</t>
  </si>
  <si>
    <t>0313 870 718</t>
  </si>
  <si>
    <t>Số 82/333 Văn Cao, khu Thư Trung, Phường Đằng Lâm, quận Hải an, thành phố Hải Phòng, Việt Nam</t>
  </si>
  <si>
    <t>V10191C</t>
  </si>
  <si>
    <t>V10191B</t>
  </si>
  <si>
    <t>V10191A</t>
  </si>
  <si>
    <t>116000003413</t>
  </si>
  <si>
    <t>Vietinbank-CN Đống Đa, Hà Nội</t>
  </si>
  <si>
    <t>P308A6- Tập thể Vĩnh Hồ-Phường Ngã Tư Sở- Quận Đống Đa-TP Hà Nội</t>
  </si>
  <si>
    <t>V10388C</t>
  </si>
  <si>
    <t>0181003319501</t>
  </si>
  <si>
    <t>Vietcombank - CN Nam Sài Gòn</t>
  </si>
  <si>
    <t>0102376562</t>
  </si>
  <si>
    <t>291 Ngọc Thụy, phường Ngọc Thụy, quận Long Biên, thành phố Hà Nội, Việt Nam</t>
  </si>
  <si>
    <t>V10219C</t>
  </si>
  <si>
    <t>V10219B</t>
  </si>
  <si>
    <t>V10219A</t>
  </si>
  <si>
    <t>0011004348155</t>
  </si>
  <si>
    <t>Ngân hàng TMCP Ngoại thương Việt Nam - CN Sở giao dịch</t>
  </si>
  <si>
    <t>Số 142 Nguyễn Ngọc Nại, Phường Khương Mai, Quận Thanh Xuân, Hà Nội</t>
  </si>
  <si>
    <t>V10557C</t>
  </si>
  <si>
    <t>19133758899099</t>
  </si>
  <si>
    <t>Ngân hàng TMCP Kỹ thương Việt Nam-Chi nhánh Nam Hải Phòng</t>
  </si>
  <si>
    <t>5A/304 Đường Chợ Hàng, Phường Dư Hàng Kênh, Quận Lê Chân, Thành phố Hải Phòng, Việt Nam</t>
  </si>
  <si>
    <t>V10640C</t>
  </si>
  <si>
    <t>1012864092</t>
  </si>
  <si>
    <t>Ngân hàng TMCP Ngoại thương Việt Nam-chi nhánh Đông Sài Gòn</t>
  </si>
  <si>
    <t>466/4 Lê Quang Định, phường 11, quận Bình Thạnh, thành phố Hồ Chí Minh</t>
  </si>
  <si>
    <t>V10562C</t>
  </si>
  <si>
    <t>108962479</t>
  </si>
  <si>
    <t>Ngân hàng TMCP Á Châu-Chi nhánh Củ Chi</t>
  </si>
  <si>
    <t>30A Đường 419, Tổ 4, Ấp 6,xã Phước Vĩnh Anhuyện Củ Chi,thành phố Hồ Chí Minh, Việt Nam</t>
  </si>
  <si>
    <t>V10675C</t>
  </si>
  <si>
    <t>10133402</t>
  </si>
  <si>
    <t>Ngân hàng Sumitomo Mitsui Banking Corporation-TP.HCM</t>
  </si>
  <si>
    <t>0315910034</t>
  </si>
  <si>
    <t>Tầng số 29, khu văn phòng tòa nhà Pearl Plaza,số 561A Điện Biên Phủ, Phường 25,Quận Bình Thạnh,Thành phố Hồ Chí Minh, Việt Nam</t>
  </si>
  <si>
    <t>V10704C</t>
  </si>
  <si>
    <t>0011 00412 8688</t>
  </si>
  <si>
    <t>Ngân hàng TMCP Ngoại thương Việt Nam - PGD số 8</t>
  </si>
  <si>
    <t>0106220679</t>
  </si>
  <si>
    <t>phường Vĩnh PhúcSố 111, phố Vĩnh Phúc,Quận Ba ĐìnhThành phố Hà Nội, Việt Nam</t>
  </si>
  <si>
    <t>V10302C</t>
  </si>
  <si>
    <t>0451000268072</t>
  </si>
  <si>
    <t>Vietcombank / Thành Công, Hà Nội</t>
  </si>
  <si>
    <t>0913 039 398</t>
  </si>
  <si>
    <t>Số 88, ngõ 90 Đường Nguyễn Tuân, Phường Thanh Xuân Trung, Quận Thanh Xuân, Thành phố Hà Nội</t>
  </si>
  <si>
    <t>V10362C</t>
  </si>
  <si>
    <t>G6A-B Me Linh quarter, Anh Dung commune, Duong Kinh district, Haiphong city, Vietnam</t>
  </si>
  <si>
    <t>CG440034C0</t>
  </si>
  <si>
    <t>3322602.002</t>
  </si>
  <si>
    <t>Indovina Bank, Haiphong Branch</t>
  </si>
  <si>
    <t>(84-31) 381 4258</t>
  </si>
  <si>
    <t>0031000142204</t>
  </si>
  <si>
    <t>Ngân hàng TMCP Ngoại Thương Việt Nam - CN Hải Phòng</t>
  </si>
  <si>
    <t>0200413565</t>
  </si>
  <si>
    <t>Số 119 Nguyễn Đức Cảnh, Phường Cát Dài, Quận Lê Chân, TP Hải Phòng</t>
  </si>
  <si>
    <t>Số 119 Nguyễn Đức Cảnh, Phường Cát Dài, Hải Phòng</t>
  </si>
  <si>
    <t>CG440009C0</t>
  </si>
  <si>
    <t>11110130999011</t>
  </si>
  <si>
    <t>Ngân hàng Techcombank-Hà Nội</t>
  </si>
  <si>
    <t>Số 09, Đào Duy Anh, Đống Đa, Hà Nội</t>
  </si>
  <si>
    <t>V10578C</t>
  </si>
  <si>
    <t>Bắc Ninh</t>
  </si>
  <si>
    <t>12222610689017</t>
  </si>
  <si>
    <t>Ngân hàng Techcombank-Bắc Ninh</t>
  </si>
  <si>
    <t>Số 407, Đường Nguyễn Trãi, P. Võ Cường, TP Bắc Ninh</t>
  </si>
  <si>
    <t>V10569C</t>
  </si>
  <si>
    <t>Công ty TNHH TMDVGN Hàng Hải Trân Châu</t>
  </si>
  <si>
    <t>0310208287</t>
  </si>
  <si>
    <t>Lầu 1,Viconship Saigon,Số 6-8 Đoàn Văn Bơ,P9,Q4,TPHCM</t>
  </si>
  <si>
    <t>CG440029C0</t>
  </si>
  <si>
    <t>101514851005834</t>
  </si>
  <si>
    <t>Eximbank-Ngân hàng TMCP Xuất Nhập khẩu Việt Nam</t>
  </si>
  <si>
    <t>Lô số 24, KCN Tân Tạo, đường số 7, phường Tân Tạo, quận Bình Tân</t>
  </si>
  <si>
    <t>V10404C</t>
  </si>
  <si>
    <t>19026989555669</t>
  </si>
  <si>
    <t>Ngân hàng TMCP kỹ thương Việt Nam(Techcombank)-Chi nhánh Đông Đô</t>
  </si>
  <si>
    <t>Số nhà E3, khu tái định cư X4, đường Dương Khuê, phường Mai Dịch, quận Cầu Giấy, TP Hà Nội, Việt Nam</t>
  </si>
  <si>
    <t>V10538C</t>
  </si>
  <si>
    <t>Số 137 Tô Hiệu,Phường Nghĩa Đô,Quận Cầu Giấy,Thành phố Hà Nội, Việt Nam</t>
  </si>
  <si>
    <t>CG440053C0</t>
  </si>
  <si>
    <t>01014692001</t>
  </si>
  <si>
    <t>Ngân hàng TMCP Tiên Phong-Chi nhánh Thăng Long</t>
  </si>
  <si>
    <t>0101469253</t>
  </si>
  <si>
    <t>73163679</t>
  </si>
  <si>
    <t>Ngân hàng TMCP Á Châu - CN Thăng Long - PGD Cửa Bắc</t>
  </si>
  <si>
    <t>Công ty TNHH Thương mại, dịch vụ và du lịch Quốc Tế Á Châu</t>
  </si>
  <si>
    <t>0101805988</t>
  </si>
  <si>
    <t>Tầng 2, Khu văn phòng, Số nhà 18 phố Yên Ninh, Phường Trúc Bạch, Ba Đình, Hà Nội</t>
  </si>
  <si>
    <t>V10498B</t>
  </si>
  <si>
    <t>V10498C</t>
  </si>
  <si>
    <t>05111 0213 5002</t>
  </si>
  <si>
    <t>Ngân hàng TMCP Quân Đội - CN Điện Biên Phủ</t>
  </si>
  <si>
    <t>0101279446</t>
  </si>
  <si>
    <t>11E2 Khu nhà ở Cầu diễn, P.Phú diễn, Q.Bắc Từ Liêm, Hà nội</t>
  </si>
  <si>
    <t>V10338C</t>
  </si>
  <si>
    <t>007.1000.691105</t>
  </si>
  <si>
    <t>VIETCOMBANK - HCMC BRANCH</t>
  </si>
  <si>
    <t>0311612904</t>
  </si>
  <si>
    <t>Phòng 1007, tầng 10, số 54-56, đường Nguyễn Trãi,Q1, TP Hồ Chí Minh</t>
  </si>
  <si>
    <t>V10231C</t>
  </si>
  <si>
    <t>V10231B</t>
  </si>
  <si>
    <t>V10231A</t>
  </si>
  <si>
    <t>195585079</t>
  </si>
  <si>
    <t>Ngân hàng ACB, Chi nhánh Hà Nội</t>
  </si>
  <si>
    <t>Số 01 ngõ 1202 đường Trường Chinh, P Phương Mai, Q Đống Đa, Hà Nội</t>
  </si>
  <si>
    <t>V10580C</t>
  </si>
  <si>
    <t>3211 0000 1866 35</t>
  </si>
  <si>
    <t>BIDV - CN Hải Phòng</t>
  </si>
  <si>
    <t>031.3822229 \ 031.3669797  (Fax)</t>
  </si>
  <si>
    <t>Công ty TNHH Thương Mại Xuất Nhập Khẩu may mặc Minh Ngọc</t>
  </si>
  <si>
    <t>0200680546</t>
  </si>
  <si>
    <t>Số 83 Bạch Đằng - Phường Hạ Lý - Quận Hồng Bàng - Hải Phòng</t>
  </si>
  <si>
    <t>V10005C</t>
  </si>
  <si>
    <t>Công ty TNHH Thương Mại Xuất Nhập Khẩu May Mặc Minh Ngọc</t>
  </si>
  <si>
    <t>V10005B</t>
  </si>
  <si>
    <t>V10005A</t>
  </si>
  <si>
    <t>103731129</t>
  </si>
  <si>
    <t>Ngân hàng thương mại cổ phần Á Châu-Sở giao dịch TP.HCM</t>
  </si>
  <si>
    <t>08 6266 3228</t>
  </si>
  <si>
    <t>Công ty TNHH TM XNK Khai Tâm</t>
  </si>
  <si>
    <t>0310814030</t>
  </si>
  <si>
    <t>207/55 Hồ Học Lãm, P.An Lạc, Q.Bình Tân, TP.Hồ Chí Minh</t>
  </si>
  <si>
    <t>V10195C</t>
  </si>
  <si>
    <t>V10195B</t>
  </si>
  <si>
    <t>V10195A</t>
  </si>
  <si>
    <t>51062183</t>
  </si>
  <si>
    <t>Ngân hàng TMCP Việt Nam Thịnh Vượng</t>
  </si>
  <si>
    <t>Số 18 lô 3C KĐTM ngã Năm sân bay Cát Bi,phường Đông Khê,quận Ngô Quyền, thành phố Hải Phòng</t>
  </si>
  <si>
    <t>V10655C</t>
  </si>
  <si>
    <t>20058075</t>
  </si>
  <si>
    <t>GP Bank Hải Phòng</t>
  </si>
  <si>
    <t>0201289631</t>
  </si>
  <si>
    <t>Tổ Mỹ Khê Tây, Phường Đồng Hòa, Quận Kiến An, TP Hải Phòng</t>
  </si>
  <si>
    <t>V10083C</t>
  </si>
  <si>
    <t>V10083B</t>
  </si>
  <si>
    <t>V10083A</t>
  </si>
  <si>
    <t>2101201003621</t>
  </si>
  <si>
    <t>Ngân hàng nông nghiệp và phát triển nông thông Việt Nam-Chi nhánh Ngô Quyền Hải Phòng</t>
  </si>
  <si>
    <t>0200576224</t>
  </si>
  <si>
    <t>Tổ 1, Phường Lãm Hà, Quận Kiến An, Thành phố Hải Phòng, Việt Nam</t>
  </si>
  <si>
    <t>CG440052C0</t>
  </si>
  <si>
    <t>Ngân hàng nông nghiệp và phát triển nông thôn Việt Nam-Chi nhánh Ngô Quyền Hải Phòng</t>
  </si>
  <si>
    <t>Tổ 1, phường Lãm Hà,Quận Kiến An,Thành phố Hải Phòng, Việt Nam</t>
  </si>
  <si>
    <t>89128209</t>
  </si>
  <si>
    <t>TMCP Á Châu - PGD Đông Sài Gòn</t>
  </si>
  <si>
    <t>08 36630935</t>
  </si>
  <si>
    <t>0310383874</t>
  </si>
  <si>
    <t>147 Đường số 5, Khu đô thị An Phú - An Khánh, KP.2, P.Bình An, Quận 2, TP.HCM</t>
  </si>
  <si>
    <t>V10154C</t>
  </si>
  <si>
    <t>V10154B</t>
  </si>
  <si>
    <t>V10154A</t>
  </si>
  <si>
    <t>014329020001</t>
  </si>
  <si>
    <t>Ngân hàng TMCP Đông Á-Chi nhánh Quận 1 TP. Hồ Chí Minh</t>
  </si>
  <si>
    <t>157/11, Độc Lập,Phường Tân Qúy, Quận Tân Phú,Thành phố Hồ Chí Minh, Việt Nam</t>
  </si>
  <si>
    <t>10823201292888</t>
  </si>
  <si>
    <t>TMCP Kỹ Thương Việt Nam - CN Hoàn Kiếm</t>
  </si>
  <si>
    <t>04 3248 4095</t>
  </si>
  <si>
    <t>0104885276</t>
  </si>
  <si>
    <t>Số 5, ngõ 4, phố Kim Mã, phường Kim Mã, quận Ba Đình, Thành phố Hà Nội, Việt Nam</t>
  </si>
  <si>
    <t>V10168C</t>
  </si>
  <si>
    <t>V10168B</t>
  </si>
  <si>
    <t>V10168A</t>
  </si>
  <si>
    <t>3100024-1</t>
  </si>
  <si>
    <t>Sumitomo Mitsui Banking Corporation. Hochiminh city Branch</t>
  </si>
  <si>
    <t>0304938126</t>
  </si>
  <si>
    <t>Số 12 Đồng Nai, phường 2,Quận Tân Bình, HCM</t>
  </si>
  <si>
    <t>V10068A</t>
  </si>
  <si>
    <t>Sumitomo Mitsui Banking Corporation-Hochiminh city Branch</t>
  </si>
  <si>
    <t>V10068C</t>
  </si>
  <si>
    <t>Sumitomo Mitsui Banking Corporation-Hochiminh City Branch</t>
  </si>
  <si>
    <t>V10068B</t>
  </si>
  <si>
    <t>108634154</t>
  </si>
  <si>
    <t>Ngân hàng TMCP Việt Nam thịnh vượng-chi nhánh Kinh Đô</t>
  </si>
  <si>
    <t>P801-trung tâm giao dịch CNTT &amp; TT Hà Nội, K1 Hào Nam, phường Cát Linh, quận Đống Đa, thành phố Hà Nội, Việt Nam</t>
  </si>
  <si>
    <t>V10610C</t>
  </si>
  <si>
    <t>102010000779551</t>
  </si>
  <si>
    <t>TMCP Công thương Lê Chân, Hải Phòng</t>
  </si>
  <si>
    <t>0200602280</t>
  </si>
  <si>
    <t>Số 332 Lê Thánh Tông, phường Máy Chai, quận Ngô Quyền, thành phố Hải Phòng, Việt Nam</t>
  </si>
  <si>
    <t>V10173C</t>
  </si>
  <si>
    <t>V10173B</t>
  </si>
  <si>
    <t>V10173A</t>
  </si>
  <si>
    <t>012242460001</t>
  </si>
  <si>
    <t>Ngân hàng TMCP Đông Á - Phòng Giao dịch Hồng Bàng</t>
  </si>
  <si>
    <t>0201309327</t>
  </si>
  <si>
    <t>Xóm mới (tại nhà ông Vũ Văn Việt), Xã Hồng Thái, Huyện An Dương, Thành phố Hải Phòng, Việt Nam</t>
  </si>
  <si>
    <t>Số nhà 17E, tổ 12A, Phường Thượng Đình, Quận Thanh Xuân, Thành phố Hà Nội, Việt Nam</t>
  </si>
  <si>
    <t>V10421B</t>
  </si>
  <si>
    <t>114802829</t>
  </si>
  <si>
    <t>Ngân hàng TMCP Á Châu - CN Hoàng Cầu, Hà Nội</t>
  </si>
  <si>
    <t>Số nhà 17E, Tổ 12A, Phường Thượng Đình, Quận Thanh Xuân ,Thành phố Hà Nội, Việt Nam</t>
  </si>
  <si>
    <t>V10421C</t>
  </si>
  <si>
    <t>100 100 548 4099</t>
  </si>
  <si>
    <t>TMCP An Bình - CN Bắc Ninh, PGD Yên Phong</t>
  </si>
  <si>
    <t>0962 281 084</t>
  </si>
  <si>
    <t>2300849937</t>
  </si>
  <si>
    <t>Khu đô thị mới, thị trấn Chờ, H.Yên phong, tỉnh Bắc Ninh</t>
  </si>
  <si>
    <t>V10220C</t>
  </si>
  <si>
    <t>V10220B</t>
  </si>
  <si>
    <t>V10220A</t>
  </si>
  <si>
    <t>0531002531143</t>
  </si>
  <si>
    <t>Ngân hàng TMCP Ngoại Thương Việt Nam (Vietcombank)-Chi nhánh Đông Sài Gòn</t>
  </si>
  <si>
    <t>119 Quốc Hương,Phường Thảo Điền,thành phố Thủ Đức,thành phố Hồ Chí Minh, Việt Nam</t>
  </si>
  <si>
    <t>V10642C</t>
  </si>
  <si>
    <t>73431929</t>
  </si>
  <si>
    <t>Á Châu - CN Hải Phòng</t>
  </si>
  <si>
    <t>(031)3513713</t>
  </si>
  <si>
    <t>Số 595B Nguyễn Văn Linh, phường Vĩnh Niệm, quận Lê Chân, TP. Hải Phòng</t>
  </si>
  <si>
    <t>V10078C</t>
  </si>
  <si>
    <t>V10078B</t>
  </si>
  <si>
    <t>V10078A</t>
  </si>
  <si>
    <t>2000 1485 1040 424</t>
  </si>
  <si>
    <t>Ngân hàng Eximbank - CN Thành phố Hồ Chí Minh</t>
  </si>
  <si>
    <t>Công ty TNHH Thương mại và dịch vụ Song Bình</t>
  </si>
  <si>
    <t>V4080C0</t>
  </si>
  <si>
    <t>0031 000 188 698</t>
  </si>
  <si>
    <t>Công ty TNHH Thương mại và Dịch vụ Shinwa Việt Nam</t>
  </si>
  <si>
    <t>0201408247</t>
  </si>
  <si>
    <t>Số 195 Ngõ 193, Văn Cao, Đằng Lâm, Hải An, Hải Phòng</t>
  </si>
  <si>
    <t>V4067C0</t>
  </si>
  <si>
    <t>0031000188698</t>
  </si>
  <si>
    <t>031.376.1115</t>
  </si>
  <si>
    <t>Phòng 2.6 tầng 2, tòa nhà Khánh Hội, lô 2/3C Lê Hồng Phong, phường Đông Khê, quận Ngô Quyền, tp.Hải Phòng</t>
  </si>
  <si>
    <t>LS-000362</t>
  </si>
  <si>
    <t>0181003625485</t>
  </si>
  <si>
    <t>Ngân hàng TMCP Ngoại thương Việt Nam-Chi nhánh Nam Sài Gòn</t>
  </si>
  <si>
    <t>205/58 Đào Sư Tích, Xã Phước Kiến, Huyện Nhà Bè, Thành phố Hồ Chí Minh,</t>
  </si>
  <si>
    <t>V10638C</t>
  </si>
  <si>
    <t>56846459</t>
  </si>
  <si>
    <t>Ngân Hàng ACB- CN Tô Hiệu</t>
  </si>
  <si>
    <t>0316271460</t>
  </si>
  <si>
    <t>0200840341</t>
  </si>
  <si>
    <t>Đội 9, thôn Hoàng Mai, xã Đồng Thái, huyện An Dương, thành phố Hải Phòng</t>
  </si>
  <si>
    <t>V10082C</t>
  </si>
  <si>
    <t>V10082B</t>
  </si>
  <si>
    <t>V10082A</t>
  </si>
  <si>
    <t>0186967899999</t>
  </si>
  <si>
    <t>Ngân hàng TMCP Quân Đội-Chi nhánh Trần Duy Hưng-PGD Xuân Thủy</t>
  </si>
  <si>
    <t>Số nhà 103, phố Phan Văn Trường, Phường Dịch Vọng HậuQuận Cầu Giấy, Thành phố Hà Nội, Việt Nam</t>
  </si>
  <si>
    <t>V10658C</t>
  </si>
  <si>
    <t>1005765970</t>
  </si>
  <si>
    <t>Ngân hàng TMCP Sài Gòn, Hà Nội, Chi nhánh Hà Nội, PGD Trần Duy H</t>
  </si>
  <si>
    <t>Tổ dân phố Trù 2, phường Cổ Nhuế 2, quận Bắc Từ Liêm, TP Hà Nội, Việt Nam</t>
  </si>
  <si>
    <t>V10549C</t>
  </si>
  <si>
    <t>+ 84-8-38627543</t>
  </si>
  <si>
    <t>Công ty TNHH thương mại và dịch vụ Kim Thịnh</t>
  </si>
  <si>
    <t>Số 200 đường 48 , P3 Q4 , TP.Hồ Chí Minh, Việt Nam</t>
  </si>
  <si>
    <t>V10229C</t>
  </si>
  <si>
    <t>V10229B</t>
  </si>
  <si>
    <t>V10229A</t>
  </si>
  <si>
    <t>109 20 59 59 59 012</t>
  </si>
  <si>
    <t>Công ty TNHH Thương Mại và Dịch Vụ Du lịch Hải Thành</t>
  </si>
  <si>
    <t>0200771472</t>
  </si>
  <si>
    <t>Số 17/4 Phù Đổng, Hoàng Văn Thụ, Minh Khai, Hồng Bàng, Hải Phòng</t>
  </si>
  <si>
    <t>CG440046C0</t>
  </si>
  <si>
    <t>V4039B0</t>
  </si>
  <si>
    <t>216354329</t>
  </si>
  <si>
    <t>Ngân hàng Á Châu-CN Hải Phòng</t>
  </si>
  <si>
    <t>0225357712</t>
  </si>
  <si>
    <t>Công ty TNHH Thương mại và dịch vụ điện cơ Tân Tiến</t>
  </si>
  <si>
    <t>xã An Tiến, Thôn Khúc Giản (tại nhà ông Lương Xuân), huyện An Lão,thành phố Hải Phòng, Việt Nam</t>
  </si>
  <si>
    <t>V10424C</t>
  </si>
  <si>
    <t>Thôn Khúc Giản (tại nhà ông Lương, xã An Tiến, huyện An Lão, Thành phố Hải Phòng</t>
  </si>
  <si>
    <t>V10424B</t>
  </si>
  <si>
    <t>0021000383962</t>
  </si>
  <si>
    <t>0107563196</t>
  </si>
  <si>
    <t>Số 35, Hẻm 173/68/81 Đường Hoàng Hoa Thám, Phường Ngọc Hà, Quận Ba Đình, TP Hà Nội, Việt Nam</t>
  </si>
  <si>
    <t>V10521C</t>
  </si>
  <si>
    <t>003 100 078 5509</t>
  </si>
  <si>
    <t>031 3534 745</t>
  </si>
  <si>
    <t>0200734752</t>
  </si>
  <si>
    <t>Số 206 khu 2 Quán Toan, Hồng Bàng, Hải Phòng</t>
  </si>
  <si>
    <t>V10010C</t>
  </si>
  <si>
    <t>V10010B</t>
  </si>
  <si>
    <t>V10010A</t>
  </si>
  <si>
    <t>160314851022059</t>
  </si>
  <si>
    <t>Ngân hàng TMCP xuất nhập khẩu Việt Nam - CN Tô Hiệu, Hải Phòng</t>
  </si>
  <si>
    <t>Công ty TNHH Thương mại và đầu tư khí công nghiệp Sao Mai Hải phòng</t>
  </si>
  <si>
    <t>0201561580</t>
  </si>
  <si>
    <t>Tổ dân phố 3 (nhà ông Thái Bá Sơn), thị trấn An Dương, huyện An Dương, thành phố Hải Phòng, Việt Nam</t>
  </si>
  <si>
    <t>V10042C</t>
  </si>
  <si>
    <t>V10042B</t>
  </si>
  <si>
    <t>V10042A</t>
  </si>
  <si>
    <t>102010000216487</t>
  </si>
  <si>
    <t>Ngân hàng Công Thương, Hải Phòng</t>
  </si>
  <si>
    <t>0313.837.182</t>
  </si>
  <si>
    <t>Số 65, Đường Lê Thánh Tông, phường Máy Tơ, quận Ngô Quyền, thành phố Hải Phòng, Vietnam</t>
  </si>
  <si>
    <t>V10240C</t>
  </si>
  <si>
    <t>V10240B</t>
  </si>
  <si>
    <t>V10240A</t>
  </si>
  <si>
    <t>190276-52852-668</t>
  </si>
  <si>
    <t>Techcombank-CN Hoang Quoc Viet</t>
  </si>
  <si>
    <t>08 38155238</t>
  </si>
  <si>
    <t>Công ty TNHH Thương mại Thiết bị Công nghiệp Trường An</t>
  </si>
  <si>
    <t>0303987579</t>
  </si>
  <si>
    <t>Đại Mạch, 183 Mai Châu, Đông Anh, Hà Nội</t>
  </si>
  <si>
    <t>V10419C</t>
  </si>
  <si>
    <t>06811-0065-8008</t>
  </si>
  <si>
    <t>Ngân hàng thương mại cổ phần Quân Đội- Chi nhánh Thăng Long</t>
  </si>
  <si>
    <t>043 211 5501~3</t>
  </si>
  <si>
    <t>Công ty TNHH Thương mại Techno Việt Nam</t>
  </si>
  <si>
    <t>0104928071</t>
  </si>
  <si>
    <t>Tầng 5, Số 84, Phố Duy Tân, Phường Dịch Vọng Hậu, Cầu Giấy, Hà Nội</t>
  </si>
  <si>
    <t>LS-000136</t>
  </si>
  <si>
    <t>100384159</t>
  </si>
  <si>
    <t>Ngân hàng ACB, chi nhánh Duyên Hải</t>
  </si>
  <si>
    <t>Công ty TNHH thương mại Song Thắng</t>
  </si>
  <si>
    <t>Số 8, ngõ 64 đường Tản Viên, Phường Thượng Lý, Quận Hồng Bàng, thành phố Hải Phòng</t>
  </si>
  <si>
    <t>V10476C</t>
  </si>
  <si>
    <t>111000182824</t>
  </si>
  <si>
    <t>Ngân hàng TMCP Công thương Việt Nam - Chi nhánh Lê Chân</t>
  </si>
  <si>
    <t>Lô CN10, Khu công nghiệp Tân Liên, xã Tân Liên, huyện Vĩnh Bảo, thành phố Hải Phòng</t>
  </si>
  <si>
    <t>V10528C</t>
  </si>
  <si>
    <t>35816969</t>
  </si>
  <si>
    <t>Ngân hàng Á Châu - CN Lê Văn Sỹ</t>
  </si>
  <si>
    <t>Công ty TNHH Thương Mại Sa Giang</t>
  </si>
  <si>
    <t>0301025946</t>
  </si>
  <si>
    <t>Tầng 11, tòa nhà REE, số 9 Đoàn Văn Bơ, phường 12, quận 4, TP.HCM</t>
  </si>
  <si>
    <t>V10116C</t>
  </si>
  <si>
    <t>V10116B</t>
  </si>
  <si>
    <t>V10116A</t>
  </si>
  <si>
    <t>125 100 001 67454</t>
  </si>
  <si>
    <t>Đầu tư và phát triển Việt Nam - CN Đông Đô</t>
  </si>
  <si>
    <t>04.37868794</t>
  </si>
  <si>
    <t>0102328488</t>
  </si>
  <si>
    <t>Số 27 Lô 1C, Khu đô thị Trung Yên, phường Trung Hòa, Quận Cầu Giấy, Thành phố Hà Nội</t>
  </si>
  <si>
    <t>V10122C</t>
  </si>
  <si>
    <t>V10122B</t>
  </si>
  <si>
    <t>V10122A</t>
  </si>
  <si>
    <t>2601101888666</t>
  </si>
  <si>
    <t>TMCP Quân đội - CN Bắc Hải</t>
  </si>
  <si>
    <t>Công ty TNHH Thương mại Quốc Hưng</t>
  </si>
  <si>
    <t>0200512051</t>
  </si>
  <si>
    <t>Số 170 Dương Đình Nghệ, P.Vĩnh Niệm, Q.Lê Chân, Hải phòng</t>
  </si>
  <si>
    <t>LS-000417</t>
  </si>
  <si>
    <t>20143868 (VND) / 201438688 (USD)</t>
  </si>
  <si>
    <t>Ngân hàng TMCP Á Châu - CN Lê Văn Sỹ</t>
  </si>
  <si>
    <t>110/53 Tô Hiệu,Phường Hiệp Tân,Quận Tân Phú,Thành phố Hồ Chí Minh, Việt Nam</t>
  </si>
  <si>
    <t>V10707C</t>
  </si>
  <si>
    <t>V10707B</t>
  </si>
  <si>
    <t>H10-796-003953</t>
  </si>
  <si>
    <t>Ngân hàng Mizuho Bank, LTD-chi nhánh TP Hồ Chí Minh</t>
  </si>
  <si>
    <t>028 39251022</t>
  </si>
  <si>
    <t>Công ty TNHH thương mại Logitem Việt Nam</t>
  </si>
  <si>
    <t>0311917776</t>
  </si>
  <si>
    <t>Số 36, đường Bùi Thị Xuân, Phường Bến Thành,  Quận 1, Thành phố Hồ Chí Minh</t>
  </si>
  <si>
    <t>V10444C</t>
  </si>
  <si>
    <t>4195009</t>
  </si>
  <si>
    <t>Ngân hàng ACB-Hồ Chí Minh</t>
  </si>
  <si>
    <t>113 Bình Thới, phường 11, quận 11, thành phố Hồ Chí Minh</t>
  </si>
  <si>
    <t>V10531C</t>
  </si>
  <si>
    <t>Ngân hàng ACB -  Hồ Chí Minh</t>
  </si>
  <si>
    <t>02839621621</t>
  </si>
  <si>
    <t>phường 11,113 Bình Thới,quận 11,thành phố Hồ Chí Minh</t>
  </si>
  <si>
    <t>V10531B</t>
  </si>
  <si>
    <t>119000131155</t>
  </si>
  <si>
    <t>NH TMCP Công Thương Việt Nam - CN Đông Hải Phòng</t>
  </si>
  <si>
    <t>031 3757676</t>
  </si>
  <si>
    <t>0200552449</t>
  </si>
  <si>
    <t>Số 4 Lô 2A, đường Lê Hồng Phong, phường Đông Khê, quận Ngô Quyền, Hải Phòng, Việt Nam</t>
  </si>
  <si>
    <t>V10014C</t>
  </si>
  <si>
    <t>V10014B</t>
  </si>
  <si>
    <t>V10014A</t>
  </si>
  <si>
    <t>101214851000589</t>
  </si>
  <si>
    <t>Eximbank - CN Quận 10</t>
  </si>
  <si>
    <t>7/3 Đồng Tiến, Phường Đông Hưng Thuận, Quận 12, Thành phố Hồ Chí Minh</t>
  </si>
  <si>
    <t>V10612C</t>
  </si>
  <si>
    <t>0451000235965</t>
  </si>
  <si>
    <t>Ngân hàng Vietcombank -CN Thành Công Hà Nội</t>
  </si>
  <si>
    <t>0225 3668 774</t>
  </si>
  <si>
    <t>Công ty TNHH Thương mại Hà Nghĩa</t>
  </si>
  <si>
    <t>0201266440</t>
  </si>
  <si>
    <t>Số 95 lô 4/97 Bạch Đằng,  Phường Hạ Lý, Quận Hồng Bàng, TP Hải Phòng, Việt Nam</t>
  </si>
  <si>
    <t>V10432C</t>
  </si>
  <si>
    <t>0451 000 235 965</t>
  </si>
  <si>
    <t>Vietcombank / CN Thành Công</t>
  </si>
  <si>
    <t>Số 95 lô 4/97 Bạch Đằng, Phường Hạ Lý, Quận Hồng Bàng, Thành phố Hải Phòng, VN</t>
  </si>
  <si>
    <t>V10432B</t>
  </si>
  <si>
    <t>075704070003668</t>
  </si>
  <si>
    <t>Ngân hàng HD Bank - CN Hà Nội - PGD Hà Thành</t>
  </si>
  <si>
    <t>Số 102, Lạc Trung, Vĩnh Tuy, Hai Bà Trung, Hà Nội</t>
  </si>
  <si>
    <t>V10596B</t>
  </si>
  <si>
    <t>1018520182</t>
  </si>
  <si>
    <t>Thôn Khúc Giản (tại nhà ông Lương Văn Lịch), Xã An Tiến, Huyện An Lão, Hải phòng</t>
  </si>
  <si>
    <t>V10598C</t>
  </si>
  <si>
    <t>V10598B</t>
  </si>
  <si>
    <t>0351 000 906 945</t>
  </si>
  <si>
    <t>NH Vietcombank - Chi nhánh Bắc Ninh - PGD Từ Sơn - Bắc Ninh</t>
  </si>
  <si>
    <t>0241 3847626</t>
  </si>
  <si>
    <t>0100278859</t>
  </si>
  <si>
    <t>Số 57 Láng Hạ, Ba Đình, Hà Nội</t>
  </si>
  <si>
    <t>V10193C</t>
  </si>
  <si>
    <t>0351.000.906.945</t>
  </si>
  <si>
    <t>V10193B</t>
  </si>
  <si>
    <t>V10193A</t>
  </si>
  <si>
    <t>2002707-002</t>
  </si>
  <si>
    <t>Ngân hàng Indovina - CN Đống Đa</t>
  </si>
  <si>
    <t>(04)6668 9888-(04)6668 9898</t>
  </si>
  <si>
    <t>Tầng 7, tòa nhà Diamond Flower, đường Lê Văn Lương,  phường Nhân Chính, quận Thanh Xuân, thành phố Hà Nội</t>
  </si>
  <si>
    <t>V10367C</t>
  </si>
  <si>
    <t>004715920001</t>
  </si>
  <si>
    <t>Đông Á - CN TP.HCM</t>
  </si>
  <si>
    <t>08.39703436</t>
  </si>
  <si>
    <t>0309279999</t>
  </si>
  <si>
    <t>15 Cù Lao, Phường 2, Quận Phú Nhuận, TP.Hồ Chí Minh</t>
  </si>
  <si>
    <t>V10167A</t>
  </si>
  <si>
    <t>V10167C</t>
  </si>
  <si>
    <t>V10167B</t>
  </si>
  <si>
    <t>140014851016411</t>
  </si>
  <si>
    <t>Ngân hàng TMCP XNK Việt Nam-Chi nhánh Tân Định</t>
  </si>
  <si>
    <t>0309914231</t>
  </si>
  <si>
    <t>212/24 Nguyễn Văn Nguyễn, Phường Tân Định,Quận 1,thành phố Hồ Chí Minh, Việt Nam</t>
  </si>
  <si>
    <t>0071001071002</t>
  </si>
  <si>
    <t>Vietcombank - Hồ Chí Minh Branch</t>
  </si>
  <si>
    <t>08.39143632</t>
  </si>
  <si>
    <t>0302865828</t>
  </si>
  <si>
    <t>55/14 Lê Thị Hồng Gấm, P. Nguyễn Thái Bình, Quận 1, TP.HCM</t>
  </si>
  <si>
    <t>V10076C</t>
  </si>
  <si>
    <t>V10076B</t>
  </si>
  <si>
    <t>V10076A</t>
  </si>
  <si>
    <t>0371003768650</t>
  </si>
  <si>
    <t>Ngân hàng Vietcombank – CN Tân Định HCM</t>
  </si>
  <si>
    <t>0835170401</t>
  </si>
  <si>
    <t>0310692382</t>
  </si>
  <si>
    <t>47/94 Trần Quốc Toản, phường Võ Thị Sáu, quận 3, TP.HCM</t>
  </si>
  <si>
    <t>V10392C</t>
  </si>
  <si>
    <t>V10392B</t>
  </si>
  <si>
    <t>19129842251048</t>
  </si>
  <si>
    <t>Ngân hàng Thương Mại Cổ phần Kỹ Thương Việt Nam-Chi nhánh thành phố Hồ Chí Minh</t>
  </si>
  <si>
    <t>33 Đường DC5 Phường Sơn Kỳ, Quận Tân Phú, Thành phố Hồ Chí Minh, Việt Nam</t>
  </si>
  <si>
    <t>V10673C</t>
  </si>
  <si>
    <t>866866998</t>
  </si>
  <si>
    <t>Ngân hàng thương mại cổ phần Á Châu (ACB)-Chi nhánh Đông Sài Gòn</t>
  </si>
  <si>
    <t>0316430376</t>
  </si>
  <si>
    <t>872/109, Quang Trung, Phường 8, Quận Gò Vấp, Thành phố Hồ Chí Minh, Việt Nam</t>
  </si>
  <si>
    <t>0071000644444</t>
  </si>
  <si>
    <t>Vietcombank - CN TP.HCM</t>
  </si>
  <si>
    <t>08.39771926</t>
  </si>
  <si>
    <t>0311144413</t>
  </si>
  <si>
    <t>436A/101 Đường 3/2, Phường 12, Quận 10, Thành Phố Hồ Chí Minh, Việt Nam</t>
  </si>
  <si>
    <t>V10208C</t>
  </si>
  <si>
    <t>V10208B</t>
  </si>
  <si>
    <t>V10208A</t>
  </si>
  <si>
    <t>204560799</t>
  </si>
  <si>
    <t>NH Thương mại cổ phần Á Châu-CN Hải Phòng</t>
  </si>
  <si>
    <t>Số 792 Đại lộ Tôn Đức Thắng, Phường Sở Dầu, Quận Hồng Bàng,Thành phố Hải Phòng</t>
  </si>
  <si>
    <t>V10333C</t>
  </si>
  <si>
    <t>Ngân hàng ACB Hải Phòng</t>
  </si>
  <si>
    <t>Số 792 Đại lộ Tôn Đức Thắng, phường Sở Dầu, quận Hồng Bàng, thành phố Hải Phòng, Việt Nam</t>
  </si>
  <si>
    <t>V10333B</t>
  </si>
  <si>
    <t>76597537</t>
  </si>
  <si>
    <t>VP Bank / PGD Phú Lâm, CN Sài Gòn</t>
  </si>
  <si>
    <t>08-35170401</t>
  </si>
  <si>
    <t>Văn phòng 02, Tầng 08 Tòa nhà Pearl Plaza, 561A Điện Biên Phủ, Phường 25, Quận Bình Thạnh, Thành phố Hồ Chí Minh, Việt Nam</t>
  </si>
  <si>
    <t>V10315B</t>
  </si>
  <si>
    <t>V10315C</t>
  </si>
  <si>
    <t>0507000001124</t>
  </si>
  <si>
    <t>Ngân hàng TNHH MTV Public Việt Nam - CN Hải Phòng</t>
  </si>
  <si>
    <t>Số 408 Lê Thánh Tông, Phường Máy Chai, Quận Ngô Quyền, TP Hải Phòng</t>
  </si>
  <si>
    <t>V10480C</t>
  </si>
  <si>
    <t>46810001487784</t>
  </si>
  <si>
    <t>Ngân hàng TMCP Đầu tư và Phát triển Việt Nam - CN Thành Đông</t>
  </si>
  <si>
    <t>Công ty TNHH Thương mại đầu tư xuất nhập khẩu Thái Dương - chi nhánh Hải Dương</t>
  </si>
  <si>
    <t>0106069989-001</t>
  </si>
  <si>
    <t>Số nhà 99, Tô Hiến Thành, Phường Hải Tân, TP Hải Dương, Tỉnh Hải Dương</t>
  </si>
  <si>
    <t>V10504C</t>
  </si>
  <si>
    <t>0011004239205</t>
  </si>
  <si>
    <t>Ngân hàng Ngoại thương Việt Nam-Sở giao dịch</t>
  </si>
  <si>
    <t>0106834710</t>
  </si>
  <si>
    <t>Số 343 đường Nguyễn Văn Cừ, phường Ngọc Lâm, quận Long Biên, TP Hà Nội, Việt Nam</t>
  </si>
  <si>
    <t>V10467C</t>
  </si>
  <si>
    <t>9106379</t>
  </si>
  <si>
    <t>Ngân hàng TMCP Á Châu - CN TP Hồ Chí Minh</t>
  </si>
  <si>
    <t>08 3820 8888</t>
  </si>
  <si>
    <t>0301422238</t>
  </si>
  <si>
    <t>10/2 Xuân Diệu, Phường 4, Quận Tân Bình, TP.Hồ Chí Minh, Việt Nam</t>
  </si>
  <si>
    <t>V10197C</t>
  </si>
  <si>
    <t>V10197B</t>
  </si>
  <si>
    <t>V10197A</t>
  </si>
  <si>
    <t>020079089088</t>
  </si>
  <si>
    <t>Ngân hàng TMCP Sài Gòn Thương Tín - CN Thủ Đô</t>
  </si>
  <si>
    <t>02466644590</t>
  </si>
  <si>
    <t>số 37, ngõ 173/37 đường An Dương Vương, phường Phú Thượng, quận Tây Hồ, thành phố Hà Nội</t>
  </si>
  <si>
    <t>V10526C</t>
  </si>
  <si>
    <t>Ngân hàng ACB - CN Hải Phòng</t>
  </si>
  <si>
    <t>031 3821 302</t>
  </si>
  <si>
    <t>0201243771</t>
  </si>
  <si>
    <t>Số 95 Phố Cấm, phường Gia Viên, quận Ngô Quyền, thành phố Hải Phòng</t>
  </si>
  <si>
    <t>V10030C</t>
  </si>
  <si>
    <t>V10030B</t>
  </si>
  <si>
    <t>Công ty TNHH thương mại bảo hộ lao động N&amp;C.</t>
  </si>
  <si>
    <t>V10030A</t>
  </si>
  <si>
    <t>102010002267337</t>
  </si>
  <si>
    <t>Ngân hàng TMCP Công thương Việt Nam, CN Lê Chân, Hải Phòng</t>
  </si>
  <si>
    <t>0201637529</t>
  </si>
  <si>
    <t>Số 85 Lán Bè, Lam Sơn, Lê Chân, Hải Phòng</t>
  </si>
  <si>
    <t>V10251C</t>
  </si>
  <si>
    <t>Số 200, Đường 48, P3 Q4Hồ Chí Minh City</t>
  </si>
  <si>
    <t>1116666789</t>
  </si>
  <si>
    <t>Ngân hàng TMCP ngoại thương Việt Nam</t>
  </si>
  <si>
    <t>64/22 Phổ Quang, phường 2, quận Tân Bình, TP Hồ Chí Minh, Việt Nam</t>
  </si>
  <si>
    <t>V10615C</t>
  </si>
  <si>
    <t>0181000388126</t>
  </si>
  <si>
    <t>Vietcombank - CN Đông Sài Gòn</t>
  </si>
  <si>
    <t>84 8 35128080</t>
  </si>
  <si>
    <t>0301934483</t>
  </si>
  <si>
    <t>167 Điện Biên Phủ, phường 15, quận Bình Thạnh, Tp. Hồ Chí Minh</t>
  </si>
  <si>
    <t>V10156C</t>
  </si>
  <si>
    <t>V10156B</t>
  </si>
  <si>
    <t>V10156A</t>
  </si>
  <si>
    <t>0071001286864</t>
  </si>
  <si>
    <t>Ngân hàng TMCP Ngoại thương Việt Nam - CN TP HCM</t>
  </si>
  <si>
    <t>0315459414</t>
  </si>
  <si>
    <t>P.702A, Tòa nhà Centre Point, 106 Nguyễn Văn Trỗi, Phường 08, Quận Phú Nhuận, TP Hồ Chí Minh, Việt Nam</t>
  </si>
  <si>
    <t>V10514C</t>
  </si>
  <si>
    <t>140589</t>
  </si>
  <si>
    <t>The bank of Tokyo Mitsubishi UFJ-HCMC</t>
  </si>
  <si>
    <t>84 8 3827 3646</t>
  </si>
  <si>
    <t>0302534921</t>
  </si>
  <si>
    <t>Tòa nhà VINCOM, số 72, đường Lê Thánh Tôn, phường Bến Nghé, quận 1, thành phố Hồ Chí Minh</t>
  </si>
  <si>
    <t>V10271B</t>
  </si>
  <si>
    <t>Tòa nhà VINCOM Số 72 Lê Thánh Tôn, phường Bến Nghé, Quận 1, TP.HCM</t>
  </si>
  <si>
    <t>V10271C</t>
  </si>
  <si>
    <t>113000104002</t>
  </si>
  <si>
    <t>Ngân hàng TMCP Công thương Việt Nam - CN Hải Phòng - PGD Đằng Giang</t>
  </si>
  <si>
    <t>Công ty TNHH Thoát nước môi trường Tuấn Nam</t>
  </si>
  <si>
    <t>0201296188</t>
  </si>
  <si>
    <t>Số 84 Trần Nhật Duật, phường Cầu Đất, quận Ngô Quyền, Hải Phòng</t>
  </si>
  <si>
    <t>V10149C</t>
  </si>
  <si>
    <t>V10149B</t>
  </si>
  <si>
    <t>V10149A</t>
  </si>
  <si>
    <t>0011002977806</t>
  </si>
  <si>
    <t>Vietcombank  - SGD</t>
  </si>
  <si>
    <t>Tầng 4, số 25, Lê Đại Hành, phường Lê Đại Hành, quận Hai Bà Trưng, thành phố Hà Nội, Việt Nam</t>
  </si>
  <si>
    <t>V10554B</t>
  </si>
  <si>
    <t>104505369</t>
  </si>
  <si>
    <t>Ngân hàng CPTM Á Châu - Chi Nhánh Hà Thành</t>
  </si>
  <si>
    <t>+84 4 66801026</t>
  </si>
  <si>
    <t>0105295865</t>
  </si>
  <si>
    <t>Tổ Dân Phố 1, Phường Phú Lương, Quận Hà Đông, Hà Nội, Việt Nam</t>
  </si>
  <si>
    <t>V10212B</t>
  </si>
  <si>
    <t>V10212A</t>
  </si>
  <si>
    <t>V10212C</t>
  </si>
  <si>
    <t>020001506766</t>
  </si>
  <si>
    <t>Ngân hàng Sacombank -Chi nhánh Hà Nội - PGD Bà Triệu</t>
  </si>
  <si>
    <t>3783 0629/30/31</t>
  </si>
  <si>
    <t>0100950365</t>
  </si>
  <si>
    <t>Số 15 phố Lưu Quang Vũ, Tổ 26, Phường Trung Hòa, Quận Cầu Giấy, Thành phố Hà Nội, Việt Nam</t>
  </si>
  <si>
    <t>V10194C</t>
  </si>
  <si>
    <t>V10194B</t>
  </si>
  <si>
    <t>V10194A</t>
  </si>
  <si>
    <t>102010000209588</t>
  </si>
  <si>
    <t>Ngân hàng Vietinbank-CN Lê Chân</t>
  </si>
  <si>
    <t>Số 3/178 Đông Hải, Đằng Giang, Ngô Quyền, Hải Phòng</t>
  </si>
  <si>
    <t>V10323C</t>
  </si>
  <si>
    <t>2013483-001</t>
  </si>
  <si>
    <t>Indovinabank- CN Đống Đa</t>
  </si>
  <si>
    <t>0103770434</t>
  </si>
  <si>
    <t>Tầng 2, tòa nhà Detech, số 8 đường Tôn Thất Thuyết, Phường Mỹ Đình 2, Quận Nam Từ Liêm, Hà Nội</t>
  </si>
  <si>
    <t>V10172A</t>
  </si>
  <si>
    <t>V10172C</t>
  </si>
  <si>
    <t>V10172B</t>
  </si>
  <si>
    <t>21510000018831</t>
  </si>
  <si>
    <t>NH thương mại cổ phần đầu tư và phát triển Việt Nam- CN Cầu Giấy</t>
  </si>
  <si>
    <t>Công ty TNHH thiết bị công nghiệp và tự động hóa AUMI</t>
  </si>
  <si>
    <t>B44, Lô Nhà Vườn, Khu Đô thị Việt Hưng, phường Giang Biên, quận Long Biên, thành phố Hà Nội, Việt Nam</t>
  </si>
  <si>
    <t>V10371B</t>
  </si>
  <si>
    <t>2151.00000.18831</t>
  </si>
  <si>
    <t>NH thương mại cổ phần đầu tư và phát triển Việt Nam-CN Cầu Giấy</t>
  </si>
  <si>
    <t>B44, Lô nhà vườn, Khu đô thị Việt Hưng, Phường Giang Biên, Quận Long Biên,Thành Phố Hà Nội, Việt Nam</t>
  </si>
  <si>
    <t>V10371C</t>
  </si>
  <si>
    <t>12110000244881</t>
  </si>
  <si>
    <t>NH TMCP đầu tư và phát triển Việt Nam-CN Hai Bà Trưng</t>
  </si>
  <si>
    <t>0100231949</t>
  </si>
  <si>
    <t>Tầng 8, tòa nhà Ocean Park, số 1 Đào Duy Anh, Phường Phương Mai, Quận Đống Đa, Thành phố Hà Nội</t>
  </si>
  <si>
    <t>V10484C</t>
  </si>
  <si>
    <t>7503209</t>
  </si>
  <si>
    <t>TMCP Á Châu - Hồ Chí Minh</t>
  </si>
  <si>
    <t>(08)54319555</t>
  </si>
  <si>
    <t>0303135503</t>
  </si>
  <si>
    <t>Số 24-26 (Tầng 4-5), Đường 9A, Khu dân cư Trung Sơn, Bình Hưng, Bình Chánh, Hồ Chí Minh</t>
  </si>
  <si>
    <t>V10040C</t>
  </si>
  <si>
    <t>V10040B</t>
  </si>
  <si>
    <t>V10040A</t>
  </si>
  <si>
    <t>03101011606726</t>
  </si>
  <si>
    <t>Ngân hàng TMCP Hàng Hải Việt Nam- CN Đống Đa, Hà Nội</t>
  </si>
  <si>
    <t>024 3632 0902</t>
  </si>
  <si>
    <t>Công ty TNHH Thiết bị công nghiệp ISHIKO Việt Nam</t>
  </si>
  <si>
    <t>0106860478</t>
  </si>
  <si>
    <t>Số nhà 10 ngách 87/1  phố Phú Đô, Phường Phú Đô, Quận Nam Từ Liêm, Thành phố Hà Nội</t>
  </si>
  <si>
    <t>V10452C</t>
  </si>
  <si>
    <t>0541000287757</t>
  </si>
  <si>
    <t>Ngân hàng TMCP Ngoại thương Việt Nam-CN Chương Dương</t>
  </si>
  <si>
    <t>Lô C15/D21 khu ĐTM Cầu Giấy, Phường Dịch Vọng Hậu, Quận Cầu Giấy, Thành Phố Hà Nội, Việt Nam</t>
  </si>
  <si>
    <t>V10556C</t>
  </si>
  <si>
    <t>11120012744010</t>
  </si>
  <si>
    <t>Ngân hàng Techcombank- CN Hà Nội</t>
  </si>
  <si>
    <t>04.37911179</t>
  </si>
  <si>
    <t>0101473468</t>
  </si>
  <si>
    <t>Số 16 Cẩm Hội, Đống Mác, Hai Bà Trưng, Hà Nội</t>
  </si>
  <si>
    <t>V10081C</t>
  </si>
  <si>
    <t>V10081B</t>
  </si>
  <si>
    <t>V10081A</t>
  </si>
  <si>
    <t>19129367918016</t>
  </si>
  <si>
    <t>Ngân hàng TMCP Kỹ thương Việt Nam-Chi nhánh Đống Đa</t>
  </si>
  <si>
    <t>Công ty TNHH thang máy và thiết bị Á Châu Hà Nội</t>
  </si>
  <si>
    <t>Số 92, đường Phan Trọng Tuệ, khu Cầu Bươn,xã Tả Thanh Oai,huyện Thanh Trì, thành phố Hà Nội, Việt Nam</t>
  </si>
  <si>
    <t>V10717C</t>
  </si>
  <si>
    <t>0011000715813</t>
  </si>
  <si>
    <t>Ngân hàng TMCP Ngoại thương Việt Nam</t>
  </si>
  <si>
    <t>Số 25-26-27 khu đấu giá TT3, phường Việt Hưng, quận Long Biên, TP Hà Nội</t>
  </si>
  <si>
    <t>V10611C</t>
  </si>
  <si>
    <t>0011000358006</t>
  </si>
  <si>
    <t>Sở giao dịch ngân hàng TMCP Ngoại thương Việt Nam</t>
  </si>
  <si>
    <t>Tầng 18, Tòa nhà Icon 4, số 243A Đê La Thành, phường Láng THượng, quận Đống Đa, thành phố Hà Nội, Việt Nam</t>
  </si>
  <si>
    <t>V10586B</t>
  </si>
  <si>
    <t>V10586C</t>
  </si>
  <si>
    <t>220314851031421</t>
  </si>
  <si>
    <t>NH Xuất nhập khẩu Việt Nam-Vietnam Eximbank-PGD Hồ Văn Huê</t>
  </si>
  <si>
    <t>02862580586</t>
  </si>
  <si>
    <t>CÔNG TY TNHH TCHEM VIỆT NAM</t>
  </si>
  <si>
    <t>Phường 10,Số 48/1A Quang Trung,Quận Gò Vấp,Thành phố Hồ Chí Minh, Việt Nam</t>
  </si>
  <si>
    <t>V10414C</t>
  </si>
  <si>
    <t>215526629</t>
  </si>
  <si>
    <t>Ngân hàng ACB - CN Duyên Hải</t>
  </si>
  <si>
    <t>Số 2B/40/87 Quốc lộ 5 mới, Cam lộ 5, P.Hùng Vương, Q.Hồng Bàng,</t>
  </si>
  <si>
    <t>V10405C</t>
  </si>
  <si>
    <t>V10405A</t>
  </si>
  <si>
    <t>Công ty TNHH Tân Thuận Phong</t>
  </si>
  <si>
    <t>Km số 8, đường quốc lộ 5, thôn Lương Quán, xã Nam Sơn, huyện An Dương, TP Hải Phòng, Việt Nam</t>
  </si>
  <si>
    <t>CG440050C0</t>
  </si>
  <si>
    <t>10101-000001176-4</t>
  </si>
  <si>
    <t>Ngân hàng TNHH MTV Hong Leong Bank Việt Nam - CN Hà Nội</t>
  </si>
  <si>
    <t>212 Tôn Đức Thắng, Đống Đa, Hà Nội</t>
  </si>
  <si>
    <t>V10044C</t>
  </si>
  <si>
    <t>V10044B</t>
  </si>
  <si>
    <t>V10044A</t>
  </si>
  <si>
    <t>0181003346280</t>
  </si>
  <si>
    <t>Vietcombank- CN Nam Sài Gòn</t>
  </si>
  <si>
    <t>08 3771 1635</t>
  </si>
  <si>
    <t>0311105894</t>
  </si>
  <si>
    <t>Số 1, đường số 69, khu phố 1, phường Thạnh Mỹ Lợi, Thành phố Thủ Đức, Tp. Hồ Chí Minh, Việt Nam</t>
  </si>
  <si>
    <t>V10119C</t>
  </si>
  <si>
    <t>V10119B</t>
  </si>
  <si>
    <t>V10119A</t>
  </si>
  <si>
    <t>113000118711 (VND) / 110000202780 (USD)</t>
  </si>
  <si>
    <t>Ngân hàng TMCP Công thương Việt Nam, CN Ngô Quyền, Hải Phòng</t>
  </si>
  <si>
    <t>0201347234</t>
  </si>
  <si>
    <t>Khu đất CN4.4B, KCN Đình Vũ, P.Đông Hải 2, Q.Hải An, TKKT Đình Vũ-Cát Hải, TP.Hải Phòng, Việt Nam</t>
  </si>
  <si>
    <t>V10238C</t>
  </si>
  <si>
    <t>V10238B</t>
  </si>
  <si>
    <t>V10238A</t>
  </si>
  <si>
    <t>243160949</t>
  </si>
  <si>
    <t>Ngân hàng ACB - CN Thủ Đức</t>
  </si>
  <si>
    <t>Công ty TNHH Talent Brand</t>
  </si>
  <si>
    <t>0314539547</t>
  </si>
  <si>
    <t>Tầng 1, Tòa nhà Packsimex, 52 Đông Du, Phường Bến Nghé, Quận 1, TP Hồ Chí Minh</t>
  </si>
  <si>
    <t>V10449C</t>
  </si>
  <si>
    <t>0011004116761</t>
  </si>
  <si>
    <t>Ngân hàng TMCP Ngoại thương Việt Nam-Chi nhánh Sở giao dịch</t>
  </si>
  <si>
    <t>Số nhà 28, phố Nguyễn Trường Tộ, phường Trúc Bạch, quận Ba Đình, thành phố Hà Nội, Việt Nam</t>
  </si>
  <si>
    <t>V10624C</t>
  </si>
  <si>
    <t>41/7 Phạm Ngũ Lão, P3, Q. GV, TP HCM, Vietnam</t>
  </si>
  <si>
    <t>CG440013C0</t>
  </si>
  <si>
    <t>042-1-00-377257-4</t>
  </si>
  <si>
    <t>Ngoại Thương Việt Nam - CN Phú Thọ - HCM</t>
  </si>
  <si>
    <t>V10088B</t>
  </si>
  <si>
    <t>V10088A</t>
  </si>
  <si>
    <t>V10088C</t>
  </si>
  <si>
    <t>1860108-1</t>
  </si>
  <si>
    <t>Ngân hàng SMBC-chi nhánh Hà Nội</t>
  </si>
  <si>
    <t>Tầng 3, toà nhà Danka, số 258 Bà Triệu, Hai Bà Trưng, Hà Nội</t>
  </si>
  <si>
    <t>V10059C</t>
  </si>
  <si>
    <t>V10059B</t>
  </si>
  <si>
    <t>V10059A</t>
  </si>
  <si>
    <t>14023527568881</t>
  </si>
  <si>
    <t>Techcombank - CN Nguyễn An Ninh, Hà Nội</t>
  </si>
  <si>
    <t>0201240026</t>
  </si>
  <si>
    <t>103, B14 Tân Mai, Hoàng Mai, Hà Nội</t>
  </si>
  <si>
    <t>V10157C</t>
  </si>
  <si>
    <t>V10157B</t>
  </si>
  <si>
    <t>V10157A</t>
  </si>
  <si>
    <t>62056109</t>
  </si>
  <si>
    <t>Ngân hàng Cổ phần Thương mại Á Châu (ACB) - CN Sài Gòn</t>
  </si>
  <si>
    <t>30 lô O, Đường D, Khu Tái Định cư, Phường Tân Thới Nhất, Quận 12, TP.Hồ Chí Minh</t>
  </si>
  <si>
    <t>V10497C</t>
  </si>
  <si>
    <t>19129112868686</t>
  </si>
  <si>
    <t>Ngân hàng thương mại cổ phần Kỹ thương Việt Nam - CN Ba Đình</t>
  </si>
  <si>
    <t>04-3856-6688</t>
  </si>
  <si>
    <t>0107347910</t>
  </si>
  <si>
    <t>Tầng 12A, tháp B, tòa nhà Handiresco, số 521 đường Kim Mã, phường Ngọc Khánh, Quận Ba Đình,Thành phố Hà Nội, Việt Nam</t>
  </si>
  <si>
    <t>V10317C</t>
  </si>
  <si>
    <t>100-43-901 (VND)</t>
  </si>
  <si>
    <t>Sumitomo Mitsui Banking Corporation - Hanoi Branch</t>
  </si>
  <si>
    <t>+844-3933-6436~7</t>
  </si>
  <si>
    <t>0106144604</t>
  </si>
  <si>
    <t>#101, Số 18 Trần Hưng Đạo, P. Phan Chu Trinh, Q. Hoàn Kiếm, Hà Nội, Việt Nam</t>
  </si>
  <si>
    <t>V10272C</t>
  </si>
  <si>
    <t>V10272A</t>
  </si>
  <si>
    <t>V10272B</t>
  </si>
  <si>
    <t>TP.HCM</t>
  </si>
  <si>
    <t>11922345515018</t>
  </si>
  <si>
    <t>Techcombank / CN Thắng Lợi, Hồ Chí Minh</t>
  </si>
  <si>
    <t>Phòng 606, Khu B, Tòa nhà Indochina, Park Tower,số 4 Nguyễn Đình Chiểu, Phường Đa Kao, Quận 1, Thành phố Hồ Chí Minh</t>
  </si>
  <si>
    <t>V10356C</t>
  </si>
  <si>
    <t>25706888</t>
  </si>
  <si>
    <t>Ngân hàng TMCP Á Châu-Chi nhánh Duyên Hải</t>
  </si>
  <si>
    <t>0202061100</t>
  </si>
  <si>
    <t>BH01-28 Vinhomes Imperia,số 1 Đường Hà Nội, Phường Thượng Lý,Quận Hồng Bàng,Thành phố Hải Phòng, Việt Nam</t>
  </si>
  <si>
    <t>V10709B</t>
  </si>
  <si>
    <t>V10709C</t>
  </si>
  <si>
    <t>007.100.3314762</t>
  </si>
  <si>
    <t>Vietcombank - CN TP Hồ Chí Minh</t>
  </si>
  <si>
    <t>08-54135466</t>
  </si>
  <si>
    <t>Công ty TNHH Sopet Gas One</t>
  </si>
  <si>
    <t>3600817399</t>
  </si>
  <si>
    <t>Ấp 2, Xã Phước Khánh, Huyện Nhơn Trạch, Tỉnh Đồng Nai</t>
  </si>
  <si>
    <t>V10092C</t>
  </si>
  <si>
    <t>V10092B</t>
  </si>
  <si>
    <t>V10092A</t>
  </si>
  <si>
    <t>10043301</t>
  </si>
  <si>
    <t>Sumitomo Mitsui Banking Corporation, Hanoi Branch</t>
  </si>
  <si>
    <t>04.3943.1078</t>
  </si>
  <si>
    <t>0106043204</t>
  </si>
  <si>
    <t>#13-04, Tầng 13, Số 53 Quang Trung, P.Nguyễn Du, Q.Hai Bà Trưng, TP.Hà Nội</t>
  </si>
  <si>
    <t>V10207C</t>
  </si>
  <si>
    <t>V10207B</t>
  </si>
  <si>
    <t>V10207A</t>
  </si>
  <si>
    <t>13821859411013</t>
  </si>
  <si>
    <t>Ngân hàng thương mại cổ phần Kỹ thương Việt Nam-Chi nhánh Hà Thành</t>
  </si>
  <si>
    <t>Tầng 10, số 70-72 phố Bà Triệu,phường Hàng Bài,Quận Hoàn Kiếm,Thành phố Hà Nội, Việt Nam</t>
  </si>
  <si>
    <t>V10684C</t>
  </si>
  <si>
    <t>V10684B</t>
  </si>
  <si>
    <t>16010000081126</t>
  </si>
  <si>
    <t>NH TMCP đầu tư và phát triển Việt Nam (BIDV)- Sở giao dịch 3</t>
  </si>
  <si>
    <t>Số 17 Ngách 230/21,Tổ dân phố số 3- Thượng, Phường Mễ Trì, Quận Nam Từ Liêm, Thành phố Hà Nội</t>
  </si>
  <si>
    <t>V10378C</t>
  </si>
  <si>
    <t>10074901 (USD)/ 10074902 (VND)</t>
  </si>
  <si>
    <t>Ngân hàng Sumitomo Mitsui Banking Corporation-Chi nhánh TP. Hồ Chí Minh</t>
  </si>
  <si>
    <t>Nhà xưởng 2B, Lô K1-2-5, đường số 2-3-5A Khu công nghiệp Lê Minh Xuân, Xã Lê Minh Xuân, Huyện Bình Chánh, Thành phố Hồ Chí Minh</t>
  </si>
  <si>
    <t>V10617C</t>
  </si>
  <si>
    <t>0201642027</t>
  </si>
  <si>
    <t>Ngân hàng Citibank - CN Hà Nội</t>
  </si>
  <si>
    <t>Tầng 7, Tòa nhà Dragon tower, 141 Nguyễn Du, Bến Thành, Quận 1, TP Hồ Chí Minh</t>
  </si>
  <si>
    <t>V10445C</t>
  </si>
  <si>
    <t>201642027</t>
  </si>
  <si>
    <t>Ngân hàng Citibank-Chi nhánh Hà Nội</t>
  </si>
  <si>
    <t>Lầu 7, Toà nhà Viet Dragon Tower,141 Nguyễn Du, Phường Bến Thành,Quận 1,Thành phố Hồ Chí Minh</t>
  </si>
  <si>
    <t>V10445B</t>
  </si>
  <si>
    <t>0541103111111</t>
  </si>
  <si>
    <t>Ngân hàng TMCP Quân Đội-Chi nhánh Thăng Long</t>
  </si>
  <si>
    <t>04.3828 6267</t>
  </si>
  <si>
    <t>0106135751</t>
  </si>
  <si>
    <t>13 Tạm Thương, Phường Hàng Gai, Quận Hoàn Kiếm, Thành phố Hà Nội</t>
  </si>
  <si>
    <t>V10118C</t>
  </si>
  <si>
    <t>V10118B</t>
  </si>
  <si>
    <t>V10118A</t>
  </si>
  <si>
    <t>1008333-05-0</t>
  </si>
  <si>
    <t>Deutsche Bank AG- Ho Chi Minh Branch</t>
  </si>
  <si>
    <t>083.8251.900</t>
  </si>
  <si>
    <t>Công ty TNHH Siemens</t>
  </si>
  <si>
    <t>0302727641</t>
  </si>
  <si>
    <t>05B Tôn Đức Thắng, Phường Bến Nghé, Quận 1, TP. HCM</t>
  </si>
  <si>
    <t>V10070A</t>
  </si>
  <si>
    <t>V10070C</t>
  </si>
  <si>
    <t>V10070B</t>
  </si>
  <si>
    <t>Đồng Nai</t>
  </si>
  <si>
    <t>0121000968683</t>
  </si>
  <si>
    <t>Ngân hàng Vietcombank-CN Đồng Nai</t>
  </si>
  <si>
    <t>3600715894</t>
  </si>
  <si>
    <t>224/4 đường 24-2, KCN Amata, phường Long Bình, Tp Biên Hòa, tỉnh Đồng Nai</t>
  </si>
  <si>
    <t>V10279C</t>
  </si>
  <si>
    <t>1023936-050</t>
  </si>
  <si>
    <t>Deutsche Bank AG-Chi nhánh thành phố Hồ Chí Minh</t>
  </si>
  <si>
    <t>0315852350</t>
  </si>
  <si>
    <t>Tầng 3, tòa nhà Arrow,Đường Hoàng Việt, phường 4,Quận Tân Bình,thành phố Hồ Chí Minh, Việt Nam</t>
  </si>
  <si>
    <t>077400276820002</t>
  </si>
  <si>
    <t>Ngân hàng Công nghiệp Hàn Quốc-Chi nhánh Hà Nội</t>
  </si>
  <si>
    <t>0432262970</t>
  </si>
  <si>
    <t>0107380932</t>
  </si>
  <si>
    <t>Tầng 2, tòa nhà Halla Building, lô CC2, xã Yên Trung, huyện Yên Phong, tỉnh Bắc Ninh</t>
  </si>
  <si>
    <t>V10494C</t>
  </si>
  <si>
    <t>Hẻm 155/74/20 Đường Trường Chinh,Số 26B, Phường Phương Liệt,Quận Thanh Xuân,Hà Nội</t>
  </si>
  <si>
    <t>V10438B</t>
  </si>
  <si>
    <t>3640 USD ORD 635111</t>
  </si>
  <si>
    <t>Ngân hàng MUFG Bank,Ltd-Chi nhánh Thành phố Hồ Chí Minh</t>
  </si>
  <si>
    <t>Công ty TNHH SANYO Trading (Việt Nam)</t>
  </si>
  <si>
    <t>Số 2-4A Đường Tôn Đức Thắng,P.Bến Nghé,Quận 1,TP Hồ Chí Minh</t>
  </si>
  <si>
    <t>V10402A</t>
  </si>
  <si>
    <t>Công ty TNHH SANYO Trading(Việt nam)</t>
  </si>
  <si>
    <t>19027725560997</t>
  </si>
  <si>
    <t>Ngân hàng TMCP Kỹ thương Việt Nam - CN Hải Phòng</t>
  </si>
  <si>
    <t>031.3833760</t>
  </si>
  <si>
    <t>0201318191</t>
  </si>
  <si>
    <t>Gác 2, Số 24 Cát Cụt, Phường An Biên, Quận Lê Chân, TP. Hải Phòng</t>
  </si>
  <si>
    <t>V10190C</t>
  </si>
  <si>
    <t>V10190B</t>
  </si>
  <si>
    <t>V10190A</t>
  </si>
  <si>
    <t>0681100130006</t>
  </si>
  <si>
    <t>NH Thương mại CP quân đội-CN Thăng Long</t>
  </si>
  <si>
    <t>04.35665479</t>
  </si>
  <si>
    <t>0102135408</t>
  </si>
  <si>
    <t>181 Ngõ 192 Lê Trọng Tấn, phường Công Định, quận Hoàng Mai, TP Hà Nội, VN</t>
  </si>
  <si>
    <t>V10408C</t>
  </si>
  <si>
    <t>2104201005680</t>
  </si>
  <si>
    <t>Ngân Hàng Agribank-Chi nhánh quận Kiến An- Đông Hải Phòng</t>
  </si>
  <si>
    <t>Tổ 4, Khu 8, Phường Lãm Hà, Quận Kiến An, Thành Phố Hải Phòng</t>
  </si>
  <si>
    <t>V10420C</t>
  </si>
  <si>
    <t>CG440039C0</t>
  </si>
  <si>
    <t>000546290001</t>
  </si>
  <si>
    <t>TMCP Đông Á - CN Hà nội</t>
  </si>
  <si>
    <t>04.62690464</t>
  </si>
  <si>
    <t>0101365215</t>
  </si>
  <si>
    <t>Tổ 18, cụm 2, P.Trung Hòa, Q.Cầu giấy, TP.Hà nội</t>
  </si>
  <si>
    <t>V10221C</t>
  </si>
  <si>
    <t>V10221B</t>
  </si>
  <si>
    <t>V10221A</t>
  </si>
  <si>
    <t>21310000361355</t>
  </si>
  <si>
    <t>NH BIDV - CN Nam Hà Nội</t>
  </si>
  <si>
    <t>Đội 4, thôn Lạc Thị,xã Ngọc Hồi, huyện Thanh Trì, Tp. Hà Nội</t>
  </si>
  <si>
    <t>V10342C</t>
  </si>
  <si>
    <t>1001098272</t>
  </si>
  <si>
    <t>Ngân hàng TMCP Sài Gòn-Hà Nội - PGD Quán Toan,CN Hải Phòng</t>
  </si>
  <si>
    <t>0312.225080</t>
  </si>
  <si>
    <t>0200826756</t>
  </si>
  <si>
    <t>Thôn 1 Do Nha-Tân Tiến-An Dương-Hải Phòng</t>
  </si>
  <si>
    <t>V10062C</t>
  </si>
  <si>
    <t>V10062B</t>
  </si>
  <si>
    <t>V10062A</t>
  </si>
  <si>
    <t>CG440010C0</t>
  </si>
  <si>
    <t>102010001617090</t>
  </si>
  <si>
    <t>Ngân hàng TMCP Công thương - CN Hoàng Mai</t>
  </si>
  <si>
    <t>0500479398</t>
  </si>
  <si>
    <t>Thôn Nội Hợp, xã Nam Phong, huyện Phú Xuyên, thành phố Hà Nội</t>
  </si>
  <si>
    <t>V10151C</t>
  </si>
  <si>
    <t>V10151B</t>
  </si>
  <si>
    <t>V10151A</t>
  </si>
  <si>
    <t>21310000421116</t>
  </si>
  <si>
    <t>Ngân hàng TMCP Đầu tư và Phát triển Việt Nam - CN Nam Hà Nội</t>
  </si>
  <si>
    <t>Công ty TNHH Sản xuất Thương Mại Dịch vụ Sao Việt Nam</t>
  </si>
  <si>
    <t>0106953838</t>
  </si>
  <si>
    <t>Tầng 1, LK2-VT6, Tổ hợp chung cư và TM Bemes, P. Kiến Hưng, Q. Hà Đông, TP Hà Nội</t>
  </si>
  <si>
    <t>V10463C</t>
  </si>
  <si>
    <t>0381000450111</t>
  </si>
  <si>
    <t>Ngân hàng Vietcombank-CN Thủ Đức, TP Hồ Chí Minh</t>
  </si>
  <si>
    <t>147 Đỗ Xuân Hợp, Phường Phước Long B, quận 9, Tp Hồ Chí Minh, Việt Nam</t>
  </si>
  <si>
    <t>V10570C</t>
  </si>
  <si>
    <t>0031000360351</t>
  </si>
  <si>
    <t>0201764559</t>
  </si>
  <si>
    <t>Khu nhà xưởng Công ty TNHH Sơn Kova,Đội 2, Xã Kiền Bái, Huyện Thủy Nguyên, Thành phố Hải Phòng, Việt Nam</t>
  </si>
  <si>
    <t>V10696C</t>
  </si>
  <si>
    <t>Công ty TNHH sản xuất lốp xe Bridgestone Việt Nam</t>
  </si>
  <si>
    <t>Khu đất CN4.1 KCN Đình Vũ, P.Đông Hải 2, Q.Hải An, TP. Hải Phòng</t>
  </si>
  <si>
    <t>CG440038C0</t>
  </si>
  <si>
    <t>003 100 014 8888</t>
  </si>
  <si>
    <t>CÔNG TY TNHH SẢN XUẤT LỐP XE BRIDGESTONE VIỆT NAM</t>
  </si>
  <si>
    <t>BTMV</t>
  </si>
  <si>
    <t>194632799</t>
  </si>
  <si>
    <t>ACB Chi Nhánh Hải Phòng</t>
  </si>
  <si>
    <t>0313 821 313</t>
  </si>
  <si>
    <t>0201616737</t>
  </si>
  <si>
    <t>Số 1 Bến Bính, Phường Minh Khai, Quận Hồng Bàng, Thành phố Hải Phòng</t>
  </si>
  <si>
    <t>V10257C</t>
  </si>
  <si>
    <t>100414851011290</t>
  </si>
  <si>
    <t>NH EXIM BANK, CN CHỢ LỚN</t>
  </si>
  <si>
    <t>083.9913144</t>
  </si>
  <si>
    <t>0304239713</t>
  </si>
  <si>
    <t>428 Quốc lộ 1A, khu phố 3, P.Bình Hưng Hòa B, Q. Bình Tân, TP.HCM, Việt Nam</t>
  </si>
  <si>
    <t>V10025C</t>
  </si>
  <si>
    <t>V10025B</t>
  </si>
  <si>
    <t>V10025A</t>
  </si>
  <si>
    <t>Bình Dương</t>
  </si>
  <si>
    <t>0281000831 556</t>
  </si>
  <si>
    <t>Vietcombank - Chi nhánh Bắc Bình Dương</t>
  </si>
  <si>
    <t>+84-650-355-3300</t>
  </si>
  <si>
    <t>Lô F 6A – CN, KCN Mỹ Phước 2, Thị xã Bến Cát, Bình Dương, Việt Nam</t>
  </si>
  <si>
    <t>V10161C</t>
  </si>
  <si>
    <t>V10161B</t>
  </si>
  <si>
    <t>V10161A</t>
  </si>
  <si>
    <t>26, Cheomdan yeonsin-ro 29beon-gil, Buk-gu, Gwangju, 61089, Korea</t>
  </si>
  <si>
    <t>CG450019C0</t>
  </si>
  <si>
    <t>10920843572014</t>
  </si>
  <si>
    <t>Ngân hàng TMCP kỹ thương Việt Nam -Techcombank CN Hải Phòng</t>
  </si>
  <si>
    <t>Số 177/213 Thiên Lôi - Vĩnh Niệm - Lê Chân- hải Phòng</t>
  </si>
  <si>
    <t>V10380B</t>
  </si>
  <si>
    <t>V10380C</t>
  </si>
  <si>
    <t>2000 148 5111 4946</t>
  </si>
  <si>
    <t>EXIMBANK</t>
  </si>
  <si>
    <t>08. 3925 7207</t>
  </si>
  <si>
    <t>Công ty TNHH S.T.D &amp; S</t>
  </si>
  <si>
    <t>Lô 25A Đường Trung Tâm, Khu công nghiệp Tân Tạo Mở Rộng, phường Tân Tạo A, quận Bình Tân, TP. Hồ Chí Minh</t>
  </si>
  <si>
    <t>V10086C</t>
  </si>
  <si>
    <t>V10086B</t>
  </si>
  <si>
    <t>V10086A</t>
  </si>
  <si>
    <t>10026304</t>
  </si>
  <si>
    <t>Công ty trách nhiệm hữu hạn RGF HR Agent Việt Nam</t>
  </si>
  <si>
    <t>0311046543</t>
  </si>
  <si>
    <t>Số 17, Đường Lê Duẩn, Phường Bến Nghé, Quận 1, TP Hồ Chí Minh</t>
  </si>
  <si>
    <t>V10437C</t>
  </si>
  <si>
    <t>phường 15,  Số 268, đường Tô Hiến Thành, quận 10 thành phố Hồ Chí Minh</t>
  </si>
  <si>
    <t>V10293C</t>
  </si>
  <si>
    <t>030-6-00-00-04654</t>
  </si>
  <si>
    <t>Ngân hàng TNHH một thành viên Public Việt Nam-CN Hồ Chí Minh</t>
  </si>
  <si>
    <t>48 Đường A4, Phường 12 Quận Tân Bình, Thành phố Hồ Chí Minh</t>
  </si>
  <si>
    <t>V10294C</t>
  </si>
  <si>
    <t>020-8-00-00-00266</t>
  </si>
  <si>
    <t>Public Bank Vietnam Limited</t>
  </si>
  <si>
    <t>0100113141</t>
  </si>
  <si>
    <t>Số 3, Phó đức chính, quận Ba đình, Hà nội</t>
  </si>
  <si>
    <t>V10322C</t>
  </si>
  <si>
    <t>80569719</t>
  </si>
  <si>
    <t>Số 3B Trần Khánh Dư, Phường Máy Tơ, Quận Ngô Quyền, TP Hải Phòng</t>
  </si>
  <si>
    <t>V10374C</t>
  </si>
  <si>
    <t>2541100155007</t>
  </si>
  <si>
    <t>Ngân hàng TMCP Quân Đội - CN Hải Phòng</t>
  </si>
  <si>
    <t>031 8605188</t>
  </si>
  <si>
    <t>Công ty TNHH Quảng cáo - In ấn - Trang trí nội ngoại thất Hoa Việt</t>
  </si>
  <si>
    <t>0200964160</t>
  </si>
  <si>
    <t>Số 23/70/11 Đông Khê, quận Ngô Quyền HP</t>
  </si>
  <si>
    <t>V10066C</t>
  </si>
  <si>
    <t>V10066B</t>
  </si>
  <si>
    <t>V10066A</t>
  </si>
  <si>
    <t>0351370797044</t>
  </si>
  <si>
    <t>Vietcombank / Bắc Ninh</t>
  </si>
  <si>
    <t>02223765057</t>
  </si>
  <si>
    <t>Số 7, đường 3a, khu công nghiệp, đô thị và dịch vụ VSIP Bắc Ninh, phường Phù Chẩn, TP Từ Sơn, TỈnh Bắc Ninh, Việt Nam</t>
  </si>
  <si>
    <t>V10353C</t>
  </si>
  <si>
    <t>012704060002177</t>
  </si>
  <si>
    <t>VIB Bank - CN Hồng bàng</t>
  </si>
  <si>
    <t>031.3778645</t>
  </si>
  <si>
    <t>0200490584</t>
  </si>
  <si>
    <t>Số 29/232 Trường Chinh, Kiến An, Hải Phòng</t>
  </si>
  <si>
    <t>V10204C</t>
  </si>
  <si>
    <t>V10204B</t>
  </si>
  <si>
    <t>V10204A</t>
  </si>
  <si>
    <t>113000173025</t>
  </si>
  <si>
    <t>Vietin bank / Lê Chân</t>
  </si>
  <si>
    <t>Số 4/30, Tổ 15, Phường Lãm Hà, Quận Kiến An, Thành phố Hải Phòng</t>
  </si>
  <si>
    <t>V10386C</t>
  </si>
  <si>
    <t>049 100 147 4862</t>
  </si>
  <si>
    <t>NH TMCP Ngoại Thương VN - CN Thăng Long</t>
  </si>
  <si>
    <t>04 3754 5222</t>
  </si>
  <si>
    <t>0101300842</t>
  </si>
  <si>
    <t>99B Tổ 70, Hồ Quỳnh, P.Thanh Nhàn, Q.Hai Bà Trưng, TP.Hà Nội</t>
  </si>
  <si>
    <t>V10007C</t>
  </si>
  <si>
    <t>V10007B</t>
  </si>
  <si>
    <t>V10007A</t>
  </si>
  <si>
    <t>787686888</t>
  </si>
  <si>
    <t>Ngân hàng thương mại cổ phần Á Châu-Chi nhánh Hải Phòng</t>
  </si>
  <si>
    <t>Số 45 Bến Láng,  Phường Đằng Lâm, Quận Hải Anh, Thành phố Hải Phòng, Việt Nam</t>
  </si>
  <si>
    <t>V10654C</t>
  </si>
  <si>
    <t>0202115839</t>
  </si>
  <si>
    <t>Số 32C/10/1041 Tôn Đức Thắng, Phường Sở Dầu, Quận Hồng Bàng, Thành phố Hải Phòng, Việt Nam</t>
  </si>
  <si>
    <t>V10639B</t>
  </si>
  <si>
    <t>Số 32C/10/1041 Tôn Đức Thắng, Phường Sở Dầu, Quận Hồng Bàng Thành phố Hải Phòng, Việt Nam</t>
  </si>
  <si>
    <t>V10639C</t>
  </si>
  <si>
    <t>10028801</t>
  </si>
  <si>
    <t>Sumitomo Mitsui Banking Corporation - Hanoi branch</t>
  </si>
  <si>
    <t>04.3767.2857</t>
  </si>
  <si>
    <t>Công ty TNHH OSG Việt Nam</t>
  </si>
  <si>
    <t>0102981520</t>
  </si>
  <si>
    <t>Tầng 3-561 Kim Mã, P.Ngọc Khánh, Q.Ba Đình, Hà Nội</t>
  </si>
  <si>
    <t>V10104C</t>
  </si>
  <si>
    <t>V10104B</t>
  </si>
  <si>
    <t>V10104A</t>
  </si>
  <si>
    <t>H15-795-005706</t>
  </si>
  <si>
    <t>Mizuho chi nhánh Hà Nội</t>
  </si>
  <si>
    <t>0102597963</t>
  </si>
  <si>
    <t>Thửa đất số 118, Cụm công nghiệp thị trấn Phùng, thị trấn Phùng, Huyện Đan Phượng, Thành phố Hà Nội, Việt Nam</t>
  </si>
  <si>
    <t>V10020C</t>
  </si>
  <si>
    <t>V10020B</t>
  </si>
  <si>
    <t>V10020A</t>
  </si>
  <si>
    <t>F15-795-001639</t>
  </si>
  <si>
    <t>Mizuho Corporate Bank, Ltd - CN thành phố Hà Nội</t>
  </si>
  <si>
    <t>0313 743020</t>
  </si>
  <si>
    <t>0200575693</t>
  </si>
  <si>
    <t>Lô B1/2/7/8, Khu công nghiệp Nomura Hải Phòng, huyện An Dương, thành phố Hải Phòng, Việt Nam</t>
  </si>
  <si>
    <t>V10115C</t>
  </si>
  <si>
    <t>V10115B</t>
  </si>
  <si>
    <t>V10115A</t>
  </si>
  <si>
    <t>1040799004</t>
  </si>
  <si>
    <t>HSBC bank (Vietnam) LTD</t>
  </si>
  <si>
    <t>Tầng 3, mPlaza Saigon, số 39, Lê Duẩn, P.Bến Nghé, Q1, TP.HCM</t>
  </si>
  <si>
    <t>V10669C</t>
  </si>
  <si>
    <t>003 100 0002997</t>
  </si>
  <si>
    <t>TMCP ngoại thương Việt Nam - CN Hải phòng</t>
  </si>
  <si>
    <t>031. 3837284</t>
  </si>
  <si>
    <t>0200108314</t>
  </si>
  <si>
    <t>174 Lê Lai, P.Máy chai, Q.Ngô quyền, Hải phòng</t>
  </si>
  <si>
    <t>V10200B</t>
  </si>
  <si>
    <t>V10200A</t>
  </si>
  <si>
    <t>V10200C</t>
  </si>
  <si>
    <t>163967329</t>
  </si>
  <si>
    <t>ACB - PGD Trần Duy Hưng</t>
  </si>
  <si>
    <t>(04) 3773 9970</t>
  </si>
  <si>
    <t>0106200030</t>
  </si>
  <si>
    <t>Số nhà 14, ngõ 28, phố Nguyên Hồng, phường Láng Hạ, quận Đống Đa, thành phố Hà Nội</t>
  </si>
  <si>
    <t>V10056C</t>
  </si>
  <si>
    <t>V10056B</t>
  </si>
  <si>
    <t>V10056A</t>
  </si>
  <si>
    <t>10090401</t>
  </si>
  <si>
    <t>Sumitomo Mitsui Banking Corporation-Hanoi Branch</t>
  </si>
  <si>
    <t>0108235991</t>
  </si>
  <si>
    <t>Tầng 29, tháp Đông-Lotte Center Hà Nôi, số 54, đường Liễu Giai, phường Cống Vị, Quận Ba Đình, TP Hà Nội</t>
  </si>
  <si>
    <t>V10477C</t>
  </si>
  <si>
    <t>1039505185</t>
  </si>
  <si>
    <t>Vietcombank-Hải Phòng</t>
  </si>
  <si>
    <t>0202207906</t>
  </si>
  <si>
    <t>Phòng 802B, tầng 8, TD Business Center,Lô 20 đường Lê Hồng Phong,P. Đông Khê,Q. Ngô Quyền,thành phố Hải Phòng, Việt Nam</t>
  </si>
  <si>
    <t>V10710C</t>
  </si>
  <si>
    <t>0031000184980</t>
  </si>
  <si>
    <t>0201380111</t>
  </si>
  <si>
    <t>Khu E, tầng 7, số 12 Trần Phú, quận Ngô Quyền, thành phố Hải Phòng, Việt Nam</t>
  </si>
  <si>
    <t>V4052C0</t>
  </si>
  <si>
    <t>V4052B0</t>
  </si>
  <si>
    <t>V4052A0</t>
  </si>
  <si>
    <t>V10206C</t>
  </si>
  <si>
    <t>V10206B</t>
  </si>
  <si>
    <t>V10206A</t>
  </si>
  <si>
    <t>10072902</t>
  </si>
  <si>
    <t>Sumitomo Mitsui banking corporation - CN Hồ Chí Minh</t>
  </si>
  <si>
    <t>12A, The Galleria building. 258 Nam Kỳ Khởi Nghĩa, Phường Võ Thị Sáu, Quận 3, Thành phố Hồ Chí Minh, Việt Nam</t>
  </si>
  <si>
    <t>V10345C</t>
  </si>
  <si>
    <t>V10345B</t>
  </si>
  <si>
    <t>F15-795-009213 (USD) / H15-795-009221 (VND)</t>
  </si>
  <si>
    <t>MIZUHO BANK , LTD - Hà Nội</t>
  </si>
  <si>
    <t>0437917194</t>
  </si>
  <si>
    <t>Phòng 12-K, Tầng 12, Center Building, Hapulico Complex, Số 1 Nguyễn Huy Tưởng, phường Thanh Xuân Trung,quận Thanh Xuân, thành ph</t>
  </si>
  <si>
    <t>V10357C</t>
  </si>
  <si>
    <t>233 561 59</t>
  </si>
  <si>
    <t>0200519875</t>
  </si>
  <si>
    <t>Số 2B Bạch Đằng, phường Hạ Lý, quận Hồng Bàng, TP Hải Phòng</t>
  </si>
  <si>
    <t>0071004085568</t>
  </si>
  <si>
    <t>Ngân hàng Ngoại thương Việt Nam (Vietcombank)-Chi nhánh TP. Hồ Chí Minh</t>
  </si>
  <si>
    <t>6 Đường số 1,  Kdc Cityland, phường 7, quận Gò Vấp, Thành phố Hồ Chí Minh</t>
  </si>
  <si>
    <t>V10651C</t>
  </si>
  <si>
    <t>3338888798888</t>
  </si>
  <si>
    <t>Ngân hàng TMCP Quân Đội-Chi nhánh Hải Dương</t>
  </si>
  <si>
    <t>Số 44/29 Phạm Văn Đồng,  Phường Thanh Bình, Thành phố Hải Dương, Tỉnh Hải Dương, Việt Nam</t>
  </si>
  <si>
    <t>V10668C</t>
  </si>
  <si>
    <t>1000333-1 (VND)</t>
  </si>
  <si>
    <t>Sumitomo Mitsui Banking Corporation - chi nhánh Hà Nội</t>
  </si>
  <si>
    <t>0101942800</t>
  </si>
  <si>
    <t>Tầng 12, 52 Lê Đại Hành,Phường Lê Đại Hành, Quận Hai Bà Trưng, Thành phố Hà Nội</t>
  </si>
  <si>
    <t>V10023C</t>
  </si>
  <si>
    <t>V10023B</t>
  </si>
  <si>
    <t>V10023A</t>
  </si>
  <si>
    <t>10923668222586</t>
  </si>
  <si>
    <t>Ngân hàng TMCP kỹ thương Việt Nam-chi nhánh Hải Phòng</t>
  </si>
  <si>
    <t>Lô CN2.2B, khu công nghiệp Đình Vũ, thuộc khu kinh tế Đình Vũ - Cát Hải, Phường Đông Hải 2, Quận Hải An, Thành phố Hải Phòng</t>
  </si>
  <si>
    <t>V10621C</t>
  </si>
  <si>
    <t>Ngân hàng TMCP Kỹ thương Việt Nam-Chi nhánh Hải Phòng</t>
  </si>
  <si>
    <t>Lô CN2.2B, khu công nghiệp Đình Vũ,thuộc khu kinh tế Đình Vũ-Cát Hải,Phường Đông Hải 2, Quận Hải An, Hải Phòng, Việt Nam</t>
  </si>
  <si>
    <t>V10621B</t>
  </si>
  <si>
    <t>H15-796-511414</t>
  </si>
  <si>
    <t>Mizuho Bank, Ltd-Chi nhánh Tp. HCM</t>
  </si>
  <si>
    <t>Lầu 5, tòa nhà Phượng Long, số 506 Nguyễn Đình Chiểu, phường 4, quận 3, tp. Hồ Chí Minh</t>
  </si>
  <si>
    <t>V10588C</t>
  </si>
  <si>
    <t>10086501</t>
  </si>
  <si>
    <t>Ngân hàng Sumitomo Mitsui Banking Corporation</t>
  </si>
  <si>
    <t>TT2.17 Khu Đô Thị Mới Cổ Nhuế, Phường Cổ Nhuế 1, Quận Bắc Từ Liêm, Thành phố Hà Nội, Việt Nam</t>
  </si>
  <si>
    <t>V10666C</t>
  </si>
  <si>
    <t>110000075083</t>
  </si>
  <si>
    <t>Ngân hàng TMCP Công Thương Việt Nam-Chi nhánh Hải Dương</t>
  </si>
  <si>
    <t>Công ty TNHH Một thành viên truyền thông và tổ chức sự kiện Perfect Media</t>
  </si>
  <si>
    <t>Số nhà 57 phố Đào Đạo, phường Bình Hàn, Thành phố Hải Dương, tỉnh Hải Dương, Việt Nam</t>
  </si>
  <si>
    <t>V10496C</t>
  </si>
  <si>
    <t>Công ty TNHH MTV truyền thông và tổ chức sự kiện Perfect Media</t>
  </si>
  <si>
    <t>V10496B</t>
  </si>
  <si>
    <t>060021688366</t>
  </si>
  <si>
    <t>Ngân hàng Sacombank - Chi nhánh Phan Xích Long</t>
  </si>
  <si>
    <t>Lầu 3 tòa nhà Thảo Nguyên, 47 Bà Huyện Thanh Quan, P.6, Q3, TPHCM</t>
  </si>
  <si>
    <t>V10433C</t>
  </si>
  <si>
    <t>Công ty TNHH MTV Thương mại kỹ thuật MATCO Á Châu Việt Nam</t>
  </si>
  <si>
    <t>3411229</t>
  </si>
  <si>
    <t>Ngân hàng TMCP Á Châu-CN Hải Phòng</t>
  </si>
  <si>
    <t>0313 831 337/368</t>
  </si>
  <si>
    <t>Công ty TNHH một thành viên thiết bị văn phòng Thanh Ngọc</t>
  </si>
  <si>
    <t>0200412177</t>
  </si>
  <si>
    <t>Số 273 Phan Bội Châu, Phường Phan Bội Châu, Quận Hồng Bàng,Thành phố Hải Phòng</t>
  </si>
  <si>
    <t>V10002C</t>
  </si>
  <si>
    <t>V10002B</t>
  </si>
  <si>
    <t>V10002A</t>
  </si>
  <si>
    <t>2112201022230</t>
  </si>
  <si>
    <t>Ngân hàng nông nghiệp và phát triển nông thôn Việt Nam - CN Đông Hải Phòng</t>
  </si>
  <si>
    <t>Công ty TNHH MTV môi trường đô thị Hải Phòng</t>
  </si>
  <si>
    <t>Số 1 Lý Tự Trọng, Minh Khai. Hồng Bàng, Hải Phòng</t>
  </si>
  <si>
    <t>0381000359568</t>
  </si>
  <si>
    <t>Vietcombank - CN Thủ Đức, PGD Bình Thọ,Tp HCM</t>
  </si>
  <si>
    <t>0311586524</t>
  </si>
  <si>
    <t>Phòng 201, Lầu 2, tòa nhà văn phòng Sacom-chíp Sáng (BCIS), Lô T2-4, Đường D1, Khu công nghệ cao quận 9, TP.HCM</t>
  </si>
  <si>
    <t>V10150C</t>
  </si>
  <si>
    <t>V10150B</t>
  </si>
  <si>
    <t>V10150A</t>
  </si>
  <si>
    <t>0031002016688</t>
  </si>
  <si>
    <t>Ngân hàng TMCP Công thương Việt Nam - CN Hải Phòng</t>
  </si>
  <si>
    <t>031.2210206</t>
  </si>
  <si>
    <t>0200340211</t>
  </si>
  <si>
    <t>Số 9 Trần Hưng Đạo - Quận Hồng Bàng - TP. Hải Phòng</t>
  </si>
  <si>
    <t>V10184C</t>
  </si>
  <si>
    <t>V10184B</t>
  </si>
  <si>
    <t>NH TMCP ngoại thương Việt Nam - CN Hải phòng</t>
  </si>
  <si>
    <t>V10184A</t>
  </si>
  <si>
    <t>02101010066661</t>
  </si>
  <si>
    <t>Ngân hàng Hàng Hải VN, CN Hồng Bàng, HP</t>
  </si>
  <si>
    <t>Công ty TNHH Một thành viên Dịch vụ và Du lịch biển đảo Hải Thành</t>
  </si>
  <si>
    <t>Số 27C Điện Biên Phủ, Phường Minh Khai, Quận Hồng Bàng, Hải Phòng</t>
  </si>
  <si>
    <t>V10545C</t>
  </si>
  <si>
    <t>32310000116399</t>
  </si>
  <si>
    <t>Đầu tư Đông Hải Phòng</t>
  </si>
  <si>
    <t>Công ty TNHH MTV Dầu Khí Hải Linh</t>
  </si>
  <si>
    <t>Đầm mắm 2, Hải An, Hải Phòng</t>
  </si>
  <si>
    <t>V4026C0</t>
  </si>
  <si>
    <t>19135663036010</t>
  </si>
  <si>
    <t>Ngân hàng Techcombank-Chi nhánh Hải Phòng</t>
  </si>
  <si>
    <t>Số 23 lô 100 đường Bình Kiều 2,phường Đông Hải 2Quận Hải AnThành phố Hải Phòng</t>
  </si>
  <si>
    <t>V10636C</t>
  </si>
  <si>
    <t>3639 VND ORD 145629</t>
  </si>
  <si>
    <t>MUFG Bank.,  Hanoi Branch</t>
  </si>
  <si>
    <t>Công ty TNHH Một Thành Viên Asahi Tec Việt Nam</t>
  </si>
  <si>
    <t>Phòng 208A, Tòa nhà V-Tower, Số  649 Kim Mã, Phường Ngọc Khánh, Quận Ba Đình, Hà Nội, Việt Nam</t>
  </si>
  <si>
    <t>V10448C</t>
  </si>
  <si>
    <t>33 555 68 68 68</t>
  </si>
  <si>
    <t>Ngân hàng thương mại cổ phần Á Châu (ACB)-Chi nhánh Châu Văn Liêm</t>
  </si>
  <si>
    <t>0305005588</t>
  </si>
  <si>
    <t>Tầng 3 Tòa nhà Thanh Long, 456 Xô Viết Nghệ Tĩnh, Phường 25, Quận Bình Thạnh, Thành phố Hồ Chí Minh, Việt Nam</t>
  </si>
  <si>
    <t>V10692C</t>
  </si>
  <si>
    <t>32110000000911</t>
  </si>
  <si>
    <t>Ngân hàng TMCP Đầu tư và phát triển Việt Nam - CN Hải Phòng</t>
  </si>
  <si>
    <t>Công ty TNHH MTV Thoát nước Hải Phòng</t>
  </si>
  <si>
    <t>Số 1 Lý Tự Trọng - P.Minh Khai, Q. Hồng Bàng, TP Hải Phòng</t>
  </si>
  <si>
    <t>V10368C</t>
  </si>
  <si>
    <t>90889119</t>
  </si>
  <si>
    <t>Á Châu - PGD Quán Toan</t>
  </si>
  <si>
    <t>0313.749369</t>
  </si>
  <si>
    <t>0201114021</t>
  </si>
  <si>
    <t>Số 761 đường 5/5, phường Hùng Vương, quận Hồng Bàng, Hải Phòng</t>
  </si>
  <si>
    <t>V10199C</t>
  </si>
  <si>
    <t>V10199B</t>
  </si>
  <si>
    <t>V10199A</t>
  </si>
  <si>
    <t>012704060017161</t>
  </si>
  <si>
    <t>VIB - Hồng Bàng - Hải Phòng</t>
  </si>
  <si>
    <t>031.3522515</t>
  </si>
  <si>
    <t>0201012492</t>
  </si>
  <si>
    <t>Số 15A, Tổ 6, Đường 5/3, Hùng Vương, Q. Hồng Bàng, TP.Hải Phòng</t>
  </si>
  <si>
    <t>V10106C</t>
  </si>
  <si>
    <t>V10106B</t>
  </si>
  <si>
    <t>V10106A</t>
  </si>
  <si>
    <t>1001783943</t>
  </si>
  <si>
    <t>Ngân hàng TMCP Sài Gòn-Hà Nội</t>
  </si>
  <si>
    <t>+84-593-845-553</t>
  </si>
  <si>
    <t>01 Nguyễn Thị Minh Khai, Thị Trấn Phú Hòa, huyện Chư Păh, tỉnh Gia Lai, Việt Nam</t>
  </si>
  <si>
    <t>V10316A</t>
  </si>
  <si>
    <t>10083901</t>
  </si>
  <si>
    <t>Sumitomo Mitsui Banking Corporation-Ha Noi branch</t>
  </si>
  <si>
    <t>0201807202</t>
  </si>
  <si>
    <t>Lô CN2.10 KCN MP Đình Vũ,Khu nhà cho thuê của công ty CP đối tác Thái Bình Dương,P.Đông Hải 2, Q.Hải An,TP.Hải Phòng,VN</t>
  </si>
  <si>
    <t>CG440054C0</t>
  </si>
  <si>
    <t>V10708C</t>
  </si>
  <si>
    <t>0071000718210</t>
  </si>
  <si>
    <t>Ngân hàng Vietcombank-CN HCM</t>
  </si>
  <si>
    <t>Tòa nhà Vincom Center, số 72  Lê Thánh Tôn, Phường Bến Nghé, Quận 1, TP HCM</t>
  </si>
  <si>
    <t>V10406C</t>
  </si>
  <si>
    <t>112002620808</t>
  </si>
  <si>
    <t>Ngân hàng TMCP công thương Việt Nam-CN Quang Minh</t>
  </si>
  <si>
    <t>02223611555</t>
  </si>
  <si>
    <t>Lô số 15, đường TS11, khu công nghiệp Tiên Sơn, Xã Hoàn Sơn,Huyện Tiên Du,Tỉnh Bắc Ninh,</t>
  </si>
  <si>
    <t>V10363C</t>
  </si>
  <si>
    <t>Lô số 15, đường TS 11,khu công nghiệp Tiên Sơn, xã Hoàn Sơn,huyện Tiên Du,tỉnh Bắc Ninh, Việt Nam</t>
  </si>
  <si>
    <t>V10363B</t>
  </si>
  <si>
    <t>19135475609011</t>
  </si>
  <si>
    <t>Ngân hàng TMCP Kỹ thương Việt Nam-Chi nhánh Ba Đình</t>
  </si>
  <si>
    <t>Số 17 ngõ 371 đường La Thành, phường Ô Chợ Dừa, quận Đống Đa, thành phố Hà Nội, Việt Nam</t>
  </si>
  <si>
    <t>V10558C</t>
  </si>
  <si>
    <t>2581124666888</t>
  </si>
  <si>
    <t>Ngân hàng TMCP Quân đội-PGD Kiến An-Hải Phòng</t>
  </si>
  <si>
    <t>Số 447 Quán Rẽ-xã Mỹ Đức-huyện An Lão-Tp Hải Phòng</t>
  </si>
  <si>
    <t>V10321C</t>
  </si>
  <si>
    <t>Nhà xưởng X2, khu nhà xưởng cho thuê Hải Thành, P. Hải Thành, Q. Dương Kinh, Hải Phòng</t>
  </si>
  <si>
    <t>CG440032C0</t>
  </si>
  <si>
    <t>003 100 015 930 2</t>
  </si>
  <si>
    <t>0201285203</t>
  </si>
  <si>
    <t>Nhà xưởng X2, Khu nhà xưởng cho thuê Hải Thành, P.Hải Thành, Q.Dương Kinh, TP Hải Phòng</t>
  </si>
  <si>
    <t>V10064C</t>
  </si>
  <si>
    <t>V10064B</t>
  </si>
  <si>
    <t>V10064A</t>
  </si>
  <si>
    <t>260-10-00-014755-9</t>
  </si>
  <si>
    <t>Ngân hàng TMCP Đầu tư và phát triển Việt Nam - CN Tây Hà nội</t>
  </si>
  <si>
    <t>0105791158</t>
  </si>
  <si>
    <t>Số 26, ngõ Nguyễn Đồng Chi, P.Cầu diễn, Q.Nam Từ Liêm, Hà nội</t>
  </si>
  <si>
    <t>V10275C</t>
  </si>
  <si>
    <t>19199639</t>
  </si>
  <si>
    <t>TMCP Á Châu ( ACB) - CN Sài Gòn</t>
  </si>
  <si>
    <t>(08) 3728 2888</t>
  </si>
  <si>
    <t>0304362604</t>
  </si>
  <si>
    <t>22 Đường C1, Phường 13, Quận Tân Bình, Thành phố Hồ Chí Minh</t>
  </si>
  <si>
    <t>V10094C</t>
  </si>
  <si>
    <t>V10094B</t>
  </si>
  <si>
    <t>V10094A</t>
  </si>
  <si>
    <t>0011001320391</t>
  </si>
  <si>
    <t>TMCP Ngoại Thương Việt Nam - Sở giao dịch</t>
  </si>
  <si>
    <t>04.35376155</t>
  </si>
  <si>
    <t>0101718774</t>
  </si>
  <si>
    <t>Lô B, tổ 102, Hoàng Cầu, Phường Ô Chợ Dừa, quận Đống Đa, TP Hà Nội</t>
  </si>
  <si>
    <t>V10215C</t>
  </si>
  <si>
    <t>V10215B</t>
  </si>
  <si>
    <t>V10215A</t>
  </si>
  <si>
    <t>050 100 006 7914</t>
  </si>
  <si>
    <t>Vietcombank / Bắc Sài gòn</t>
  </si>
  <si>
    <t>0935 135 896</t>
  </si>
  <si>
    <t>73/2 đường Tân Thới Hiệp 22, P. Tân Thới Hiệp, Q. 12, Tp. Hồ Chí Minh, Việt Nam</t>
  </si>
  <si>
    <t>V10358C</t>
  </si>
  <si>
    <t>2087040104376</t>
  </si>
  <si>
    <t>PG Bank Hải Phòng</t>
  </si>
  <si>
    <t>(031)3 727 666</t>
  </si>
  <si>
    <t>0200425426</t>
  </si>
  <si>
    <t>Đường 14 cũ, KDC Phú Hải, Anh Dũng, Dương Kinh, Hải Phòng</t>
  </si>
  <si>
    <t>CG440017C0</t>
  </si>
  <si>
    <t>001-088400-001</t>
  </si>
  <si>
    <t>Ngân hàng TNHH một Thành viên HSBC (Việt Nam)</t>
  </si>
  <si>
    <t>Số 54-56 Nguyễn Trãi, phường Bến Thành, Quận 1, Thành phố Hồ Chí Minh, Việt Nam</t>
  </si>
  <si>
    <t>V10561C</t>
  </si>
  <si>
    <t>0611001927382</t>
  </si>
  <si>
    <t>Vietcombank - CN Ba Đình</t>
  </si>
  <si>
    <t>043-724-6985</t>
  </si>
  <si>
    <t>Phòng 407, Tầng 4, Tòa nhà DMC, Số 535 Kim Mã, Phường Ngọc Khánh, Quận Ba Đình, Hà Nội</t>
  </si>
  <si>
    <t>V10310C</t>
  </si>
  <si>
    <t>0818-101401-401</t>
  </si>
  <si>
    <t>Ngân hàng Bangkok Đại Chúng Trách Nhiệm hữu hạn-CN TP. HCM</t>
  </si>
  <si>
    <t>Công ty TNHH M.J. Việt Nam</t>
  </si>
  <si>
    <t>3E/16 Phổ Quang, phường 2, quận Tân Bình, TP Hồ Chí Minh</t>
  </si>
  <si>
    <t>V10544C</t>
  </si>
  <si>
    <t>157463799</t>
  </si>
  <si>
    <t>Ngân hàng TMCP Á Châu - CN Hải phòng</t>
  </si>
  <si>
    <t>0201269353</t>
  </si>
  <si>
    <t>Số 10, Lô 18Đ, ngã 5 sân bay Cát bi, P.Đằng Lâm,Q.Hải An, Hải phòng</t>
  </si>
  <si>
    <t>V10335C</t>
  </si>
  <si>
    <t>H15-796-516600</t>
  </si>
  <si>
    <t>Mizuho Bank, Ltd - CN HCM</t>
  </si>
  <si>
    <t>(08) 3547 1383</t>
  </si>
  <si>
    <t>CÔNG TY TNHH LOGISTEED VIỆT NAM</t>
  </si>
  <si>
    <t>0311333675</t>
  </si>
  <si>
    <t>Số 20, Sông Thao, Phường 2, Quận Tân Bình, Thành phố Hồ Chí Minh, Việt Nam</t>
  </si>
  <si>
    <t>V10309C</t>
  </si>
  <si>
    <t>V10309B</t>
  </si>
  <si>
    <t>V4127C0</t>
  </si>
  <si>
    <t>V4127B0</t>
  </si>
  <si>
    <t>V4127A0</t>
  </si>
  <si>
    <t>Ngân hàng TMCP ngoại thương Việt Nam-chi nhánh Tân Bình</t>
  </si>
  <si>
    <t>0313090844</t>
  </si>
  <si>
    <t>Phòng 6.7C, Tầng 6, Tòa nhà E.Town 2, số 364, đường Cộng Hòa, Phường 13, Quận Tân Bình, Thành phố Hồ Chí Minh, Việt Nam</t>
  </si>
  <si>
    <t>V10281B</t>
  </si>
  <si>
    <t>V10281C</t>
  </si>
  <si>
    <t>4417040212884</t>
  </si>
  <si>
    <t>Ngân hàng TMCP Xăng dầu Petrolimex (PG Bank)-Chi nhánh Sài Gòn</t>
  </si>
  <si>
    <t>Công ty TNHH Liên Doanh Oval Việt Nam</t>
  </si>
  <si>
    <t>0200690872</t>
  </si>
  <si>
    <t>Số 70, đường B2, Phường An Lợi Đông, Thành phố Thủ Đức, Thành phố Hồ Chí Minh, Việt Nam</t>
  </si>
  <si>
    <t>V10706C</t>
  </si>
  <si>
    <t>TMCP Xăng dầu Petrolimex, CN Sài Gòn</t>
  </si>
  <si>
    <t>08 3997 7644</t>
  </si>
  <si>
    <t>0305098374</t>
  </si>
  <si>
    <t>Số 106, Đường Nguyễn Văn Trỗi, phường 8, quận Phú Nhuận, TP.Hồ Chí Minh (Tòa nhà Centre Point)</t>
  </si>
  <si>
    <t>V10162C</t>
  </si>
  <si>
    <t>V10162B</t>
  </si>
  <si>
    <t>V10162A</t>
  </si>
  <si>
    <t>Công ty TNHH Kyudenko Việt Nam</t>
  </si>
  <si>
    <t>37 Tôn Đức Thắng, Bến Nghé, Quận 1, Hồ Chí Minh</t>
  </si>
  <si>
    <t>CG440018C0</t>
  </si>
  <si>
    <t>343196</t>
  </si>
  <si>
    <t>MUFG Bank, Ltd - CN TP Hochiminh</t>
  </si>
  <si>
    <t>+84-8-3911-0460</t>
  </si>
  <si>
    <t>0311996464</t>
  </si>
  <si>
    <t>170 Trần Quang Khải, Phường Tân Định, Quận 1, TP Hồ Chí Minh, Việt Nam</t>
  </si>
  <si>
    <t>V10181A</t>
  </si>
  <si>
    <t>V10181C</t>
  </si>
  <si>
    <t>V10181B</t>
  </si>
  <si>
    <t>0181003493109</t>
  </si>
  <si>
    <t>Ngân hàng Vietcombank - CN Nam Sài Gòn</t>
  </si>
  <si>
    <t>083 785 0682</t>
  </si>
  <si>
    <t>02837850627</t>
  </si>
  <si>
    <t>Số 10, Lô K, Đường Hoàng Quốc Việt, Khu dân cư Phú Mỹ, Phường Phú Mỹ, Quận 7, Thành phố Hồ Chí Minh</t>
  </si>
  <si>
    <t>V10473C</t>
  </si>
  <si>
    <t>08 38165395</t>
  </si>
  <si>
    <t>0302733959</t>
  </si>
  <si>
    <t>L4 Tòa nhà Vạn Đạt Lô II-1. Đường số 8, KCN Tân Bình, P.Tây Thạnh, Q.Tân Phú, TP.HCM</t>
  </si>
  <si>
    <t>V10139C</t>
  </si>
  <si>
    <t>V10139B</t>
  </si>
  <si>
    <t>V10139A</t>
  </si>
  <si>
    <t>2112201020365</t>
  </si>
  <si>
    <t>NH Nông nghiệp-CN Lê Chân - PGD Trần Nguyên Hãn - Hải Phòng</t>
  </si>
  <si>
    <t>0313 870 896</t>
  </si>
  <si>
    <t>0201269392</t>
  </si>
  <si>
    <t>Số 711 đường Thiên Lôi - Phường Vĩnh Niệm - Quận Lê Chân - Hải Phòng</t>
  </si>
  <si>
    <t>V10035C</t>
  </si>
  <si>
    <t>V10035B</t>
  </si>
  <si>
    <t>NH Nông nghiệp- CN Lê Chân - PGD Trần Nguyên Hãn - Hải Phòng</t>
  </si>
  <si>
    <t>V10035A</t>
  </si>
  <si>
    <t>0071000880140</t>
  </si>
  <si>
    <t>Ngân hàng TMCP Ngoại Thương Việt Nam</t>
  </si>
  <si>
    <t>312720807</t>
  </si>
  <si>
    <t>213/52/21 Đường Quang Trung, Phường 10, Quận Gò Vấp,TP.HCM</t>
  </si>
  <si>
    <t>V10447C</t>
  </si>
  <si>
    <t>139853969</t>
  </si>
  <si>
    <t>Ngân hàng ACB-CN Cộng Hòa-HCM</t>
  </si>
  <si>
    <t>Số 5.12 Khu Officetel Tòa nhà Garden Gate,Số 8 đường Hoàng Minh Giám,Phường 9, Quận Phú Nhuận,Thành phố Hồ Chí Minh, Việt Nam</t>
  </si>
  <si>
    <t>V10662C</t>
  </si>
  <si>
    <t>020014115995</t>
  </si>
  <si>
    <t>Sai Gon Thuong Tin Bank/ CN Đống Đa, Hà Nội</t>
  </si>
  <si>
    <t>CÔNG TY TNHH KỸ THUẬT NAM HẢI</t>
  </si>
  <si>
    <t>Số C28 khu Sông Đà 2, đường Vạn Phúc, Phường Vạn Phúc,Quận Hà Đông, Thành phố Hà Nội</t>
  </si>
  <si>
    <t>V10394C</t>
  </si>
  <si>
    <t>Hưng Yên</t>
  </si>
  <si>
    <t>114002628031</t>
  </si>
  <si>
    <t>Ngân hàng TMCP Công thương Việt Nam-Chi nhánh Bắc Hưng Yên</t>
  </si>
  <si>
    <t>Số 632, Thôn Bến, Xã Phụng Công, Huyện Văn Giang, Tỉnh Hưng Yên, Việt Nam</t>
  </si>
  <si>
    <t>V10633C</t>
  </si>
  <si>
    <t>03401010583922</t>
  </si>
  <si>
    <t>Ngân hàng TMCP Hàng Hải Việt Nam-Chi nhánh Nam Hà Nội</t>
  </si>
  <si>
    <t>Phòng 206 Nhà 5T2, Tập thể Khí tượng Thủy Văn,Phường Láng Thượng, Quận Đống Đa,Thành phố Hà Nội, Việt Nam</t>
  </si>
  <si>
    <t>V10665C</t>
  </si>
  <si>
    <t>99199432899</t>
  </si>
  <si>
    <t>Ngân hàng TNHH một thành viên Standard Chartered (Việt Nam)</t>
  </si>
  <si>
    <t>4/1B, đường Lương Định Của,phường An Khánh,thành phố Thủ Đức,thành phố Hồ Chí Minh, Việt Nam</t>
  </si>
  <si>
    <t>V10680B</t>
  </si>
  <si>
    <t>1606201030320</t>
  </si>
  <si>
    <t>Ngân hàng nông nghiệp và phát triển nông thôn-CN An Phú</t>
  </si>
  <si>
    <t>Số nhà 97/4, Trần Thị Cờ, khu phố 6, Phường Thới An, Quận 12, Thành phố Hồ Chí Minh Việt Nam.</t>
  </si>
  <si>
    <t>V10282C</t>
  </si>
  <si>
    <t>0011004144107</t>
  </si>
  <si>
    <t>Sở giao dịch-Ngân hàng TMCP Ngoại Thương Việt Nam</t>
  </si>
  <si>
    <t>0106312087</t>
  </si>
  <si>
    <t>Số 53 ngõ 121, đường Sài Đồng, P. Sài Đồng, Q. Long Biên, Tp. Hà Nội, Việt Nam</t>
  </si>
  <si>
    <t>V10153C</t>
  </si>
  <si>
    <t>V10153B</t>
  </si>
  <si>
    <t>V10153A</t>
  </si>
  <si>
    <t>0121000001147</t>
  </si>
  <si>
    <t>Ngân hàng TMCP ngoại thương Việt Nam-CN Đồng Nai-trụ sở CN</t>
  </si>
  <si>
    <t>Lầu 1 số 9/4 khu phố 5, phường Thống Nhất, thành phố Biên Hòa, tỉnh Đồng Nai</t>
  </si>
  <si>
    <t>V10583C</t>
  </si>
  <si>
    <t>700170406003018</t>
  </si>
  <si>
    <t>Ngân hàng TMCP Sài Gòn Công Thương-Chi nhánh Hà Nội</t>
  </si>
  <si>
    <t>Nhà A2, ngõ 164 đường Nguyễn Văn Cừ, phường Bồ Đề, quận Long Biên, TP Hà Nội</t>
  </si>
  <si>
    <t>V10625C</t>
  </si>
  <si>
    <t>17464259</t>
  </si>
  <si>
    <t>Thương mại cổ phần Á Châu - Chi nhánh Sài Gòn</t>
  </si>
  <si>
    <t>08.37415252/ 08.3715353</t>
  </si>
  <si>
    <t>0301591483</t>
  </si>
  <si>
    <t>161 Trần Não, Phường Bình An, Quận 2, TP Hồ Chí Minh</t>
  </si>
  <si>
    <t>V10109C</t>
  </si>
  <si>
    <t>V10109B</t>
  </si>
  <si>
    <t>V10109A</t>
  </si>
  <si>
    <t>18002781</t>
  </si>
  <si>
    <t>Sumitomo Mitsui Banking Corporation – CN Hồ Chí Minh</t>
  </si>
  <si>
    <t>Số 45, đường Võ Thị Sáu, Phường Đa Kao, Quận 1thành phố Hồ Chí Minh</t>
  </si>
  <si>
    <t>V10295C</t>
  </si>
  <si>
    <t>90191941501</t>
  </si>
  <si>
    <t>Ngân hàng TNHH MTV Standard Chartered (Việt Nam_</t>
  </si>
  <si>
    <t>Tòa nhà Vincom Center, số 72, đường Lê Thánh Tôn, phường Bến Nghé, Quận 1, Thành phố Hồ Chí Minh</t>
  </si>
  <si>
    <t>V10643C</t>
  </si>
  <si>
    <t>0181000014723</t>
  </si>
  <si>
    <t>NH TMCP ngoại thương Việt Nam-CN Thủ Đức</t>
  </si>
  <si>
    <t>Công ty TNHH Kubota Kasui Việt Nam</t>
  </si>
  <si>
    <t>3700347436</t>
  </si>
  <si>
    <t>số 3, đường 20,khu công nghiệp Sóng Thần 2,phường Dĩ An,Thị xã Dĩ An, tỉnh Bình Dương</t>
  </si>
  <si>
    <t>V10500C</t>
  </si>
  <si>
    <t>018.100.0014723</t>
  </si>
  <si>
    <t>Vietcombank / Thủ Đức, Hồ Chí Minh</t>
  </si>
  <si>
    <t>3790521</t>
  </si>
  <si>
    <t>Số 3 đường 20, Khu công nghiệp Sóng Thần 2, Phường Dĩ An, Thị xã Dĩ An, Tỉnh Bình Dương, Việt Nam</t>
  </si>
  <si>
    <t>V10330C</t>
  </si>
  <si>
    <t>102010000049625</t>
  </si>
  <si>
    <t>Ngân hàng TMCP Công Thương Việt Nam - CN Chương Dương-Hà Nội</t>
  </si>
  <si>
    <t>04.38771700</t>
  </si>
  <si>
    <t>0101129056</t>
  </si>
  <si>
    <t>Số 61, ngõ 53, phố Đức Giang, phường Đức Giang, quận Long Biên, Hà Nội</t>
  </si>
  <si>
    <t>V10055B</t>
  </si>
  <si>
    <t>V10055A</t>
  </si>
  <si>
    <t>V10055C</t>
  </si>
  <si>
    <t>0201000000113</t>
  </si>
  <si>
    <t>Public Bank Vietnam Limited-Hanoi Branch</t>
  </si>
  <si>
    <t>0100112042</t>
  </si>
  <si>
    <t>Tầng 46 tòa nhà Keangnam,Hanoi Landmark Tower,tòa nhà 72 tầng,lô E6,đường Phạm Hùng,KĐT mới Cầu Giấy, P.Mễ Trì,Q.Nam Từ Liêm,HN</t>
  </si>
  <si>
    <t>V10711C</t>
  </si>
  <si>
    <t>10047502</t>
  </si>
  <si>
    <t>Sumitomo Mitsui banking corporation / Hồ Chí Minh</t>
  </si>
  <si>
    <t>(84-8) 3821 3660</t>
  </si>
  <si>
    <t>Số 132, đường Hàm Nghi,   phường Bến Thành, Quận 1, thành phố Hồ Chí Minh</t>
  </si>
  <si>
    <t>V10334C</t>
  </si>
  <si>
    <t>0071002406766</t>
  </si>
  <si>
    <t>Vietcombank / Hồ Chí Minh</t>
  </si>
  <si>
    <t>08 38488 845</t>
  </si>
  <si>
    <t>51 Yên Thế, Phường 2, Quận Tân Bình, Thành Phố Hồ Chí Minh</t>
  </si>
  <si>
    <t>V10339C</t>
  </si>
  <si>
    <t>V10339B</t>
  </si>
  <si>
    <t>94468339</t>
  </si>
  <si>
    <t>TM CP Á Châu - CN Bến Thành</t>
  </si>
  <si>
    <t>0309875328</t>
  </si>
  <si>
    <t>56-58-60 Hai Bà Trưng, Phường Bến Nghé, Quận 1, TP. HCM</t>
  </si>
  <si>
    <t>V10053C</t>
  </si>
  <si>
    <t>V10053B</t>
  </si>
  <si>
    <t>Lầu 9, tòa nhà Bảo Việt, 233 Đồng Khởi, P.Bến Nghé,Q1, TP Hồ Chí Minh, Việt Nam</t>
  </si>
  <si>
    <t>CG460003C0</t>
  </si>
  <si>
    <t>V10053A</t>
  </si>
  <si>
    <t>9373597</t>
  </si>
  <si>
    <t>Ngân hàng TNHH MTV ANZ (Việt Nam)-CN TP Hồ Chí Minh</t>
  </si>
  <si>
    <t>04 6288 3568</t>
  </si>
  <si>
    <t>0100112500</t>
  </si>
  <si>
    <t>Tầng 15, Tòa nhà Vinaconex, số 34 Láng Hạ, Láng Hạ, Đống Đa, Hà nội</t>
  </si>
  <si>
    <t>Số 1P Minh Khai, phường Minh Khai, Quận Hồng Bàng, TP.Hải Phòng, Việt Nam</t>
  </si>
  <si>
    <t>V10466A</t>
  </si>
  <si>
    <t>V10466C</t>
  </si>
  <si>
    <t>Thị trấn An Dương,huyện An Dươngthành phố Hải Phòng, Việt Nam</t>
  </si>
  <si>
    <t>V10297C</t>
  </si>
  <si>
    <t>H15-795-014292 (VND)</t>
  </si>
  <si>
    <t>Mizuho Bank, LTD-Ha Noi branch</t>
  </si>
  <si>
    <t>04-3760-6201</t>
  </si>
  <si>
    <t>0106467242</t>
  </si>
  <si>
    <t>Tầng 27 và 28, Tháp 1, Tòa nhà Capital Place, Số 29 Đường Liễu Giai, Phường Ngọc Khánh, Quận Ba Đình, Thành phố Hà Nội, Việt Nam</t>
  </si>
  <si>
    <t>V10142C</t>
  </si>
  <si>
    <t>V10142B</t>
  </si>
  <si>
    <t>V10142A</t>
  </si>
  <si>
    <t>102010001479663</t>
  </si>
  <si>
    <t>TMCP Công Thương Việt Nam - CN Quang Trung</t>
  </si>
  <si>
    <t>04 33113209</t>
  </si>
  <si>
    <t>0105771497</t>
  </si>
  <si>
    <t>Nhà ở liền kề 6A, ô 12, Khu đô thị Làng Việt Kiều Châu Âu, phường Mộ Lao, Quận Hà Đông, Thành phố Hà Nội, Việt Nam</t>
  </si>
  <si>
    <t>V10158C</t>
  </si>
  <si>
    <t>V10158B</t>
  </si>
  <si>
    <t>V10158A</t>
  </si>
  <si>
    <t>1300386-1</t>
  </si>
  <si>
    <t>Sumitomo Mitsui Banking Corporation - Ha Noi Branch</t>
  </si>
  <si>
    <t>0904661828/84-4-38262001</t>
  </si>
  <si>
    <t>0100971460</t>
  </si>
  <si>
    <t>Tầng 15 Tòa nhà ICON4, 243A La Thành, Láng Hạ, Đống Đa, HN</t>
  </si>
  <si>
    <t>V10260B</t>
  </si>
  <si>
    <t>V10260A</t>
  </si>
  <si>
    <t>V10260C</t>
  </si>
  <si>
    <t>1007505-001</t>
  </si>
  <si>
    <t>INDOVINA - CN TP.HCM</t>
  </si>
  <si>
    <t>Tầng 5B 65 Lê Trung Nghĩa, Phường 12, Quận Tân Bình, TP.HCM</t>
  </si>
  <si>
    <t>V10090B</t>
  </si>
  <si>
    <t>V10090A</t>
  </si>
  <si>
    <t>V10090C</t>
  </si>
  <si>
    <t>041017</t>
  </si>
  <si>
    <t>Ngân hàng MUFG Bank, Ltd-Chi nhánh Hà Nội</t>
  </si>
  <si>
    <t>Công ty TNHH Kawata Machinery (Việt Nam)</t>
  </si>
  <si>
    <t>Tầng 7, Tòa nhà số 126 Phố Hoàng Ngân, Phường Trung Hòa, Quận Cầu Giấy, Thành phố Hà Nội, Việt Nam</t>
  </si>
  <si>
    <t>V10648C</t>
  </si>
  <si>
    <t>F15-795-015426</t>
  </si>
  <si>
    <t>MIZUHO CORPORATE BANK., LTD / Hà Nội, Hà Nội</t>
  </si>
  <si>
    <t>Công ty TNHH KASANAM</t>
  </si>
  <si>
    <t>Phòng 104, tầng 1, tòa nhà HITC, 239 Xuân Thủy, Phường Dịch Vọng Hâu, Quận Cầu Giấy, thành phố Hà Nội</t>
  </si>
  <si>
    <t>V10460A</t>
  </si>
  <si>
    <t>Lô I-6, Khu Công Nghiệp Thăng Long,   Huyện Đông Anh, Thành phố Hà Nội, Việt Nam</t>
  </si>
  <si>
    <t>V10280B</t>
  </si>
  <si>
    <t>Ngân hàng Mizuho-CN thành phố Hà Nội</t>
  </si>
  <si>
    <t>Lô I6-KCN Thăng Long-Đông Anh-Hà Nội</t>
  </si>
  <si>
    <t>V10280C</t>
  </si>
  <si>
    <t>10103401</t>
  </si>
  <si>
    <t>Phòng 1802, tầng 18, tòa nhà IDMC Mỹ Đình, số 15 đường Phạm Hùng, phường Mỹ Đình 2, quận Nam Từ Liêm, thành phố Hà Nội, Việt Nam</t>
  </si>
  <si>
    <t>V10563C</t>
  </si>
  <si>
    <t>540617</t>
  </si>
  <si>
    <t>Ngân hàng MUFG, LTD - CN TP Hà Nội</t>
  </si>
  <si>
    <t>0313 76 11 95</t>
  </si>
  <si>
    <t>Nhà máy số 12, Lô P-7, tổ hợp nhà máy Thăng Long, Xã Võng La, Hà Nội</t>
  </si>
  <si>
    <t>V10328B</t>
  </si>
  <si>
    <t>Nhà máy số 12, Lô P-7, tổ hợp nhà máy Thăng Long, Xã Võng La,</t>
  </si>
  <si>
    <t>V10328C</t>
  </si>
  <si>
    <t>12091788</t>
  </si>
  <si>
    <t>VP Bank - Chi nhánh Hải Phòng</t>
  </si>
  <si>
    <t>Số 14/1/437 Đà Nẵng, Phường Đông Hải 1, Quận Hải An, Hải Phòng</t>
  </si>
  <si>
    <t>V10481C</t>
  </si>
  <si>
    <t>F15-795-006338</t>
  </si>
  <si>
    <t>Mizuho bank, Ltd - Hanoi Branch</t>
  </si>
  <si>
    <t>+84-2413734588</t>
  </si>
  <si>
    <t>Lô số 10, đường TS-19, Khu công nghiệp Tiên Sơn, TX Từ Sơn, Tỉnh Bắc Ninh</t>
  </si>
  <si>
    <t>V10230A</t>
  </si>
  <si>
    <t>V10230C</t>
  </si>
  <si>
    <t>V10230B</t>
  </si>
  <si>
    <t>0031000300388</t>
  </si>
  <si>
    <t>Công ty TNHH Jmus Việt Nam</t>
  </si>
  <si>
    <t>Phòng số 409, tầng 4, tòa nhà VCCI Hải Phòng, số 462-466 Lạch Tray, Đằng Giang, Ngô Quyền , Hải Phòng, Việt Nam</t>
  </si>
  <si>
    <t>V10459C</t>
  </si>
  <si>
    <t>Tầng 12A, tòa nhà CMC, phố Duy Tân, P.Dịch Vọng, Q.Cầu Giấy, Hà Nội</t>
  </si>
  <si>
    <t>CG440033C0</t>
  </si>
  <si>
    <t>19128100130121</t>
  </si>
  <si>
    <t>Techcombank - CN Cầu Giấy</t>
  </si>
  <si>
    <t>Công ty TNHH JELLYFISH HR</t>
  </si>
  <si>
    <t>0106498508</t>
  </si>
  <si>
    <t>Tầng 12A, Tòa nhà CMC, P.Duy Tân, P.Dịch Vọng Hậu, Q.Cầu Giấy, Hà nội</t>
  </si>
  <si>
    <t>V4024C0</t>
  </si>
  <si>
    <t>,phố Duy Tân, phường Dịch Vọng,Tầng 12A, tòa nhà CMC,quận Cầu Giấy,thành phố Hà Nội</t>
  </si>
  <si>
    <t>V10301C</t>
  </si>
  <si>
    <t>51384869</t>
  </si>
  <si>
    <t>TMCP Á Châu - CN Hà Nội</t>
  </si>
  <si>
    <t>84-4 2260 0605</t>
  </si>
  <si>
    <t>0103004278</t>
  </si>
  <si>
    <t>Ô đất số TT3-09, Khu Đất Kẹt, Phường Liên Mạc, Quận Bắc Từ Liêm, Thành phố Hà Nội, Việt Nam</t>
  </si>
  <si>
    <t>V10134C</t>
  </si>
  <si>
    <t>V10134B</t>
  </si>
  <si>
    <t>V10134A</t>
  </si>
  <si>
    <t>Công ty TNHH Jade M-tech</t>
  </si>
  <si>
    <t>Phường Liên Mạc, Thành phố Hà Nội, Việt Nam</t>
  </si>
  <si>
    <t>V10587C</t>
  </si>
  <si>
    <t>19027381279797</t>
  </si>
  <si>
    <t>031.3261208</t>
  </si>
  <si>
    <t>0201283291</t>
  </si>
  <si>
    <t>Thôn Trang quan, xã An Đồng, H.An Dương, Hải phòng</t>
  </si>
  <si>
    <t>V10214C</t>
  </si>
  <si>
    <t>V10214B</t>
  </si>
  <si>
    <t>V10214A</t>
  </si>
  <si>
    <t>CG440022C0</t>
  </si>
  <si>
    <t>629704060007311</t>
  </si>
  <si>
    <t>VIB-PGD Quận 3</t>
  </si>
  <si>
    <t>0300732685</t>
  </si>
  <si>
    <t>Lầu 5, Alpha tower, 151 Nguyễn Đình Chiểu, P.6, Quận 3, TP.HCM</t>
  </si>
  <si>
    <t>V10060B</t>
  </si>
  <si>
    <t>V10060A</t>
  </si>
  <si>
    <t>V10060C</t>
  </si>
  <si>
    <t>Lầu 5, Alpha tower, 151 Nguyễn Đình Chiểu, P.6, Quận 3, Hồ Chí Minh</t>
  </si>
  <si>
    <t>CG440006C0</t>
  </si>
  <si>
    <t>020 0101 0027 463</t>
  </si>
  <si>
    <t>Ngân hàng TMCP Hàng Hải Việt Nam - CN Hải Phòng</t>
  </si>
  <si>
    <t>031 3757 999</t>
  </si>
  <si>
    <t>Công ty TNHH in &amp; Sản xuất Bao Bì Tân Lạc Việt</t>
  </si>
  <si>
    <t>0200820313</t>
  </si>
  <si>
    <t>Số 111 Trần Huy Liệu, P. Bắc Sơn, Q.Kiến An, TP.Hải Phòng</t>
  </si>
  <si>
    <t>V10013C</t>
  </si>
  <si>
    <t>V10013B</t>
  </si>
  <si>
    <t>V10013A</t>
  </si>
  <si>
    <t>69398949</t>
  </si>
  <si>
    <t>Asia Commercial Joint Stock Bank / Ngô Quyền, Hải Phòng</t>
  </si>
  <si>
    <t>0313566172</t>
  </si>
  <si>
    <t>Số 282 Lê Lợi, Phường Lê Lợi, Quận Ngô Quyền, TP. Hải Phòng</t>
  </si>
  <si>
    <t>V10331C</t>
  </si>
  <si>
    <t>0403400000C</t>
  </si>
  <si>
    <t>TMCP Việt Nam Thịnh Vượng - PGD Ngã 6, Ngô Quyền</t>
  </si>
  <si>
    <t>031.3853973</t>
  </si>
  <si>
    <t>Công ty TNHH In và Quảng cáo Hợp Thành</t>
  </si>
  <si>
    <t>0200584458</t>
  </si>
  <si>
    <t>254 Lê Lợi, P.Lê Lợi, Q.Ngô Quyền, TP.Hải Phòng</t>
  </si>
  <si>
    <t>V10255C</t>
  </si>
  <si>
    <t>le loi254Hai Phong</t>
  </si>
  <si>
    <t>2511100291004</t>
  </si>
  <si>
    <t>TMCP Quân Đội - Hải Phòng</t>
  </si>
  <si>
    <t>3 847 675</t>
  </si>
  <si>
    <t>0200630256</t>
  </si>
  <si>
    <t>Số 383 Lê Lợi, P.Lê Lợi, Q.Ngô Quyền, TP.Hải Phòng</t>
  </si>
  <si>
    <t>V10189C</t>
  </si>
  <si>
    <t>V10189B</t>
  </si>
  <si>
    <t>V10189A</t>
  </si>
  <si>
    <t>1014684461</t>
  </si>
  <si>
    <t>Vietcombank- Hồ Chí Minh - PGD Phổ Quang</t>
  </si>
  <si>
    <t>02836364189</t>
  </si>
  <si>
    <t>0314214531</t>
  </si>
  <si>
    <t>Đơn vị 4, tầng 7, Xưởng tiêu chuẩn B, đường Tân Thuận, Khu chế xuất Tân Thuận, phường Tân Thuận Đông, quận 7, tp Hồ Chí Minh</t>
  </si>
  <si>
    <t>V10523C</t>
  </si>
  <si>
    <t>343277</t>
  </si>
  <si>
    <t>MIZUHO BANK , LTD-CN thành phố Hồ Chí Minh</t>
  </si>
  <si>
    <t>0312030916</t>
  </si>
  <si>
    <t>Phường 8, 106 Nguyễn Văn Trỗi, Quận Phú Nhuận, Thành phố Hồ Chí Minh</t>
  </si>
  <si>
    <t>V10488C</t>
  </si>
  <si>
    <t>(84)2838226984</t>
  </si>
  <si>
    <t>V10488B</t>
  </si>
  <si>
    <t>15110000463117</t>
  </si>
  <si>
    <t>BIDV - Chi nhánh Thành Đô</t>
  </si>
  <si>
    <t>0106872681</t>
  </si>
  <si>
    <t>Số 6, Phố Hàm Tử Quan, Phường Chương Dương, Quận Hoàn Kiếm, Hà Nội</t>
  </si>
  <si>
    <t>V10519C</t>
  </si>
  <si>
    <t>08 3754 2315</t>
  </si>
  <si>
    <t>Công ty TNHH Hồng Môn</t>
  </si>
  <si>
    <t>38 Đường số 46, phường Tân Tạo, Quận Bình Tân, TP. Hồ Chí Minh</t>
  </si>
  <si>
    <t>HONG_MON</t>
  </si>
  <si>
    <t>10620100624016</t>
  </si>
  <si>
    <t>Ngân hàng TMCP Kỹ thương Việt Nam-Chi nhánh Tân Bình</t>
  </si>
  <si>
    <t>Phường 13, 406/63 Cộng Hòa,Quận Tân Bình,Thành phố Hồ Chí Minh, Việt Nam</t>
  </si>
  <si>
    <t>V10677B</t>
  </si>
  <si>
    <t>Ngân hàng TMCP Kỹ thương Việt Nam-Chị nhánh Tân Bình</t>
  </si>
  <si>
    <t>406/63 Cộng Hòa,Phường 13, Quận Tân Bình,Thành phố Hồ Chí Minh, Việt Nam</t>
  </si>
  <si>
    <t>V10677C</t>
  </si>
  <si>
    <t>121582519</t>
  </si>
  <si>
    <t>0313.955889</t>
  </si>
  <si>
    <t>Công ty TNHH Hoa Tuyết</t>
  </si>
  <si>
    <t>0200579183</t>
  </si>
  <si>
    <t>Số 297 Tô Hiệu, P. Hồ Nam, Q. Lê Chân, TP Hải Phòng</t>
  </si>
  <si>
    <t>LS-000166</t>
  </si>
  <si>
    <t>Tình Hải Dương, Việt Nam</t>
  </si>
  <si>
    <t>0341006828333</t>
  </si>
  <si>
    <t>Ngân hàng thương mại cổ phần Ngoại thương Việt Nam-Chi nhánh Hải Dương</t>
  </si>
  <si>
    <t>0801003563</t>
  </si>
  <si>
    <t>Thôn Xuân Mang,Xã Tuấn Việt,Huyện Kim Thành,Tình Hải Dương, Việt Nam</t>
  </si>
  <si>
    <t>V10686C</t>
  </si>
  <si>
    <t>035.100.07.36878</t>
  </si>
  <si>
    <t>Ngân hàng TMCP ngoại thương Việt Nam-CN Bắc Ninh</t>
  </si>
  <si>
    <t>Đường TS6-1, Khu công nghiệp Tiên Sơn, xã Hoàn Sơn, huyện Tiên Du, tỉnh Bắc Ninh</t>
  </si>
  <si>
    <t>V10283C</t>
  </si>
  <si>
    <t>001.100.1546014</t>
  </si>
  <si>
    <t>Sở giao dịch Ngân hàng TMCP Ngoại Thương Việt Nam</t>
  </si>
  <si>
    <t>04.38513210</t>
  </si>
  <si>
    <t>0101463614-007</t>
  </si>
  <si>
    <t>Số 229 phố Tây Sơn, quận Đống Đa, Tp. Hà Nội</t>
  </si>
  <si>
    <t>V10097C</t>
  </si>
  <si>
    <t>V10097B</t>
  </si>
  <si>
    <t>V10097A</t>
  </si>
  <si>
    <t>439541 (USD)</t>
  </si>
  <si>
    <t>The Bank of Tokyo - Mitsubishi UFJ, LTD - Hanoi Branch</t>
  </si>
  <si>
    <t>Hitachi Plant Technologies (Viet Nam) Co.,LTD</t>
  </si>
  <si>
    <t>Phòng 1507-1508, tầng 15 tòa nhà Keangnam Hanoi Landmark Tower, khu E6, Khu đô thị mới Cầu Giấy, xã Mễ Trì, huyện Từ Liêm, HN</t>
  </si>
  <si>
    <t>V10015C</t>
  </si>
  <si>
    <t>CG440004C0</t>
  </si>
  <si>
    <t>0105807954</t>
  </si>
  <si>
    <t>V10015B</t>
  </si>
  <si>
    <t>V10015A</t>
  </si>
  <si>
    <t>2106201003302</t>
  </si>
  <si>
    <t>NH NN &amp; PTNT Việt Nam- CN Huyện Tiên Lãng</t>
  </si>
  <si>
    <t>0201900949</t>
  </si>
  <si>
    <t>Khu 5 (Tại nhà bà Nguyễn Thị Hiền), Thị trấn Tiên Lãng, Huyện Tiên Lãng, TP Hải Phòng, Việt Nam</t>
  </si>
  <si>
    <t>V10464C</t>
  </si>
  <si>
    <t>Landmark Tower22nd Floor - 72 Buiding Keangna HanoiHa Noi</t>
  </si>
  <si>
    <t>V10247B</t>
  </si>
  <si>
    <t>001.100.2655591</t>
  </si>
  <si>
    <t>Hội sở Ngân hàng TMCP Ngoại thương-Số 31-33 Ngô Quyền,Hoàn Kiếm</t>
  </si>
  <si>
    <t>(844) 5626000</t>
  </si>
  <si>
    <t>22nd Floor - 72 Buiding Keangna Hanoi, Landmark Tower</t>
  </si>
  <si>
    <t>V10247C</t>
  </si>
  <si>
    <t>0011000506552</t>
  </si>
  <si>
    <t>V10063C</t>
  </si>
  <si>
    <t>V10063B</t>
  </si>
  <si>
    <t>V10063A</t>
  </si>
  <si>
    <t>Công ty TNHH Hệ thống thiết bị UMW (Việt Nam)</t>
  </si>
  <si>
    <t>12A Đại lộ Độc Lập, VSIP,Thị xã Thuận An, Bình Dương</t>
  </si>
  <si>
    <t>CG440014C0</t>
  </si>
  <si>
    <t>060-6-12-00-00003</t>
  </si>
  <si>
    <t>Public Bank Việt Nam- CN Bình Dương</t>
  </si>
  <si>
    <t>0650-743500</t>
  </si>
  <si>
    <t>3700233968</t>
  </si>
  <si>
    <t>V10102C</t>
  </si>
  <si>
    <t>V10102B</t>
  </si>
  <si>
    <t>V10102A</t>
  </si>
  <si>
    <t>Số 9, Đào Duy Anh, Phương Liên, Đống Đa, Hà Nội, VN</t>
  </si>
  <si>
    <t>V4107C0</t>
  </si>
  <si>
    <t>090166</t>
  </si>
  <si>
    <t>The Bank of Tokyo-Mitsubishi UFJ, Ltd. / Hà Nội</t>
  </si>
  <si>
    <t>số 9 Đào Duy Anh, phường Phương Liên, quận Đống Đa,  thành phố Hà Nội, VN</t>
  </si>
  <si>
    <t>1009061887</t>
  </si>
  <si>
    <t>Saigon - Hanoi Commercial Joint Stock Bank (SHB)/PGD Niệm Nghĩa</t>
  </si>
  <si>
    <t>0225 3 767008</t>
  </si>
  <si>
    <t>Số 388 Lê Thánh Tông, phường Máy Chai, Quận Ngô Quyền, Thành phố Hải Phòng</t>
  </si>
  <si>
    <t>V10382C</t>
  </si>
  <si>
    <t>0031000180029</t>
  </si>
  <si>
    <t>0904.971.689</t>
  </si>
  <si>
    <t>Công ty TNHH Hà Anh Đồng</t>
  </si>
  <si>
    <t>0201335052</t>
  </si>
  <si>
    <t>Số 116/182, Đà Nẵng, Lạc Viên, Ngô Quyền, Hải Phòng</t>
  </si>
  <si>
    <t>V4023C0</t>
  </si>
  <si>
    <t>0351000773610</t>
  </si>
  <si>
    <t>Vietcombank  - CN Bắc Ninh</t>
  </si>
  <si>
    <t>+84 0241-3714-878</t>
  </si>
  <si>
    <t>2300781809</t>
  </si>
  <si>
    <t>Khu công nghiệp Tiên Sơn, xã Hoàn Sơn, huyện Tiên Du, tỉnh Bắc Ninh</t>
  </si>
  <si>
    <t>Vietcombank – CN Bắc Ninh</t>
  </si>
  <si>
    <t>Công ty TNHH GREENGOCO</t>
  </si>
  <si>
    <t>CG440027C0</t>
  </si>
  <si>
    <t>0011001382863</t>
  </si>
  <si>
    <t>Ngân hàng Vietcombank - Sở giao dịch</t>
  </si>
  <si>
    <t>Công ty TNHH Goshu Kohsan (Việt Nam)</t>
  </si>
  <si>
    <t>3700611994</t>
  </si>
  <si>
    <t>Lô P1, Khu công nghiệp Thăng Long, Huyện Đông Anh, Thành phố Hà Nội</t>
  </si>
  <si>
    <t>V10144C</t>
  </si>
  <si>
    <t>V10144B</t>
  </si>
  <si>
    <t>V10144A</t>
  </si>
  <si>
    <t>2208201008890</t>
  </si>
  <si>
    <t>Ngân hàng NN&amp;PT Nông thôn huyện Thường Tín - CN Hà Tây</t>
  </si>
  <si>
    <t>Thôn Phúc Am, xã Duyên Thái, huyện Thường Tín, TP Hà Nội</t>
  </si>
  <si>
    <t>2109201005673</t>
  </si>
  <si>
    <t>Ngân hàng NN&amp;PTNT - CN. Kiến Thụy</t>
  </si>
  <si>
    <t>Công ty TNHH giáo dục và du lịch Nguyễn Kim</t>
  </si>
  <si>
    <t>Số nhà 23B, Khu Cẩm Xuân, Thị Trấn Núi Đối, H. Kiến Thụy, TP Hải Phòng</t>
  </si>
  <si>
    <t>V10412C</t>
  </si>
  <si>
    <t>0021000297824</t>
  </si>
  <si>
    <t>Ngân hàng TMCP Ngoại thương Việt Nam - Chi nhánh Hà Nội</t>
  </si>
  <si>
    <t>0106385053</t>
  </si>
  <si>
    <t>Số 163, tổ 22, đường Trần Khát Chân, phường Thanh Lương, quận Hai Bà Trưng, TP Hà Nội</t>
  </si>
  <si>
    <t>V10256C</t>
  </si>
  <si>
    <t>0011004668888</t>
  </si>
  <si>
    <t>04.6683.1273</t>
  </si>
  <si>
    <t>Số 12D, ngõ 173, ngách 151 Hoàng Hoa Thám, phường Ngọc Hà, quận Ba Đình, thành phố Hà Nội, Việt Nam</t>
  </si>
  <si>
    <t>V10222C</t>
  </si>
  <si>
    <t>Vietcombank - Trụ sở chính</t>
  </si>
  <si>
    <t>V4022C0</t>
  </si>
  <si>
    <t>V10222B</t>
  </si>
  <si>
    <t>V10222A</t>
  </si>
  <si>
    <t>343153</t>
  </si>
  <si>
    <t>The Bank of Tokyo Mitsubishi  UFJ, Ltd - CN Tp Hồ Chí Minh</t>
  </si>
  <si>
    <t>84 8 39101350</t>
  </si>
  <si>
    <t>0311969090</t>
  </si>
  <si>
    <t>Tầng 6, tòa nhà Sài Gòn Finance Center, số 9 đường Đinh Tiên Hoàng, phường Đakao, quận 1, thành phố Hồ Chí Minh</t>
  </si>
  <si>
    <t>V10126C</t>
  </si>
  <si>
    <t>V10126B</t>
  </si>
  <si>
    <t>V10126A</t>
  </si>
  <si>
    <t>119002866917</t>
  </si>
  <si>
    <t>Vietinbank-chi nhánh 3 TP HCM</t>
  </si>
  <si>
    <t>29/3 đường 15, khu phố 3, phường Hiệp Bình Phước, thành phố Thủ Đức, thành phố Hồ Chí Minh,Việt Nam</t>
  </si>
  <si>
    <t>V10603C</t>
  </si>
  <si>
    <t>30340569</t>
  </si>
  <si>
    <t>TMCP Á Châu - CN Sài Gòn</t>
  </si>
  <si>
    <t>08 3740 7769</t>
  </si>
  <si>
    <t>0305192271</t>
  </si>
  <si>
    <t>08 Đường số 7, KP.5, P.An Phú, Quận 2, TP.HCM</t>
  </si>
  <si>
    <t>V10141B</t>
  </si>
  <si>
    <t>V10141A</t>
  </si>
  <si>
    <t>V10141C</t>
  </si>
  <si>
    <t>13310000009069</t>
  </si>
  <si>
    <t>Ngân hàng BIDV-chi nhánh Nhà Bè-Tp HCM</t>
  </si>
  <si>
    <t>146/18 Nguyễn Hữu Thọ, xã Phước Kiển, huyện Nhà Bè, thành phố Hồ Chí Minh, Việt Nam</t>
  </si>
  <si>
    <t>V10567C</t>
  </si>
  <si>
    <t>0071000739277</t>
  </si>
  <si>
    <t>Vietcombank - CN Hồ Chí Minh</t>
  </si>
  <si>
    <t>04 62701630</t>
  </si>
  <si>
    <t>0106032298</t>
  </si>
  <si>
    <t>P.603, Tầng 6, 535 phố Kim Mã, P. Ngọc Khánh, Q.Ba Đình, Hà nội</t>
  </si>
  <si>
    <t>V4086C0</t>
  </si>
  <si>
    <t>Vietcombank - CN TP HCM</t>
  </si>
  <si>
    <t>Công ty TNHH G.A Consultants Việt Nam</t>
  </si>
  <si>
    <t>V10300C</t>
  </si>
  <si>
    <t>10100501</t>
  </si>
  <si>
    <t>Ngân hàng Sumitomo Mitsui Banking Corporation-Chi nhánh thành phố Hồ Chí Minh</t>
  </si>
  <si>
    <t>Xưởng F1-12b, Lô D6, Khu công nghiệp Hiệp Phước (giai đoạn 2), xã Hiệp Phước, huyện Nhà Bè, thành phố Hồ Chí Minh, Việt Nam</t>
  </si>
  <si>
    <t>V10628C</t>
  </si>
  <si>
    <t>0302357021</t>
  </si>
  <si>
    <t>Ngân hàng CitiBank N.A , Ho Chi Minh City Branch</t>
  </si>
  <si>
    <t>0225.325.0536</t>
  </si>
  <si>
    <t>Công ty TNHH FUJIFILM Business Innovation Việt Nam</t>
  </si>
  <si>
    <t>0310074234-003</t>
  </si>
  <si>
    <t>Phòng 515, Tầng 5, Tòa nhà TD Business Center, Lô 20A, Đường Lê Hồng Phong, P. Đông Khê, Q. Ngô Quyền, TP Hải Phòng, Việt Na</t>
  </si>
  <si>
    <t>V10487C</t>
  </si>
  <si>
    <t>Công ty TNHH Fujifilm Business Innovation Việt Nam - Chi nhánh Hải Phòng</t>
  </si>
  <si>
    <t>Ngân hàng Citibank N.A-Chi nhánh TP. HCM</t>
  </si>
  <si>
    <t>Phòng 515, tầng 5, tòa nhà TD Business Center, lô 20A, đường Lê Hồng Phong, phường Đông Khê, quận Ngô Quyền, thành phố Hải Phòng</t>
  </si>
  <si>
    <t>V10487B</t>
  </si>
  <si>
    <t>04 3824 1063</t>
  </si>
  <si>
    <t>Công ty TNHH Fuji Xerox Viet Nam</t>
  </si>
  <si>
    <t>0310074234-001</t>
  </si>
  <si>
    <t>Tầng 14, VCCI Tower, Số 9 Đào Duy Anh, P.Phương Mai, Q.Đống Đa, Hà nội</t>
  </si>
  <si>
    <t>V10026C</t>
  </si>
  <si>
    <t>Công ty TNHH Fuji Xerox Việt Nam - Chi nhánh Hà Nội</t>
  </si>
  <si>
    <t>V10026B</t>
  </si>
  <si>
    <t>V10026A</t>
  </si>
  <si>
    <t>0541000207568</t>
  </si>
  <si>
    <t>Ngân hàng TMCP Ngoại thương Việt Nam-Chi nhánh Chương Dương</t>
  </si>
  <si>
    <t>Tầng 3, Handico Tower, Đường Phạm Hùng, Phường Mễ Trì,Quận Nam Từ Liêm,Thành phố Hà Nội, Việt Nam</t>
  </si>
  <si>
    <t>V10687C</t>
  </si>
  <si>
    <t>V10687B</t>
  </si>
  <si>
    <t>19021387756998</t>
  </si>
  <si>
    <t>Ngân hàng Techcombank- CN Đình Bảng</t>
  </si>
  <si>
    <t>0103247538</t>
  </si>
  <si>
    <t>Lô G6-1, KCN Quế Võ (Khu vực mở rộng), Phương Liễu, Quế Võ, Bắc Ninh</t>
  </si>
  <si>
    <t>V10471C</t>
  </si>
  <si>
    <t>091.052449.061</t>
  </si>
  <si>
    <t>HSBC Bank (Vietnam) Ltd - Ho Chi Minh Branch</t>
  </si>
  <si>
    <t>08.3911.7292</t>
  </si>
  <si>
    <t>0311406309</t>
  </si>
  <si>
    <t>Số 35 Tôn Đức Thắng, P.Bến nghé, Q.1, TP.HCM</t>
  </si>
  <si>
    <t>V10269C</t>
  </si>
  <si>
    <t>79933333</t>
  </si>
  <si>
    <t>Ngân hàng TMCP Việt Nam Thịnh Vượng ( VPbank) - CN Trần Hưng Đạo</t>
  </si>
  <si>
    <t>02462941166</t>
  </si>
  <si>
    <t>phường Tương Mai,số 25, ngõ 82, phố Nguyễn An Ninh,quận Hoàng Mai,thành phố Hà Nội</t>
  </si>
  <si>
    <t>V10529B</t>
  </si>
  <si>
    <t>V10529C</t>
  </si>
  <si>
    <t>141321</t>
  </si>
  <si>
    <t>MUFG bank, Ltd- CN TP Hồ Chí Minh</t>
  </si>
  <si>
    <t>+84-8-3824-6638</t>
  </si>
  <si>
    <t>FANUC VIETNAM CO.,LTD</t>
  </si>
  <si>
    <t>0302832540</t>
  </si>
  <si>
    <t>Lầu 9- Green Tower- 35 Tôn Đức Thắng- P. Bến Nghé- Q.1- Tp. HCM</t>
  </si>
  <si>
    <t>V10085C</t>
  </si>
  <si>
    <t>V10085B</t>
  </si>
  <si>
    <t>V10085A</t>
  </si>
  <si>
    <t>P.903 tầng 9, Tháp A,tòa nhà tổ hợp Sky City Tower, 88 Láng Hạ, Phường Láng Hạ, Quận Đống Đa,thành phố Hà Nội</t>
  </si>
  <si>
    <t>V10637C</t>
  </si>
  <si>
    <t>0011 000758 662</t>
  </si>
  <si>
    <t>Ngân hàng Vietcombank - CN Hội sở</t>
  </si>
  <si>
    <t>0101479780</t>
  </si>
  <si>
    <t>Số 83A, Trần Quốc Toản, P.Trần Hưng Đạo,Q.Hoàn Kiếm,Hà nội</t>
  </si>
  <si>
    <t>V10250C</t>
  </si>
  <si>
    <t>V10250B</t>
  </si>
  <si>
    <t>67108320000716</t>
  </si>
  <si>
    <t>Ngân hàng Shanghai Commercial &amp; Saving Bank, Ltd-CN Đồng Nai</t>
  </si>
  <si>
    <t>Phòng 1901, lầu 19, số 37, đường Tôn Đức Thắng, phường Bến Nghé, quận 1, Thành phố Hồ Chí Minh</t>
  </si>
  <si>
    <t>V10286A</t>
  </si>
  <si>
    <t>002-306686-001</t>
  </si>
  <si>
    <t>Ngân hàng TNHH MTV HSBC (Việt Nam)</t>
  </si>
  <si>
    <t>Công ty TNHH Ernst &amp; Young Việt Nam chi nhánh Hà Nội</t>
  </si>
  <si>
    <t>0300811802-001</t>
  </si>
  <si>
    <t>Tầng 8, tòa nhà Cornerstore - Số 16 Phan Chu Trinh, Phường Phan Chu Trinh, Quận Hoàn Kiếm, Hà Nội</t>
  </si>
  <si>
    <t>V10510C</t>
  </si>
  <si>
    <t>66225369066</t>
  </si>
  <si>
    <t>Standard Chartered Bank (Vietnam) Limited / Lê Đại Hành</t>
  </si>
  <si>
    <t>Công ty TNHH Eris Việt Nam</t>
  </si>
  <si>
    <t>Tầng 4-6, số 59A Lý Thái Tổ, P. Lý Thái Tổ, Q. Hoàn Kiếm, TP Hà Nội</t>
  </si>
  <si>
    <t>V4091C0</t>
  </si>
  <si>
    <t>00313000223929</t>
  </si>
  <si>
    <t>084313797856</t>
  </si>
  <si>
    <t>Khu D1, Tầng 3, Tòa nhà văn phòng Harbour View, số 12 đường Trần Phú, Phường Máy Tơ, Quận Ngô Quyền, TP Hải Phòng, Việt Nam</t>
  </si>
  <si>
    <t>V10313C</t>
  </si>
  <si>
    <t>220214851008945</t>
  </si>
  <si>
    <t>Ngân hàng TMCP Xuất nhập khẩu Việt Nam - CN Tân Định- PGD Gò Vấp</t>
  </si>
  <si>
    <t>08 3588 3733</t>
  </si>
  <si>
    <t>0303658817</t>
  </si>
  <si>
    <t>Số 23 Đường Số 3, Phường 7, Quận Gò Vấp,TP Hồ Chí Minh</t>
  </si>
  <si>
    <t>V10259C</t>
  </si>
  <si>
    <t>148482</t>
  </si>
  <si>
    <t>The Bank of Tokyo Mitsubishi UFJ, LTD - CN Hà Nội</t>
  </si>
  <si>
    <t>04.37666408</t>
  </si>
  <si>
    <t>0103014205</t>
  </si>
  <si>
    <t>Phòng 308A, Tầng 3, Tòa nhà V-tower, số 649 Kim Mã, P.Ngọc Khánh, Q.Ba Đình, TP.Hà Nội</t>
  </si>
  <si>
    <t>V10112C</t>
  </si>
  <si>
    <t>V10112B</t>
  </si>
  <si>
    <t>V10112A</t>
  </si>
  <si>
    <t>0031000160640</t>
  </si>
  <si>
    <t>Ngân hàng TMCP ngoại thương Việt Nam - Chi nhánh Hải Phòng</t>
  </si>
  <si>
    <t>0313 552081</t>
  </si>
  <si>
    <t>0201286214</t>
  </si>
  <si>
    <t>Số 5, Lô L1, khu nhà ở Nam Sông Lạch Tray - Phường Anh Dũng - Quận Dương Kinh - Hải Phòng</t>
  </si>
  <si>
    <t>V10052C</t>
  </si>
  <si>
    <t>V10052B</t>
  </si>
  <si>
    <t>V10052A</t>
  </si>
  <si>
    <t>0302436002</t>
  </si>
  <si>
    <t>CITIBANK, N.A. / Hồ Chí Minh</t>
  </si>
  <si>
    <t>84-8-35285100</t>
  </si>
  <si>
    <t>Công ty TNHH ECOLAB VIỆT NAM</t>
  </si>
  <si>
    <t>Tầng 8, phòng 8.2B, Tòa nhà E-Town 2, số 364, đường Cộng Hòa, Phường 13, Quận Tân Bình, Thành phố Hồ Chí Minh</t>
  </si>
  <si>
    <t>V10383C</t>
  </si>
  <si>
    <t>Phường Thạch Bàn,Đường Công Nghiệp 6, khu CN Sài Đồng B,Quận Long BiênThành phố Hà Nội, Việt Nam</t>
  </si>
  <si>
    <t>V10303C</t>
  </si>
  <si>
    <t>2115201001127</t>
  </si>
  <si>
    <t>Agribank - CN Ngũ Lão, Hải Phòng</t>
  </si>
  <si>
    <t>0313.575.366</t>
  </si>
  <si>
    <t>0201582083</t>
  </si>
  <si>
    <t>Thôn Bấc (tại nhà bà Trần Thị Yến), xã Phục Lễ, huyện Thủy Nguyên, TP.Hải Phòng</t>
  </si>
  <si>
    <t>061002774150001</t>
  </si>
  <si>
    <t>Đông Á - CN Nguyễn Văn Nghi</t>
  </si>
  <si>
    <t>(84.8) 3985 8738</t>
  </si>
  <si>
    <t>0305684629</t>
  </si>
  <si>
    <t>7/5 Đường số 9, Phường 5, Quận Gò Vấp, TP.Hồ Chí Minh</t>
  </si>
  <si>
    <t>V10159C</t>
  </si>
  <si>
    <t>V10159B</t>
  </si>
  <si>
    <t>V10159A</t>
  </si>
  <si>
    <t>030035237999</t>
  </si>
  <si>
    <t>Ngân hàng SACOMBANK</t>
  </si>
  <si>
    <t>02253552558</t>
  </si>
  <si>
    <t>0201752232</t>
  </si>
  <si>
    <t>Số 8/85 đường Bạch Đằng, Phường Hạ Lý, Quận Hồng Bàng, Thành phố Hải Phòng</t>
  </si>
  <si>
    <t>V10401B</t>
  </si>
  <si>
    <t>Hải Phòng</t>
  </si>
  <si>
    <t>Sacombank-CN Hải Phòng</t>
  </si>
  <si>
    <t>Số 8/85 đường Bạch Đằng, Số 8/85 đường Bạch Đằng, Phường Hạ Lý, Thành phố Hải Phòng</t>
  </si>
  <si>
    <t>V10401C</t>
  </si>
  <si>
    <t>114000165632</t>
  </si>
  <si>
    <t>Ngân hàng Vietinbank - Chi Nhánh Lê Chân</t>
  </si>
  <si>
    <t>Số 280 Tô Hiệu, phường Hồ Nam, quận Lê Chân thành phố Hải Phòng</t>
  </si>
  <si>
    <t>V10288B</t>
  </si>
  <si>
    <t>V10288C</t>
  </si>
  <si>
    <t>111.384459</t>
  </si>
  <si>
    <t>Ngân hàng Thương mại Á Châu (ACB) – PGD Tân Sơn Nhì</t>
  </si>
  <si>
    <t>0908.548.560, 0909.114.881</t>
  </si>
  <si>
    <t>173/12 Tân Sơn Nhì, P. Tân Sơn Nhì, Q. Tân Phú, TP.Hồ Chí Minh, Việt Nam</t>
  </si>
  <si>
    <t>V10235C</t>
  </si>
  <si>
    <t>V10235B</t>
  </si>
  <si>
    <t>V10235A</t>
  </si>
  <si>
    <t>0302484015</t>
  </si>
  <si>
    <t>Ngân hàng Citibank-Chi nhánh thành phố Hồ Chí Minh</t>
  </si>
  <si>
    <t>Phòng 901-903, Tầng 9, Tòa nhà Văn phòng CentrePoint,số 106, Đường Nguyễn Văn Trỗi, Phường 08, Quận Phú Nhuận,Thành phố Hồ Chí M</t>
  </si>
  <si>
    <t>V10635C</t>
  </si>
  <si>
    <t>0491000001283</t>
  </si>
  <si>
    <t>Vietcombank - Chi nhánh Thăng Long</t>
  </si>
  <si>
    <t>Số 8, Đường Tôn Thất Thuyết, P. Mỹ Đình 2, Q. Nam Từ Liêm, TP Hà Nội</t>
  </si>
  <si>
    <t>V10443C</t>
  </si>
  <si>
    <t>0031000206768</t>
  </si>
  <si>
    <t>Ngân Hàng Vietcombank - Cn Hải Phòng</t>
  </si>
  <si>
    <t>0201577090</t>
  </si>
  <si>
    <t>Số 250 Chung Cư Hoàng Mai, Xã Đồng Thái, Huyện An Dương, TP Hải Phòng</t>
  </si>
  <si>
    <t>V10273C</t>
  </si>
  <si>
    <t>Ngân Hàng Vietcombank - CN Hải Phòng</t>
  </si>
  <si>
    <t>Xã Đồng Thái,Số 250 Chung Cư Hoàng Mai,Huyện An DươngThành phố Hải Phòng, Việt Nam</t>
  </si>
  <si>
    <t>V10273B</t>
  </si>
  <si>
    <t>0031000342886</t>
  </si>
  <si>
    <t>Ô số 30 lô L2, khu nhà ở Nam sông Lạch Tray,phường Anh Dũngquận Dương Kinh,thành phố Hải Phòng, Việt Nam</t>
  </si>
  <si>
    <t>V10664C</t>
  </si>
  <si>
    <t>12910000192986</t>
  </si>
  <si>
    <t>TMCP Đầu tư và phát triển Việt Nam-Chi nhánh Hoàng Mai, Hà nội</t>
  </si>
  <si>
    <t>Công ty TNHH dịch vụ kỹ thuật Autorotics</t>
  </si>
  <si>
    <t>Số 12, ngõ 26/3, đường Tả Thanh Oai, xã Tả Thanh Oai, huyện Thanh Trì, thành phố Hà Nội, Việt Nam</t>
  </si>
  <si>
    <t>V10547C</t>
  </si>
  <si>
    <t>7010101010111</t>
  </si>
  <si>
    <t>Ngân hàng thương mại cổ phần quân đội-CN Đống Đa</t>
  </si>
  <si>
    <t>Số 30 ngõ 91 đường Trần Duy Hưng, Phường Trung Hòa, Quận Cầu Giấy, Thành phố Hà Nội, Việt Nam</t>
  </si>
  <si>
    <t>V10646C</t>
  </si>
  <si>
    <t>Công ty TNHH dịch vụ du lịch Cảnh Hưng</t>
  </si>
  <si>
    <t>Số 32, khu đô thị Quán Toan,  Phường Quán Toan, Quận Hồng Bàng, thành phố Hải Phòng</t>
  </si>
  <si>
    <t>V10595C</t>
  </si>
  <si>
    <t>0031000259020</t>
  </si>
  <si>
    <t>Ngân hàng Vietcombank - CN Hải Phòng</t>
  </si>
  <si>
    <t>Số 32, Khu đô thị Quán Toan, Phường Quán Toan, Quận Hồng Bàng, TP Hải Phòng</t>
  </si>
  <si>
    <t>V10595B</t>
  </si>
  <si>
    <t>0505 00000 2525</t>
  </si>
  <si>
    <t>Ngân hàng TNHH MTV Public Việt nam - CN Hải Phòng</t>
  </si>
  <si>
    <t>0201037313</t>
  </si>
  <si>
    <t>Số 133 Kênh Dương,phường Kênh Dương, Lê chân, Hải Phòng</t>
  </si>
  <si>
    <t>V10024C</t>
  </si>
  <si>
    <t>0505000002525</t>
  </si>
  <si>
    <t>V10024B</t>
  </si>
  <si>
    <t>V10024A</t>
  </si>
  <si>
    <t>102010002062693</t>
  </si>
  <si>
    <t>Ngân hàng CôngThương Việt Nam - CN Hải phòng</t>
  </si>
  <si>
    <t>0201248339</t>
  </si>
  <si>
    <t>Thôn Kiều Trung, xã Hồng Thái, huyện An Dương,Hải Phòng</t>
  </si>
  <si>
    <t>V10045C</t>
  </si>
  <si>
    <t>V10045B</t>
  </si>
  <si>
    <t>V10045A</t>
  </si>
  <si>
    <t>091-164541-001</t>
  </si>
  <si>
    <t>HSBC Bank (Viet Nam) Ltd</t>
  </si>
  <si>
    <t>84-8 3521 0440</t>
  </si>
  <si>
    <t>0311985511</t>
  </si>
  <si>
    <t>Số 2, đường Ngô Đức Kế, P.Bến Nghé, Q1, TP.HCM</t>
  </si>
  <si>
    <t>0031000222404</t>
  </si>
  <si>
    <t>Ngân hàng TMCP Ngoại thương Việt Nam-CN Hải Phòng</t>
  </si>
  <si>
    <t>Công ty TNHH Deep C Blue</t>
  </si>
  <si>
    <t>Lô đất KT02, Khu công nghiệp Đình vũ,P. Đông Hải 2,Q. Hải An, thuộc KKT Đình vũ, Cát Hải, TP Hải Phòng</t>
  </si>
  <si>
    <t>V10376C</t>
  </si>
  <si>
    <t>0201631911</t>
  </si>
  <si>
    <t>CG480006C0</t>
  </si>
  <si>
    <t>0031000585688</t>
  </si>
  <si>
    <t>0313246032</t>
  </si>
  <si>
    <t>Công ty TNHH đầu tư và thương mại Hưng Mạnh</t>
  </si>
  <si>
    <t>0201143537</t>
  </si>
  <si>
    <t>Số 3-Lô 3B đường Lê Hồng Phong, Phường Đông Khê, Quận Ngô Quyền,TP Hải Phòng</t>
  </si>
  <si>
    <t>V4018C0</t>
  </si>
  <si>
    <t>12210000940159</t>
  </si>
  <si>
    <t>Ngân hàng TMCP Đầu tư và Phát triển Việt Nam (BIDV)-Chi nhánh Hà Thành</t>
  </si>
  <si>
    <t>Số 38, tổ 38, Khu đô thị Bắc Linh Đàm, Phường Đại Kim,Quận Hoàng Mai,Thành phố Hà Nội, Việt Nam</t>
  </si>
  <si>
    <t>V10652C</t>
  </si>
  <si>
    <t>3120201006743</t>
  </si>
  <si>
    <t>Ngân hàng Agribank-CN Gia Lâm, Hà Nội</t>
  </si>
  <si>
    <t>0101798875</t>
  </si>
  <si>
    <t>Số 21A, đường Huỳnh Thúc Kháng, phường Lam Sơn, Thành phố  Hưng Yên, tỉnh Hưng Yên</t>
  </si>
  <si>
    <t>V4017C0</t>
  </si>
  <si>
    <t>Công ty TNHH Đầu tư và phát triển TBCN Hoàng Hà</t>
  </si>
  <si>
    <t>V10057C</t>
  </si>
  <si>
    <t>V10057B</t>
  </si>
  <si>
    <t>V10057A</t>
  </si>
  <si>
    <t>1002330599</t>
  </si>
  <si>
    <t>SHB - PGD Lạch tray</t>
  </si>
  <si>
    <t>0313.854226</t>
  </si>
  <si>
    <t>0200572533</t>
  </si>
  <si>
    <t>Số 25, Tổ dân phố Quý Kim I, P.Hợp đức, Q.Đồ sơn, TP.Hải phòng</t>
  </si>
  <si>
    <t>V10192C</t>
  </si>
  <si>
    <t>V10192B</t>
  </si>
  <si>
    <t>V10192A</t>
  </si>
  <si>
    <t>3450 8189</t>
  </si>
  <si>
    <t>0200772395</t>
  </si>
  <si>
    <t>Số 73 Điện Biên Phủ, P. Minh Khai, Q. Hồng Bàng, TP Hải Phòng</t>
  </si>
  <si>
    <t>V10252C</t>
  </si>
  <si>
    <t>Số 73 Điện Biên Phủ, Minh KhaiHải Phòng</t>
  </si>
  <si>
    <t>V4041C0</t>
  </si>
  <si>
    <t>2100201344856</t>
  </si>
  <si>
    <t>Ngân hàng Agribank-Chi nhánh Hải Phòng</t>
  </si>
  <si>
    <t>0202174016</t>
  </si>
  <si>
    <t>Số 278A-278B đường Lạch Tray,Phường Lạch Tray, Quận Ngô Quyền,Thành phố Hải Phòng, Việt Nam</t>
  </si>
  <si>
    <t>32110000716397</t>
  </si>
  <si>
    <t>0313 621 512</t>
  </si>
  <si>
    <t>0201292190</t>
  </si>
  <si>
    <t>Số 30/317A Đà Nẵng, Phường Vạn Mỹ, Quận Ngô Quyền, Thành phố Hải Phòng</t>
  </si>
  <si>
    <t>V10203C</t>
  </si>
  <si>
    <t>V10203B</t>
  </si>
  <si>
    <t>V10203A</t>
  </si>
  <si>
    <t>Công ty TNHH Đầu Tư Thương Mại và Phát Triển Bình Nguyên</t>
  </si>
  <si>
    <t>Lô 16 CCN Khắc Niệm, Phường khắc Niệm, Thành phố Bắc Ninh, Tỉnh Bắc Ninh, Việt Nam</t>
  </si>
  <si>
    <t>CG440044C0</t>
  </si>
  <si>
    <t>19027907306999</t>
  </si>
  <si>
    <t>Techcombank Lê Hồng Phong-Hải Phòng</t>
  </si>
  <si>
    <t>0313.667 779</t>
  </si>
  <si>
    <t>0201361750</t>
  </si>
  <si>
    <t>175 Trường Chinh - phường Lãm Hà, Kiến An, Hải Phòng</t>
  </si>
  <si>
    <t>V10127C</t>
  </si>
  <si>
    <t>V10127B</t>
  </si>
  <si>
    <t>V10127A</t>
  </si>
  <si>
    <t>CG440016C0</t>
  </si>
  <si>
    <t>179647559</t>
  </si>
  <si>
    <t>Ngân hàng TMCP Việt Nam Thịnh Vượng - CN Hải Phòng</t>
  </si>
  <si>
    <t>Số 464 Trần Nhân Tông, phường Nam Sơn, quận Kiến An, Hải Phòng</t>
  </si>
  <si>
    <t>V10555C</t>
  </si>
  <si>
    <t>V10555B</t>
  </si>
  <si>
    <t>0031000139395</t>
  </si>
  <si>
    <t>Ngân hàng Ngoại thương Việt Nam - CN Hải Phòng</t>
  </si>
  <si>
    <t>0201217570</t>
  </si>
  <si>
    <t>Số 346 Đà nẵng, P.Đông Hải 1, Q.Hải An, Hải phòng</t>
  </si>
  <si>
    <t>V10287C</t>
  </si>
  <si>
    <t>2631132668668</t>
  </si>
  <si>
    <t>Ngân hàng TMCP Quân Đội, CN Bắc Hải Phòng</t>
  </si>
  <si>
    <t>Số 6B147 tổ 12, P. Thành Tô, Q. Hải An, TP Hải Phòng</t>
  </si>
  <si>
    <t>V10387C</t>
  </si>
  <si>
    <t>1005543891</t>
  </si>
  <si>
    <t>SHB Hải Phòng -  PGD Lạch Tray</t>
  </si>
  <si>
    <t>0313.763.777</t>
  </si>
  <si>
    <t>0201618244</t>
  </si>
  <si>
    <t>Số 10/238 Hào Khê, P. Kênh Dương, Q. Lê chân, TP.Hải phòng</t>
  </si>
  <si>
    <t>V10224C</t>
  </si>
  <si>
    <t>SHB Hải Phòng  - PGD Lạch Tray</t>
  </si>
  <si>
    <t>V10224B</t>
  </si>
  <si>
    <t>V10224A</t>
  </si>
  <si>
    <t>04701010011168</t>
  </si>
  <si>
    <t>Maritime Bank Bến Nghé</t>
  </si>
  <si>
    <t>0309378975</t>
  </si>
  <si>
    <t>V10478C</t>
  </si>
  <si>
    <t>V10478B</t>
  </si>
  <si>
    <t>171914851025598</t>
  </si>
  <si>
    <t>Ngân hàng TMCP Xuất nhập khẩu Việt Nam - CN Ba Đình, Hà Nội</t>
  </si>
  <si>
    <t>0106221143</t>
  </si>
  <si>
    <t>131 Thôn 6, xã Song Phương, huyện Hoài Đức, thành phố Hà Nội, Việt Nam</t>
  </si>
  <si>
    <t>V10237C</t>
  </si>
  <si>
    <t>V10237B</t>
  </si>
  <si>
    <t>V10237A</t>
  </si>
  <si>
    <t>11025079735013 (VND) / 19125079735017 (JPY)</t>
  </si>
  <si>
    <t>Techcombank Đông Đô</t>
  </si>
  <si>
    <t>0422601102</t>
  </si>
  <si>
    <t>0105612754</t>
  </si>
  <si>
    <t>Số nhà 63A, ngõ 12 phố Chính Kinh, phường Nhân Chính, quận Thanh Xuân, TP.Hà Nội</t>
  </si>
  <si>
    <t>V10098B</t>
  </si>
  <si>
    <t>V10098A</t>
  </si>
  <si>
    <t>V10098C</t>
  </si>
  <si>
    <t>001704060066199</t>
  </si>
  <si>
    <t>TMCP Quốc tế - Hội sở chính</t>
  </si>
  <si>
    <t>0102035347</t>
  </si>
  <si>
    <t>P802, CT4, Khu Mỹ Đình II, Xã Mỹ Đình, huyện Từ Liêm, thành phố Hà Nội</t>
  </si>
  <si>
    <t>V10233C</t>
  </si>
  <si>
    <t>V10233B</t>
  </si>
  <si>
    <t>V10233A</t>
  </si>
  <si>
    <t>0031006668888(VND)/0031376668899(USD)</t>
  </si>
  <si>
    <t>Vietcombank- Haiphong Branch</t>
  </si>
  <si>
    <t>031.3246508</t>
  </si>
  <si>
    <t>0201275452</t>
  </si>
  <si>
    <t>Khu đất CN5.2E, KCN Đình Vũ, P.Đông Hải 2, Q.Hải An, thuộc khu kinh tế Đình Vũ- Cát Hải-Hải Phòng</t>
  </si>
  <si>
    <t>V10182C</t>
  </si>
  <si>
    <t>V10182B</t>
  </si>
  <si>
    <t>V10182A</t>
  </si>
  <si>
    <t>020025911858</t>
  </si>
  <si>
    <t>Sacombank / CN Hà Nội , PGD Lĩnh Nam</t>
  </si>
  <si>
    <t>0934233898</t>
  </si>
  <si>
    <t>Số 130, ngách 90, ngõ 179, phố Vĩnh Hưng, Phường Vĩnh Hưng, Quận Hoàng Mai, Thành phố Hà Nội</t>
  </si>
  <si>
    <t>V10370C</t>
  </si>
  <si>
    <t>Công ty TNHH Đào tạo Phát triển doanh  nghiệp Việt</t>
  </si>
  <si>
    <t>Số 1, ngõ 107/33/9 đường Lĩnh Nam, P.Vĩnh Hưng, Q.Hoàng Mai, Hà nội</t>
  </si>
  <si>
    <t>V4089C0</t>
  </si>
  <si>
    <t>Số 45, ngách 26, ngõ 185 phố Minh Khai, phường Minh Khai, quận Hai Bà Trưng, TP Hà Nội, Việt Nam</t>
  </si>
  <si>
    <t>091-022947-001</t>
  </si>
  <si>
    <t>54-56 Nguyễn Trãi, Phường Bến Thành, Quận 1, Thành phố Hồ Chí Minh, Việt Nam</t>
  </si>
  <si>
    <t>V10560C</t>
  </si>
  <si>
    <t>H15-795-012656</t>
  </si>
  <si>
    <t>Mizuho Bank, Ltd - CN Hà Nội</t>
  </si>
  <si>
    <t>84-4-3766-5990</t>
  </si>
  <si>
    <t>0106188591</t>
  </si>
  <si>
    <t>201, tầng 2, V-Tower, 649 Kim Mã, quận Ba Đình, Hà Nội, Việt Nam</t>
  </si>
  <si>
    <t>V10138C</t>
  </si>
  <si>
    <t>V10138B</t>
  </si>
  <si>
    <t>V10138A</t>
  </si>
  <si>
    <t>0031000172293</t>
  </si>
  <si>
    <t>0200566917</t>
  </si>
  <si>
    <t>Số 71 Lạch Tray, phường Lạch Tray, quận Ngô Quyền, Hải Phòng</t>
  </si>
  <si>
    <t>V10530B</t>
  </si>
  <si>
    <t>V10530C</t>
  </si>
  <si>
    <t>3321654001</t>
  </si>
  <si>
    <t>Indovina Bank - CN Hải Phòng</t>
  </si>
  <si>
    <t>0313.838052</t>
  </si>
  <si>
    <t>0200735812</t>
  </si>
  <si>
    <t>Số 81 Tam Bạc, Phạm Hồng Thái, Hồng Bàng, Hải Phòng</t>
  </si>
  <si>
    <t>V10177C</t>
  </si>
  <si>
    <t>V10177B</t>
  </si>
  <si>
    <t>V10177A</t>
  </si>
  <si>
    <t>0302492018</t>
  </si>
  <si>
    <t>NH CitiBank N.A , CN TP. Hồ Chí Minh</t>
  </si>
  <si>
    <t>0311721886</t>
  </si>
  <si>
    <t>Tòa nhà Minh long, 17 Bà Huyện Thanh Quan, Phường 6, Quận 3, TP Hồ Chí Minh</t>
  </si>
  <si>
    <t>V10512C</t>
  </si>
  <si>
    <t>32110000818336</t>
  </si>
  <si>
    <t>Ngân hàng TMCP đầu tư và phát triển Việt Nam - CN Hải Phòng</t>
  </si>
  <si>
    <t>0201337042</t>
  </si>
  <si>
    <t>Số 109, Lô NO-5, khu đô thị mới Sở Dầu, phường Sở Dầu, quận Hồng Bàng, Thành Phố Hải Phòng, Việt Nam</t>
  </si>
  <si>
    <t>V10114C</t>
  </si>
  <si>
    <t>Ngân hàng TMCP Đầu tư và Phát triển Việt Nam- CN Hải Phòng</t>
  </si>
  <si>
    <t>V10114B</t>
  </si>
  <si>
    <t>V10114A</t>
  </si>
  <si>
    <t>CG440047C0</t>
  </si>
  <si>
    <t>11720192072012</t>
  </si>
  <si>
    <t>Techcombank - CN Hoàng Quốc Việt, Tp Hà Nội</t>
  </si>
  <si>
    <t>04 3366 4038</t>
  </si>
  <si>
    <t>0102007678</t>
  </si>
  <si>
    <t>P108, 242A Minh Khai, Quận Hai Bà Trưng, Hà Nội</t>
  </si>
  <si>
    <t>V10067C</t>
  </si>
  <si>
    <t>V10067B</t>
  </si>
  <si>
    <t>V10067A</t>
  </si>
  <si>
    <t>06811 0078 8001 (USD)/06811 0078 7005 (VND)</t>
  </si>
  <si>
    <t>Ngân hàng TMCP Quân đội - CN Thăng Long - Hà nội</t>
  </si>
  <si>
    <t>04.3795 9933</t>
  </si>
  <si>
    <t>0106707261</t>
  </si>
  <si>
    <t>Tầng 5, số 84, phố Duy Tân, P.Dịch Vọng, Q.Cầu giấy, Hà nội</t>
  </si>
  <si>
    <t>V10021C</t>
  </si>
  <si>
    <t>Ngân hàng TMCP Quân đội - CN Thăng Long- Hà nội</t>
  </si>
  <si>
    <t>Tầng 5, số 84, phố Duy Tân, Phường Dịch Vọng Hậu, Q.Cầu giấy, Hà nội</t>
  </si>
  <si>
    <t>V10021B</t>
  </si>
  <si>
    <t>V10021A</t>
  </si>
  <si>
    <t>31010000057315</t>
  </si>
  <si>
    <t>Đầu tư và phát triển Việt Nam - CN TP.HCM</t>
  </si>
  <si>
    <t>08 39300400</t>
  </si>
  <si>
    <t>0302853759</t>
  </si>
  <si>
    <t>D403 Nguyễn Văn Linh, khu phố Hưng Vượng, phường Tân Phong, quận 7, TP HCM</t>
  </si>
  <si>
    <t>V10209C</t>
  </si>
  <si>
    <t>V10209B</t>
  </si>
  <si>
    <t>V10209A</t>
  </si>
  <si>
    <t>32110000932883</t>
  </si>
  <si>
    <t>Ngân hàng BIDV – Chi nhánh Hải Phòng</t>
  </si>
  <si>
    <t>Công ty TNHH Công nghiệp Phụ Trợ HPTech</t>
  </si>
  <si>
    <t>Số nhà 42, ngõ 17 Thị Trấn An Dương, Huyện An Dương, thành phố Hải Phòng</t>
  </si>
  <si>
    <t>V10422C</t>
  </si>
  <si>
    <t>020.0101.0004325</t>
  </si>
  <si>
    <t>TMCP Hàng Hải - CN Hải Phòng</t>
  </si>
  <si>
    <t>0200278475</t>
  </si>
  <si>
    <t>Số 14 lô 26D, Khu đô thị Ngã 5 Sân bay Cát Bi, P.Đông Khê, Q.Ngô Quyền, TP.Hải Phòng</t>
  </si>
  <si>
    <t>V10037C</t>
  </si>
  <si>
    <t>V10037B</t>
  </si>
  <si>
    <t>V10037A</t>
  </si>
  <si>
    <t>170014851018122</t>
  </si>
  <si>
    <t>Ngân Hàng TMCP Xuất Nhập Khẩu VN - Chi Nhánh Ba Đình,Hà Nội</t>
  </si>
  <si>
    <t>04.85861298/ 0905859186</t>
  </si>
  <si>
    <t>0105547551</t>
  </si>
  <si>
    <t>Khu C, Xã Kim Nỗ, Huyện Đông Anh, Thành Phố Hà Nội, Việt Nam</t>
  </si>
  <si>
    <t>V10218C</t>
  </si>
  <si>
    <t>V10218B</t>
  </si>
  <si>
    <t>V10218A</t>
  </si>
  <si>
    <t>66162953066</t>
  </si>
  <si>
    <t>Ngân hàng TNHH MTV Standard Chartered VN</t>
  </si>
  <si>
    <t>04.3785 3839</t>
  </si>
  <si>
    <t>0101451760</t>
  </si>
  <si>
    <t>Số 1, ngõ 172 phố Thái Thịnh, phường Trung Liệt, quận Đống Đa, Hà Nội</t>
  </si>
  <si>
    <t>V10032C</t>
  </si>
  <si>
    <t>V10032B</t>
  </si>
  <si>
    <t>V10032A</t>
  </si>
  <si>
    <t>Standard Chartered Bank - CN Hà Nội</t>
  </si>
  <si>
    <t>V4016C0</t>
  </si>
  <si>
    <t>0491001724025</t>
  </si>
  <si>
    <t>NH TMCP Ngoại thương Việt Nam-CN Thăng Long Hà Nội</t>
  </si>
  <si>
    <t>39949825</t>
  </si>
  <si>
    <t>0103779444</t>
  </si>
  <si>
    <t>Phòng 301, tòa nhà 9 tầng, số 172 phố Trần Bình, phường Mỹ Đình 2, Nam Từ Liêm, Hà Nội</t>
  </si>
  <si>
    <t>V10390C</t>
  </si>
  <si>
    <t>1003234089</t>
  </si>
  <si>
    <t>Ngân hàng TMCP Sài Gòn-Hà Nội,CN Trung Hòa Nhân Chính,Trung Yên</t>
  </si>
  <si>
    <t>0917916628</t>
  </si>
  <si>
    <t>0106207565</t>
  </si>
  <si>
    <t>Số 3, Tổ 18 đường Hồ Từng Mậu, Mai Dịch, Cầu Giấy, Hà Nội, Việt Nam</t>
  </si>
  <si>
    <t>V10395B</t>
  </si>
  <si>
    <t>Ngân hàng TMCP Sài Gòn-Hà Nội-chi nhánh Trung Hòa Nhân Chính</t>
  </si>
  <si>
    <t>Số 3 tổ 18 đường Hồ Tùng Mậu, phường Mai Dịch, quận Cầu Giấy, TP Hà nội</t>
  </si>
  <si>
    <t>V10395C</t>
  </si>
  <si>
    <t>1600201023280</t>
  </si>
  <si>
    <t>Ngân hàng NN &amp; PTNT Việt Nam, CN Sài Gòn</t>
  </si>
  <si>
    <t>728 Võ Văn Kiệt,Phường 01,Quận 5,Thành phố Hồ Chí Minh</t>
  </si>
  <si>
    <t>V10361C</t>
  </si>
  <si>
    <t>V10361A</t>
  </si>
  <si>
    <t>0838363964</t>
  </si>
  <si>
    <t>728 Võ Văn Kiệt,Phường 01, Quận 5, Thành phố Hồ Chí Minh, VN</t>
  </si>
  <si>
    <t>V10361B</t>
  </si>
  <si>
    <t>160314851019924</t>
  </si>
  <si>
    <t>Ngân hàng xuất nhập khẩu Việt Nam - CN Hải Phòng</t>
  </si>
  <si>
    <t>0201305019</t>
  </si>
  <si>
    <t>Số 15B/42/261 Trần Nguyên Hãn, P.Nghĩa Xá, Q.Lê Chân, TP. Hải Phòng</t>
  </si>
  <si>
    <t>V10137C</t>
  </si>
  <si>
    <t>Ngân hàng xuất nhập khẩu Việt Nam- CN Hải Phòng</t>
  </si>
  <si>
    <t>V10137B</t>
  </si>
  <si>
    <t>V10137A</t>
  </si>
  <si>
    <t>10201-0001191710</t>
  </si>
  <si>
    <t>Công thương Việt Nam - CN Ba Đình</t>
  </si>
  <si>
    <t>04.3573 9718</t>
  </si>
  <si>
    <t>0105139425</t>
  </si>
  <si>
    <t>178 Xa Dan II Lane, Dong Da Dist, Hanoi, Vietnam</t>
  </si>
  <si>
    <t>V10054C</t>
  </si>
  <si>
    <t>V10054B</t>
  </si>
  <si>
    <t>V10054A</t>
  </si>
  <si>
    <t>1015054191</t>
  </si>
  <si>
    <t>Ngân hàng TMCP Ngoại thương Việt Nam - Chi nhánh Gia Định</t>
  </si>
  <si>
    <t>0312975474</t>
  </si>
  <si>
    <t>79/1 Lý Chính Thắng, Phường Võ Thị Sáu, Quận 3, Thành phố Hồ Chí Minh, Việt Nam</t>
  </si>
  <si>
    <t>V10248C</t>
  </si>
  <si>
    <t>100790719</t>
  </si>
  <si>
    <t>TMCP Á Châu- CN Linh Đàm</t>
  </si>
  <si>
    <t>04 3641 7588</t>
  </si>
  <si>
    <t>0105222602</t>
  </si>
  <si>
    <t>Số 21E ngõ 71 đường Khương Hạ, phường Khương Đình, quận Thanh Xuân, thành phố Hà Nội</t>
  </si>
  <si>
    <t>V10091C</t>
  </si>
  <si>
    <t>V10091B</t>
  </si>
  <si>
    <t>V10091A</t>
  </si>
  <si>
    <t>32110000675966</t>
  </si>
  <si>
    <t>NH TMCP Đầu tư và phát triển Việt Nam (BIDV) - CN Hải Phòng</t>
  </si>
  <si>
    <t>0313 685 292</t>
  </si>
  <si>
    <t>0201261361</t>
  </si>
  <si>
    <t>Thôn 10 (tại nhà ông Đặng Văn Muôn), xã Việt Tiến, huyện Vĩnh Bảo, thành phố Hải Phòng, Việt Nam</t>
  </si>
  <si>
    <t>V10117B</t>
  </si>
  <si>
    <t>V10117A</t>
  </si>
  <si>
    <t>V10117C</t>
  </si>
  <si>
    <t>3409199</t>
  </si>
  <si>
    <t>Ngân hàng TMCP Á Châu - Chi nhánh Hải Phòng</t>
  </si>
  <si>
    <t>0313778862</t>
  </si>
  <si>
    <t>0200415717</t>
  </si>
  <si>
    <t>18/21/170 Phạm Hữu Điều,Phường Niệm Nghĩa,Lê Chân,Hải phòng</t>
  </si>
  <si>
    <t>V10041A</t>
  </si>
  <si>
    <t>V10041C</t>
  </si>
  <si>
    <t>V10041B</t>
  </si>
  <si>
    <t>12112216</t>
  </si>
  <si>
    <t>Ngân hàng TMCP Á Châu (ACB)-PGD Gò Cát</t>
  </si>
  <si>
    <t>Công Ty TNHH Công Nghệ Bách Khoa Phú Thọ</t>
  </si>
  <si>
    <t>276/29/13 Mã Lò, khu phố 6, phường Bình Trị Đông A, quận Bình Tân, thành phố Hồ Chí Minh, Việt Nam</t>
  </si>
  <si>
    <t>V10623C</t>
  </si>
  <si>
    <t>11021174987016</t>
  </si>
  <si>
    <t>Ngân hàng Techcombank - CN Đông Đô</t>
  </si>
  <si>
    <t>0102957292</t>
  </si>
  <si>
    <t>Số nhà 7H 12/93 phố Chính Kinh, P. Nhân Chính, Q. Thanh Xuân, TP. Hà Nội</t>
  </si>
  <si>
    <t>V4015C0</t>
  </si>
  <si>
    <t>V10069C</t>
  </si>
  <si>
    <t>V10069B</t>
  </si>
  <si>
    <t>V10069A</t>
  </si>
  <si>
    <t>33473609</t>
  </si>
  <si>
    <t>031.3570127</t>
  </si>
  <si>
    <t>0200779062</t>
  </si>
  <si>
    <t>Thôn An Dương, xã An Đồng, An Dương, TP.Hải Phòng</t>
  </si>
  <si>
    <t>V10121C</t>
  </si>
  <si>
    <t>V10121B</t>
  </si>
  <si>
    <t>V10121A</t>
  </si>
  <si>
    <t>116236789</t>
  </si>
  <si>
    <t>ACB - CN Duyên Hải</t>
  </si>
  <si>
    <t>+84 31 2819350</t>
  </si>
  <si>
    <t>0200821331</t>
  </si>
  <si>
    <t>45/5A Phạm Phú Thứ, Hạ Lý, Hồng Bàng, Hải Phòng</t>
  </si>
  <si>
    <t>V10140C</t>
  </si>
  <si>
    <t>V10140B</t>
  </si>
  <si>
    <t>V10140A</t>
  </si>
  <si>
    <t>10020001 (VND)/10020000 (USD)</t>
  </si>
  <si>
    <t>Sumitomo Mitsui Banking Corporation - Chi nhánh Hà Nội</t>
  </si>
  <si>
    <t>031 3260715</t>
  </si>
  <si>
    <t>0201162843</t>
  </si>
  <si>
    <t>Lô CN 3.2K khu công nghiệp Đình Vũ, P. Đông Hải 2, Q. Hải An, thuộc KKT Đình Vũ - Cát Hải, TP. Hải Phòng, Việt Nam</t>
  </si>
  <si>
    <t>V10006C</t>
  </si>
  <si>
    <t>V10006B</t>
  </si>
  <si>
    <t>V10006A</t>
  </si>
  <si>
    <t>0211000417006</t>
  </si>
  <si>
    <t>Ngân hàng Bảo Việt - CN Hải phòng</t>
  </si>
  <si>
    <t>0201026583</t>
  </si>
  <si>
    <t>Số 40/29 Hai Bà Trưng, phường An Biên, quận Lê Chân, Hải Phòng</t>
  </si>
  <si>
    <t>V10075C</t>
  </si>
  <si>
    <t>Ngân hàng Bảo Việt  - CN Hải phòng</t>
  </si>
  <si>
    <t>V10075B</t>
  </si>
  <si>
    <t>V10075A</t>
  </si>
  <si>
    <t>Phường 8  27 Cư Xá Bình Thới Đường số 7, Quận 11 Thành phố Hồ Chí Minh, Việt Nam</t>
  </si>
  <si>
    <t>V10292C</t>
  </si>
  <si>
    <t>0031.000.154.588</t>
  </si>
  <si>
    <t>0201278968</t>
  </si>
  <si>
    <t>Số 11D, tập thể Đoàn xe Ngoại Thương, P.Vạn Mỹ, Q.Ngô Quyền, Tp.Hải Phòng</t>
  </si>
  <si>
    <t>V10105A</t>
  </si>
  <si>
    <t>V10105C</t>
  </si>
  <si>
    <t>V10105B</t>
  </si>
  <si>
    <t>115002672787</t>
  </si>
  <si>
    <t>Ngân hàng TMCP Công thương Việt Nam (Vietinbank)-Chi nhánh Ngô Quyền</t>
  </si>
  <si>
    <t>Công ty TNHH cơ khí công nghiệp phụ trợ Việt Nam</t>
  </si>
  <si>
    <t>0201905915</t>
  </si>
  <si>
    <t>Số 463, khu TĐC Đằng Lâm I, Phường Thành Tô, Quận Hải An, Thành phố Hải Phòng, Việt Nam</t>
  </si>
  <si>
    <t>V10719B</t>
  </si>
  <si>
    <t>V10719C</t>
  </si>
  <si>
    <t>001-174499-001</t>
  </si>
  <si>
    <t>HSBC - Ho Chi Minh City Branch</t>
  </si>
  <si>
    <t>84838446203</t>
  </si>
  <si>
    <t>0304680974</t>
  </si>
  <si>
    <t>Số 6, Thăng long, phường 04,Tân Bình, Hồ Chí Minh</t>
  </si>
  <si>
    <t>V10080C</t>
  </si>
  <si>
    <t>V10080B</t>
  </si>
  <si>
    <t>V10080A</t>
  </si>
  <si>
    <t>0031000038888</t>
  </si>
  <si>
    <t>Số 412, Khu HK10, dự án Waterfront city, Phường Vĩnh Niệm, Quận Lê Chân, TP Hải Phòng</t>
  </si>
  <si>
    <t>V10618C</t>
  </si>
  <si>
    <t>19035962343014</t>
  </si>
  <si>
    <t>Ngân hàng Techcombank-Chi nhánh Văn Cao, Hải Phòng</t>
  </si>
  <si>
    <t>CÔNG TY TNHH CHẾ TẠO CƠ ĐIỆN &amp; THƯƠNG MẠI ANH DŨNG</t>
  </si>
  <si>
    <t>Xóm Chợ,Thôn Vĩnh Khê (tại nhà ông Nguyễn Hữu Thuyết), Xã An Đồng,Huyện An DươngThành phố Hải Phòng, Việt Nam</t>
  </si>
  <si>
    <t>V10634C</t>
  </si>
  <si>
    <t>V10634B</t>
  </si>
  <si>
    <t>0341005490128</t>
  </si>
  <si>
    <t>0800374886</t>
  </si>
  <si>
    <t>Lô XN 25-1, KCN Đại An,Phường Tứ Minh,Thành phố Hải Dương,Tỉnh Hải Dương, Việt Nam</t>
  </si>
  <si>
    <t>V10683C</t>
  </si>
  <si>
    <t>140414851000990</t>
  </si>
  <si>
    <t>Ngân hàng TMCP Xuất nhập khẩu Việt Nam - CN Cộng hòa</t>
  </si>
  <si>
    <t>84 8 5434 1457</t>
  </si>
  <si>
    <t>0400539269</t>
  </si>
  <si>
    <t>270-272 Cộng Hòa, Phường 13, Quận Tân Bình, TP.HCM</t>
  </si>
  <si>
    <t>V10305C</t>
  </si>
  <si>
    <t>Eximbank CN Cộng Hòa, TP.HCM</t>
  </si>
  <si>
    <t>V4042C0</t>
  </si>
  <si>
    <t>4255688688</t>
  </si>
  <si>
    <t>Ngân Hàng Thương Mại Á Châu-Chi nhánh Duyên Hải- Hải Phòng</t>
  </si>
  <si>
    <t>Số 6B85-B3, Phường Cát Bi,Quận Hải An,Thành phố Hải Phòng, Việt Nam</t>
  </si>
  <si>
    <t>V10685C</t>
  </si>
  <si>
    <t>0591000210739</t>
  </si>
  <si>
    <t>Vietcombank - Chi nhánh Hưng Yên</t>
  </si>
  <si>
    <t>84-321-3974 580</t>
  </si>
  <si>
    <t>0900302204</t>
  </si>
  <si>
    <t>Lô C9, Khu CN Thăng Long II, huyện Yên Mỹ, tỉnh Hưng Yên</t>
  </si>
  <si>
    <t>V10136B</t>
  </si>
  <si>
    <t>V10136A</t>
  </si>
  <si>
    <t>V10136C</t>
  </si>
  <si>
    <t>001-071604-001</t>
  </si>
  <si>
    <t>Ngân hàng TNHH Một thành viên HSBC (Việt Nam)</t>
  </si>
  <si>
    <t>364 Đường Cộng Hòa, Phường 13, Quận Tân Bình, Thành phố Hồ Chí Minh, Việt Nam</t>
  </si>
  <si>
    <t>V10671C</t>
  </si>
  <si>
    <t>001-072776-001</t>
  </si>
  <si>
    <t>364 Đường Cộng Hòa, P13, Quận Tân Bình, TP Hồ Chí Minh, Việt Nam</t>
  </si>
  <si>
    <t>V10619C</t>
  </si>
  <si>
    <t>001-510916-061</t>
  </si>
  <si>
    <t>Ngân hàng HSBC  Việt Nam</t>
  </si>
  <si>
    <t>0305988521</t>
  </si>
  <si>
    <t>Tầng 15, Cao ốc APC, số 518B Đường Điện Biên Phủ, Phường 21, Quận Bình Thạnh, Thành phố Hồ Chí Minh, Việt Nam</t>
  </si>
  <si>
    <t>V10254C</t>
  </si>
  <si>
    <t>H15-795-000764</t>
  </si>
  <si>
    <t>Mizuho bank, Ltd-chi nhánh Hà Nội</t>
  </si>
  <si>
    <t>Lô đất XN01, khu công nghiệp Lai Cách, thị trấn Lai Cách, huyện Cẩm Giàng, tỉnh Hải Dương</t>
  </si>
  <si>
    <t>V10591C</t>
  </si>
  <si>
    <t>001-471614-041</t>
  </si>
  <si>
    <t>HSBC Vietnam-Ho Chi Minh Branch</t>
  </si>
  <si>
    <t>Công ty TNHH Bất động sản Nam</t>
  </si>
  <si>
    <t>0303475193</t>
  </si>
  <si>
    <t>28 Phan Đình Giót, P.2, Q.Tân Bình, TP.Hồ Chí Minh</t>
  </si>
  <si>
    <t>V4014C0</t>
  </si>
  <si>
    <t>28 Phan Đình Giót, P.2, Q.Tân Bình, Hồ Chí Minh</t>
  </si>
  <si>
    <t>CG440008C0</t>
  </si>
  <si>
    <t>Công ty TNHH Bảo hiểm Phi Nhân Thọ MSIG Việt Nam</t>
  </si>
  <si>
    <t>tầng 11, tòa nhà Sun City, 13 Hai Bà Trưng, phường Tràng Tiền, Quận Hoàn Kiếm, Hà Nội</t>
  </si>
  <si>
    <t>CG490004C0</t>
  </si>
  <si>
    <t>1300089-1</t>
  </si>
  <si>
    <t>043 936 9188</t>
  </si>
  <si>
    <t>0102973336</t>
  </si>
  <si>
    <t>V10033C</t>
  </si>
  <si>
    <t>V10033B</t>
  </si>
  <si>
    <t>V10033A</t>
  </si>
  <si>
    <t>0301676026</t>
  </si>
  <si>
    <t>Citibank - Hồ Chí Minh</t>
  </si>
  <si>
    <t>Số 9, Đinh Tiên Hoàng, Quận 1, TP Hồ Chí Minh</t>
  </si>
  <si>
    <t>H15-795-500976</t>
  </si>
  <si>
    <t>Ngân hàng Mizuho Bank, Ltd - Chi nhánh Hà Nội</t>
  </si>
  <si>
    <t>02439330704</t>
  </si>
  <si>
    <t>CÔNG TY TNHH BẢO HIỂM BẢO VIÊT TOKIO MARINE</t>
  </si>
  <si>
    <t>0300584356</t>
  </si>
  <si>
    <t>số 23 Phan Chu Trinh, phòng 601, tầng 6, tòa nhà Mặt trời sông Hồng, quận Hoàn Kiếm, Hà Nội</t>
  </si>
  <si>
    <t>V10411C</t>
  </si>
  <si>
    <t>38020838</t>
  </si>
  <si>
    <t>VP Bank / Kinh Đô, PGD Thanh Xuân</t>
  </si>
  <si>
    <t>0422178899</t>
  </si>
  <si>
    <t>Xóm Chùa Mới, thôn Triều Khúc, xã Tân Triều, huyện Thanh Trì, thành phố Hà Nội</t>
  </si>
  <si>
    <t>V10366C</t>
  </si>
  <si>
    <t>H15-795-006388</t>
  </si>
  <si>
    <t>MIZUHO BANK , LTD - Hanoi branch</t>
  </si>
  <si>
    <t>Tầng 2, 17T2 Hapulico Complex, số 1 Nguyễn Huy Tưởng, P.Thanh Xuân Trung, quận Thanh Xuân, Hà Nội</t>
  </si>
  <si>
    <t>V10319C</t>
  </si>
  <si>
    <t>84-4-3217 1112</t>
  </si>
  <si>
    <t>Ô số 2,3,4,5 tầng 9, tòa nhà Văn phòng Sông Hồng, số 165 phố Thái Hà, phường Láng Hạ, Quận Đống Đa, Thành phố Hà Nội</t>
  </si>
  <si>
    <t>V10319B</t>
  </si>
  <si>
    <t>2104201006569</t>
  </si>
  <si>
    <t>Agribank - Chi nhánh Kiến An</t>
  </si>
  <si>
    <t>0201856626</t>
  </si>
  <si>
    <t>Ngõ 92 Phạm Hải (nhà ông Nguyễn Hữu Tưởng), phường Đa Phúc, quận Dương Kinh, thành phố Hải Phòng, Việt Nam</t>
  </si>
  <si>
    <t>V10540C</t>
  </si>
  <si>
    <t>NH Nông nghiệp và phát triển nông thôn Việt Nam-CN Kiến An</t>
  </si>
  <si>
    <t>V10540B</t>
  </si>
  <si>
    <t>101 9561-05-0</t>
  </si>
  <si>
    <t>DEUTSCHE BANK AG - HO CHI MINH BRANCH</t>
  </si>
  <si>
    <t>Tầng 20, tòa nhà PVI, lô VP2 khu nhà ở và công trình công cộng Yên Hòa, Phường Yên Hòa, Quận Cầu Giấy, Hà Nội, Việt Nam</t>
  </si>
  <si>
    <t>V10225C</t>
  </si>
  <si>
    <t>V10225B</t>
  </si>
  <si>
    <t>V10225A</t>
  </si>
  <si>
    <t>1121022011</t>
  </si>
  <si>
    <t>Vietcombank - CN Tân Sài Gòn</t>
  </si>
  <si>
    <t>0310638561</t>
  </si>
  <si>
    <t>157 Phạm Thái Bường, phường Tân Phong, Quận 7, TP.HCM</t>
  </si>
  <si>
    <t>152849019</t>
  </si>
  <si>
    <t>Ngân hàng TMCP Á Châu - PGD Lạch Tray - Hải Phòng</t>
  </si>
  <si>
    <t>Công ty TNHH Asiasun Việt Nam</t>
  </si>
  <si>
    <t>0201286870</t>
  </si>
  <si>
    <t>771 Đường Ngô Gia Tự, P. Đằng Lâm, Q. Hải An, TP Hải Phòng</t>
  </si>
  <si>
    <t>V10135C</t>
  </si>
  <si>
    <t>V10135B</t>
  </si>
  <si>
    <t>V10135A</t>
  </si>
  <si>
    <t>001.1.00.4045435</t>
  </si>
  <si>
    <t>Căn số 24, BT1- Khu đô thị mới Mễ Trì, Phường Mễ Trì, Quận Nam Từ Liêm, Thành phố Hà Nội, Việt Nam</t>
  </si>
  <si>
    <t>V10597B</t>
  </si>
  <si>
    <t>Căn số 24, BT1-khu đô thị mới Mễ Trì, phường Mễ Trì, quận Nam Từ Liêm, thành phố Hà Nội, Việt Nam</t>
  </si>
  <si>
    <t>V10597C</t>
  </si>
  <si>
    <t>1501.00.00.00.8982</t>
  </si>
  <si>
    <t>Ngân hàng TMCP đầu tư và phát triển Việt Nam (BIDV)-Long Biên HN</t>
  </si>
  <si>
    <t>Hẻm 36, ngách 1, ngõ 49 phố Đức Giang, phường Đức Giang, quận Long Biên, thành phố Hà Nội</t>
  </si>
  <si>
    <t>V10589C</t>
  </si>
  <si>
    <t>091060749001</t>
  </si>
  <si>
    <t>Ngân hàng HSBC-Chi nhánh Hồ Chí Minh</t>
  </si>
  <si>
    <t>CÔNG TY TNHH AMMEGA VIỆT NAM</t>
  </si>
  <si>
    <t>V10475B</t>
  </si>
  <si>
    <t>0310805639</t>
  </si>
  <si>
    <t>V10475C</t>
  </si>
  <si>
    <t>H15-796-524988</t>
  </si>
  <si>
    <t>Mizuho Bank, Ltd-Chi nhánh thành phố Hồ Chí Minh</t>
  </si>
  <si>
    <t>Số 20 Nguyễn Đăng Giai,Phường Thảo Điền,Thành phố Thủ Đức,Thành phố Hồ Chí Minh, Việt Nam</t>
  </si>
  <si>
    <t>V10630C</t>
  </si>
  <si>
    <t>Công ty TNHH AMANO Việt Nam</t>
  </si>
  <si>
    <t>V10630B</t>
  </si>
  <si>
    <t>Công ty TNHH ẩm thực Nhật bản mặt trời đỏ - Chi nhánh Hải phòng</t>
  </si>
  <si>
    <t>294 Văn Cao, Đằng Lâm, Hải An, Hải Phòng</t>
  </si>
  <si>
    <t>V4081C0</t>
  </si>
  <si>
    <t>0021000321906</t>
  </si>
  <si>
    <t>Ngân hàng TMCP Ngoại thương Việt Nam - CN Hà nội</t>
  </si>
  <si>
    <t>Tầng 8, Tòa nhà Sannam, P.Duy Tân, P.Dịch Vọng, Q.Cầu giấy, Hà nội</t>
  </si>
  <si>
    <t>V10258C</t>
  </si>
  <si>
    <t>18000541</t>
  </si>
  <si>
    <t>Ngân hàng Sumitomo Mitsui Banking Corporation-CN Tp Hồ Chí Minh</t>
  </si>
  <si>
    <t>Số 261-263, đường Phan Xích Long, phường 2, Tp Hồ Chí Minh</t>
  </si>
  <si>
    <t>V10325C</t>
  </si>
  <si>
    <t>116601516999</t>
  </si>
  <si>
    <t>Ngân hàng TMCP Công thương Việt Nam-Chi nhánh Lê Chân, Hải Phòng</t>
  </si>
  <si>
    <t>0311241512-007</t>
  </si>
  <si>
    <t>Số 10 đường Võ Nguyên Giáp,phường Kênh Dương,Quận Lê Chân,thành phố Hải Phòng, Việt Nam</t>
  </si>
  <si>
    <t>03001017291082</t>
  </si>
  <si>
    <t>Ngân hàng TMCP Hàng Hải Việt Nam-Chi nhánh Hà Nội</t>
  </si>
  <si>
    <t>0109450783</t>
  </si>
  <si>
    <t>Số 1, Ngõ 20 Phố Bồ Đề, Phường Bồ Đề, Quận Long Biên, Thành phố Hà Nội, Việt Nam</t>
  </si>
  <si>
    <t>CG460002C1</t>
  </si>
  <si>
    <t>V10688C</t>
  </si>
  <si>
    <t>208306</t>
  </si>
  <si>
    <t>Ngân hàng ANZ - Chi nhánh TP Hồ Chí Minh</t>
  </si>
  <si>
    <t>98 Đường Nguyễn Thị Minh Khai, Phường 06, Quận 3, TP HCM</t>
  </si>
  <si>
    <t>V10426C</t>
  </si>
  <si>
    <t>0201289078</t>
  </si>
  <si>
    <t>Lô CN3.6-CN4.1, khu công nghiệp Đình Vũ, phường Đông Hải, Hải An, Hải Phòng</t>
  </si>
  <si>
    <t>CG440025C0</t>
  </si>
  <si>
    <t>100 412 00</t>
  </si>
  <si>
    <t>0934 977897</t>
  </si>
  <si>
    <t>Lô CN3.6-CN4.1, khu công nghiệp Đình Vũ, phường Đông Hải 2, Hải An, Hải Phòng</t>
  </si>
  <si>
    <t>V10180C</t>
  </si>
  <si>
    <t>V10180B</t>
  </si>
  <si>
    <t>V10180A</t>
  </si>
  <si>
    <t>H15-795-009734</t>
  </si>
  <si>
    <t>04.3946.0870</t>
  </si>
  <si>
    <t>0105486468</t>
  </si>
  <si>
    <t>Suite 607, tòa nhà 63 Lý Thái Tổ, P. Tràng Tiền, Q. Hoàn Kiếm, TP. Hà Nội</t>
  </si>
  <si>
    <t>003 100 000 304 9</t>
  </si>
  <si>
    <t>0200115223</t>
  </si>
  <si>
    <t>Số 35A, Văn Cao, Ngô Quyền, Hải Phòng</t>
  </si>
  <si>
    <t>CG440001C0</t>
  </si>
  <si>
    <t>0201148983</t>
  </si>
  <si>
    <t>Số 336 Lê Duẩn -  Kiến An - Hải Phòng</t>
  </si>
  <si>
    <t>V10186A</t>
  </si>
  <si>
    <t>V10186C</t>
  </si>
  <si>
    <t>V10186B</t>
  </si>
  <si>
    <t>44607259</t>
  </si>
  <si>
    <t>TMCP Á Châu Hải Phòng - Chi nhánh Quán Toan</t>
  </si>
  <si>
    <t>0313 594 379</t>
  </si>
  <si>
    <t>0200822335</t>
  </si>
  <si>
    <t>Đội 6, xã Kiền Bái, huyện Thủy Nguyên, TP.Hải Phòng</t>
  </si>
  <si>
    <t>V10018C</t>
  </si>
  <si>
    <t>V10018B</t>
  </si>
  <si>
    <t>V10018A</t>
  </si>
  <si>
    <t>999886</t>
  </si>
  <si>
    <t>Ngân hàng TMCP Đại Á, chi nhánh Hải Phòng</t>
  </si>
  <si>
    <t>0313.559.886</t>
  </si>
  <si>
    <t>313/193 Văn Cao, Hải An, Hải Phòng, Việt Nam</t>
  </si>
  <si>
    <t>V10065B</t>
  </si>
  <si>
    <t>V10065A</t>
  </si>
  <si>
    <t>V10065C</t>
  </si>
  <si>
    <t>009704060163929</t>
  </si>
  <si>
    <t>Viet Nam International Bank (VIB) / Hải Phòng</t>
  </si>
  <si>
    <t>02253761985</t>
  </si>
  <si>
    <t>Số 86 Hoàng Thế Thiện, phường Đông Khê, quận Ngô Quyền, thành phố Hải Phòng, VN</t>
  </si>
  <si>
    <t>V10364C</t>
  </si>
  <si>
    <t>0801001622008</t>
  </si>
  <si>
    <t>Ngân hàng TMCP An Bình - PGD Đông Anh</t>
  </si>
  <si>
    <t>04.22492222</t>
  </si>
  <si>
    <t>0102373441</t>
  </si>
  <si>
    <t>Tầng 3, tòa nhà Thanh Hà, Khu CC2, Bắc Linh Đàm, Quận Hoàng Mai, TP. Hà Nội</t>
  </si>
  <si>
    <t>V4012C0</t>
  </si>
  <si>
    <t>19910000016166</t>
  </si>
  <si>
    <t>Ngân hàng TMCP đầu tư và phát triển Việt Nam - CN Hồng Hà</t>
  </si>
  <si>
    <t>P304, CT5-X2 Bắc Linh Đàm, P.Hoàng Liệt, Q.Hoàng Mai, TP Hà nội</t>
  </si>
  <si>
    <t>V10187C</t>
  </si>
  <si>
    <t>V10187B</t>
  </si>
  <si>
    <t>V10187A</t>
  </si>
  <si>
    <t>CG440019C0</t>
  </si>
  <si>
    <t>191 234 180 55 559</t>
  </si>
  <si>
    <t>Ngân hàng Techcombank- CN Hoàng Quốc Việt</t>
  </si>
  <si>
    <t>0437834919</t>
  </si>
  <si>
    <t>Công ty CP vận chuyển và kho vận PCS Post</t>
  </si>
  <si>
    <t>Tầng 6, Tòa nhà 25T1-N05, KĐT Đông Nam Trần Duy Hưng, P.Trung Hòa, Q.Cầu giấy, Hà nội</t>
  </si>
  <si>
    <t>V10058C</t>
  </si>
  <si>
    <t>Tầng 6, Tòa nhà 25T1-N05, KĐT Đông Nam Trần Duy Hưng, P.Trung Hòa, Q.Cầu giấy, HN</t>
  </si>
  <si>
    <t>V10058B</t>
  </si>
  <si>
    <t>Tầng 6 Tòa nhà 25T1-N05 KĐT Đông Nam Trần Duy Hưng, P.Trung Hòa, Q.Cầu giấy, Hà nội</t>
  </si>
  <si>
    <t>V10058A</t>
  </si>
  <si>
    <t>17668927</t>
  </si>
  <si>
    <t>VP bank  - CN Hải Phòng</t>
  </si>
  <si>
    <t>Công ty CP thương mại Quang Cường</t>
  </si>
  <si>
    <t>0201066258</t>
  </si>
  <si>
    <t>Số 114 đường 208 xã An Đồng, huyện An Dương, Hải Phòng</t>
  </si>
  <si>
    <t>0031000126574</t>
  </si>
  <si>
    <t>TMCP Ngoại thương Việt Nam - CN Quan Toan</t>
  </si>
  <si>
    <t>0313 290 193</t>
  </si>
  <si>
    <t>Nhà ông Đinh Văn Vãn, xóm Bắc, xã An Hưng, huyện An Dương, TP.Hải Phòng</t>
  </si>
  <si>
    <t>V10202C</t>
  </si>
  <si>
    <t>V10202B</t>
  </si>
  <si>
    <t>V10202A</t>
  </si>
  <si>
    <t>32310000122165</t>
  </si>
  <si>
    <t>Ngân hàng TMCP đầu tư và phát triển Việt Nam - CN Đông Hải Phòng</t>
  </si>
  <si>
    <t>0201007118</t>
  </si>
  <si>
    <t>Xóm Giữa, Dương Quan, Thủy Nguyên, Hải Phòng</t>
  </si>
  <si>
    <t>CG440012C0</t>
  </si>
  <si>
    <t>0313.261758</t>
  </si>
  <si>
    <t>Công ty Cổ phần Thương mại Châu Thanh</t>
  </si>
  <si>
    <t>Xom Giua, Duong Quan, Thuy Nguyen, Hai Phong</t>
  </si>
  <si>
    <t>V10077C</t>
  </si>
  <si>
    <t>V10077B</t>
  </si>
  <si>
    <t>V10077A</t>
  </si>
  <si>
    <t>002-016798-041</t>
  </si>
  <si>
    <t>Ngân hàng TNHH MTV HSBC (Việt Nam) - CN Hà Nội</t>
  </si>
  <si>
    <t>V10051C</t>
  </si>
  <si>
    <t>V10051B</t>
  </si>
  <si>
    <t>V10051A</t>
  </si>
  <si>
    <t>30100000180458</t>
  </si>
  <si>
    <t>Đông Nam Á - CN Hải Phòng</t>
  </si>
  <si>
    <t>0200768085</t>
  </si>
  <si>
    <t>Số 16 khu dân cư Phú Xá, phường Đông Hải 1, quận Hải An, TP.Hải Phòng</t>
  </si>
  <si>
    <t>V10108C</t>
  </si>
  <si>
    <t>V10108B</t>
  </si>
  <si>
    <t>V10108A</t>
  </si>
  <si>
    <t>1000041472</t>
  </si>
  <si>
    <t>Ngân hàng TMCP Sài Gòn-Hà Nội , Chi nhánh Hải Phòng</t>
  </si>
  <si>
    <t>0313 293538</t>
  </si>
  <si>
    <t>Công ty Cổ phần Kỹ thuật và Thương mại Nhật Việt</t>
  </si>
  <si>
    <t>0201005216</t>
  </si>
  <si>
    <t>Số 4, tổ 17, phường Dư Hàng Kênh, quận Lê Chân, Hải Phòng</t>
  </si>
  <si>
    <t>V10072C</t>
  </si>
  <si>
    <t>V10072B</t>
  </si>
  <si>
    <t>V10072A</t>
  </si>
  <si>
    <t>102010000206978</t>
  </si>
  <si>
    <t>Vietinbank - CN Lê Chân</t>
  </si>
  <si>
    <t>031.3569.569</t>
  </si>
  <si>
    <t>Công ty cp điện tử tin học viễn thông</t>
  </si>
  <si>
    <t>0200585282</t>
  </si>
  <si>
    <t>Số 18 Trần Hưng Đạo, Hoàng Văn Thụ, Hồng Bàng, Hải Phòng</t>
  </si>
  <si>
    <t>V4009C0</t>
  </si>
  <si>
    <t>15110000546823</t>
  </si>
  <si>
    <t>Ngân hàng BIDV - CN Thành Đô</t>
  </si>
  <si>
    <t>CÔNG TY CỔ PHẦN DỊCH VỤ GIÁO DỤC VÀ Y TẾ HÀ VÂN</t>
  </si>
  <si>
    <t>0106065744</t>
  </si>
  <si>
    <t>Số 221, phố Vọng, P.Đồng Tâm, Q.Hai bà trưng, Hà nội</t>
  </si>
  <si>
    <t>V10318C</t>
  </si>
  <si>
    <t>128798929</t>
  </si>
  <si>
    <t>0313.771.676</t>
  </si>
  <si>
    <t>0500597514</t>
  </si>
  <si>
    <t>19 Nguyễn Văn Trỗi - Mộ Lao - Hà Đông - Hà Nội</t>
  </si>
  <si>
    <t>V10079C</t>
  </si>
  <si>
    <t>V10079B</t>
  </si>
  <si>
    <t>V10079A</t>
  </si>
  <si>
    <t>0031000131892</t>
  </si>
  <si>
    <t>Vietcombank Hải Phòng</t>
  </si>
  <si>
    <t>Công ty CP Đầu tư Xây dựng Thương mại Việt Pháp</t>
  </si>
  <si>
    <t>0201183635</t>
  </si>
  <si>
    <t>Số 15 Chùa hàng, Trại cau, Lê chân, Hải Phòng</t>
  </si>
  <si>
    <t>V4008C0</t>
  </si>
  <si>
    <t>CG440005C0</t>
  </si>
  <si>
    <t>6378979-001</t>
  </si>
  <si>
    <t>INDOVINA BANK - CN Hải Phòng - PGD Hồng Bàng</t>
  </si>
  <si>
    <t>Công Ty Cổ phần Đầu Tư Tài Chính và Công Nghệ Datatech</t>
  </si>
  <si>
    <t>0102128168</t>
  </si>
  <si>
    <t>P412,N02, Trần Quý Kiên, Dịch Vọng, Cầu Giấy, Hà Nội</t>
  </si>
  <si>
    <t>V10048C</t>
  </si>
  <si>
    <t>V10048B</t>
  </si>
  <si>
    <t>V10048A</t>
  </si>
  <si>
    <t>22010000209925</t>
  </si>
  <si>
    <t>BIDV- CN Thăng Long</t>
  </si>
  <si>
    <t>Công ty CP Công nghệ và thương mại Systech</t>
  </si>
  <si>
    <t>0102159423</t>
  </si>
  <si>
    <t>119 Phố Hồ đắc di, P.Nam đồng, Q. Đống đa, Hà nội</t>
  </si>
  <si>
    <t>LS-000430</t>
  </si>
  <si>
    <t>054 1101 565 007</t>
  </si>
  <si>
    <t>Ngân hàng MB - CN Thăng Long</t>
  </si>
  <si>
    <t>04 3537 5949</t>
  </si>
  <si>
    <t>0101643127</t>
  </si>
  <si>
    <t>Số nhà 22, ngõ 100/27, Phố Chợ Khâm Thiên, Phường Trung Phụng, Quận Đống Đa, Hà Nội</t>
  </si>
  <si>
    <t>V10226C</t>
  </si>
  <si>
    <t>V10226B</t>
  </si>
  <si>
    <t>V10226A</t>
  </si>
  <si>
    <t>Số nhà 22, ngõ 100/27, Phố Chợ Khâm Thiên, Hà Nội</t>
  </si>
  <si>
    <t>CG440007C0</t>
  </si>
  <si>
    <t>Công ty cổ phần xuất nhập khẩu Tân Kim Lợi</t>
  </si>
  <si>
    <t>Số 41, ngõ 12, Phan Văn Trường, phường Dịch Vọng hậu, quận Cầu Giấy, Hà Nội</t>
  </si>
  <si>
    <t>V10474B</t>
  </si>
  <si>
    <t>71937989</t>
  </si>
  <si>
    <t>ACB - PGD TD Plaza Hải Phòng</t>
  </si>
  <si>
    <t>031.3722228</t>
  </si>
  <si>
    <t>Công ty cổ phần xây dựng và thương mại Thùy Dương</t>
  </si>
  <si>
    <t>0200743429</t>
  </si>
  <si>
    <t>Phòng 519 tòa nhà TD Businese Center, Lô 20, đường Lê Hồng Phong, quận Ngô Quyền, TP Hải Phòng</t>
  </si>
  <si>
    <t>V4007C0</t>
  </si>
  <si>
    <t>160314851001170</t>
  </si>
  <si>
    <t>Ngân hàng EXIMBANK, VN Hải Phòng</t>
  </si>
  <si>
    <t>0904200170</t>
  </si>
  <si>
    <t>Số 45/908, đường Ngô Gia Tự, phường Đằng Hải, quận Hải An, thành phố Hải Phòng</t>
  </si>
  <si>
    <t>V10244C</t>
  </si>
  <si>
    <t>V10244B</t>
  </si>
  <si>
    <t>V10244A</t>
  </si>
  <si>
    <t>14020179344010</t>
  </si>
  <si>
    <t>Ngân hàng TMCP Kỹ thương Việt Nam-Chi nhánh Hà Nội</t>
  </si>
  <si>
    <t>Số 5, ngõ 179 đường Hà Huy Tập, thị trấn Yên Viên, huyện Gia Lâm, thành phố Hà Nội, Việt Nam.</t>
  </si>
  <si>
    <t>V10559B</t>
  </si>
  <si>
    <t>V10559C</t>
  </si>
  <si>
    <t>102057059</t>
  </si>
  <si>
    <t>Ngân hàng ACB - CN Thái Phiên, Hải Phòng</t>
  </si>
  <si>
    <t>0313.246088</t>
  </si>
  <si>
    <t>0201141032</t>
  </si>
  <si>
    <t>Tổ 45A, cụm 8, P.Đông Khê, Q.Ngô Quyền, TP Hải Phòng</t>
  </si>
  <si>
    <t>V10050C</t>
  </si>
  <si>
    <t>V10050B</t>
  </si>
  <si>
    <t>V10050A</t>
  </si>
  <si>
    <t>Công ty Cổ phần Xây dựng số 3 Hải Phòng</t>
  </si>
  <si>
    <t>Tầng 3, Tòa nhà Htower II, Số 195 Văn Cao, Phường Đằng Giang, Q. Ngô Quyền, TP. Hải Phòng</t>
  </si>
  <si>
    <t>CG440003C0</t>
  </si>
  <si>
    <t>109 109 017 950 15</t>
  </si>
  <si>
    <t>0200509429</t>
  </si>
  <si>
    <t>10044501</t>
  </si>
  <si>
    <t>Sumitomo Mitsui Bank Corporation - CN Hà Nội</t>
  </si>
  <si>
    <t>+84 4 35528719</t>
  </si>
  <si>
    <t>0106031368</t>
  </si>
  <si>
    <t>Số 324A Lạc Long Quân, Phường Xuân La, Quận Tây Hồ, Thành phố Hà Nội, Việt Nam</t>
  </si>
  <si>
    <t>V10196C</t>
  </si>
  <si>
    <t>V10196B</t>
  </si>
  <si>
    <t>V10196A</t>
  </si>
  <si>
    <t>0508 00000 1279</t>
  </si>
  <si>
    <t>VID Public Bank - CN Hải phòng</t>
  </si>
  <si>
    <t>0313814.169</t>
  </si>
  <si>
    <t>Công ty cổ phần xây dựng công trình Kiến Lương</t>
  </si>
  <si>
    <t>0200581908</t>
  </si>
  <si>
    <t>B70-71, Villa Anh Dũng, Q. Dương Kinh, Hải phòng</t>
  </si>
  <si>
    <t>V4005C0</t>
  </si>
  <si>
    <t>CG440021C0</t>
  </si>
  <si>
    <t>60585879</t>
  </si>
  <si>
    <t>0313.856311</t>
  </si>
  <si>
    <t>0200925926</t>
  </si>
  <si>
    <t>Số 91A/169 Phạm Hữu Điều, phường Niệm Nghĩa, quận Lê Chân, TP.Hải Phòng</t>
  </si>
  <si>
    <t>V10128C</t>
  </si>
  <si>
    <t>V10128B</t>
  </si>
  <si>
    <t>V10128A</t>
  </si>
  <si>
    <t>Công ty Cổ phần Xây dựng công trình</t>
  </si>
  <si>
    <t>phường Niệm Nghĩa, thành phố Hải Phòng</t>
  </si>
  <si>
    <t>V10542C</t>
  </si>
  <si>
    <t>2101201005577</t>
  </si>
  <si>
    <t>Nông nghiệp và Phát triển nông thôn Việt Nam - CN Quận Ngô Quyền</t>
  </si>
  <si>
    <t>031.3262.124</t>
  </si>
  <si>
    <t>0201185752</t>
  </si>
  <si>
    <t>267A Đà Nẵng - Phường Vạn Mỹ - Quận Ngô Quyền - Thành phố Hải Phòng - Việt Nam</t>
  </si>
  <si>
    <t>V10096C</t>
  </si>
  <si>
    <t>V10096B</t>
  </si>
  <si>
    <t>V10096A</t>
  </si>
  <si>
    <t>0301000340920</t>
  </si>
  <si>
    <t>Ngân hàng TMCP Ngoại thương Việt Nam - CN Hoàn Kiếm</t>
  </si>
  <si>
    <t>Số 33A, ngõ 66, đường Ngọc Thụy, P.Ngọc Thụy, Q.Long Biên, TP.Hà nội</t>
  </si>
  <si>
    <t>V10349C</t>
  </si>
  <si>
    <t>115002870730</t>
  </si>
  <si>
    <t>Ngân hàng TMCP công thương Việt Nam-Chi nhánh Thành An</t>
  </si>
  <si>
    <t>Số 286, đường Quang Trung, phường Quang Trung, quận Hà Đông, thành phố Hà Nội</t>
  </si>
  <si>
    <t>V10627C</t>
  </si>
  <si>
    <t>180102589</t>
  </si>
  <si>
    <t>Ngân hàng TMCP Á CHÂU-Chi nhánh Bình Dương</t>
  </si>
  <si>
    <t>Số 8/13/44, khu phố Chiêu Liêu, phường Tân Đông Hiệp, thành phố Dĩ An, tỉnh Bình Dương</t>
  </si>
  <si>
    <t>V10626C</t>
  </si>
  <si>
    <t>102010000028345</t>
  </si>
  <si>
    <t>TMCP Công Thương Việt Nam - CN Hà Nội</t>
  </si>
  <si>
    <t>,Phường Trần Hưng Đạo,Số 67 Trần Hưng Đạo,Quận Hoàn Kiếm, Thành phố Hà Nội,</t>
  </si>
  <si>
    <t>V10299C</t>
  </si>
  <si>
    <t>3410299</t>
  </si>
  <si>
    <t>Công ty cổ phần vận tải và thương mại CPN Việt Nam</t>
  </si>
  <si>
    <t>0200463686</t>
  </si>
  <si>
    <t>Số 7 Lô 2A, Lê Hồng Phong, Ngô Quyền, Hải Phòng</t>
  </si>
  <si>
    <t>V10009C</t>
  </si>
  <si>
    <t>V10009B</t>
  </si>
  <si>
    <t>V10009A</t>
  </si>
  <si>
    <t>2111201010869</t>
  </si>
  <si>
    <t>Ngân hàng Nông nghiệp và phát triển nông thôn - Chi nhánh Bắc HP</t>
  </si>
  <si>
    <t>02253.863.863</t>
  </si>
  <si>
    <t>0201728991</t>
  </si>
  <si>
    <t>1101 Phạm Văn Đồng - Hải Thành - Dương Kinh - Hải Phòng</t>
  </si>
  <si>
    <t>V10509C</t>
  </si>
  <si>
    <t>0561100610002</t>
  </si>
  <si>
    <t>Ngân hàng TMCP Quân Đội - Hoàng Quốc Việt</t>
  </si>
  <si>
    <t>0102153076</t>
  </si>
  <si>
    <t>Tầng 11 tòa nhà Vinaconex 9 Lô HH2-2 Khu ĐT Mễ Trì Hạ, P. Mễ Trì, Q. Nam Từ Liêm, TP. Hà Nội, Việt Nam</t>
  </si>
  <si>
    <t>V10241C</t>
  </si>
  <si>
    <t>V10241B</t>
  </si>
  <si>
    <t>V10241A</t>
  </si>
  <si>
    <t>1601100088999</t>
  </si>
  <si>
    <t>Ngân hàng TMCP Quân Đội-Chi nhánh Chi nhánh Nam Sài Gòn</t>
  </si>
  <si>
    <t>0313574274</t>
  </si>
  <si>
    <t>Lô B7i, Khu B, Khu công nghiệp Hiệp Phước,xã Hiệp Phước,  huyện Nhà Bè,Thành phố Hồ Chí Minh, Việt Nam</t>
  </si>
  <si>
    <t>V10715C</t>
  </si>
  <si>
    <t>32110000629060</t>
  </si>
  <si>
    <t>Ngân hàng TMCP Đầu tư và phát triển Việt Nam-Chi nhánh Hải Phòng</t>
  </si>
  <si>
    <t>Công ty cổ phần tư vấn xây dựng đô thị và phát triển công nghiệp</t>
  </si>
  <si>
    <t>Số 310 Hai Bà Trưng,phường Cát Dàiquận Lê Chân,thành phố Hải Phòng, Việt Nam</t>
  </si>
  <si>
    <t>V10649B</t>
  </si>
  <si>
    <t>0031000191681</t>
  </si>
  <si>
    <t>Vietcombank  - Chi nhánh Hải Phòng</t>
  </si>
  <si>
    <t>Công ty cổ phần tư vấn đầu tư thương mại và xây dựng Đông Nam Á</t>
  </si>
  <si>
    <t>Số 16 lô 3B Lê Hồng Phong, P.Đông Khê, Q Ngô Quyền, Tp Hải Phòng</t>
  </si>
  <si>
    <t>V10324C</t>
  </si>
  <si>
    <t>Số 16 lô 3B Lê Hồng Phong, phường Đông Hải. Quận Ngô Quyền, Hải Phòng</t>
  </si>
  <si>
    <t>CG440037C0</t>
  </si>
  <si>
    <t>HCM</t>
  </si>
  <si>
    <t>115000026416</t>
  </si>
  <si>
    <t>NH TMCP Công thương VN-CN 12-TP.HCM</t>
  </si>
  <si>
    <t>02838125397</t>
  </si>
  <si>
    <t>0304707217</t>
  </si>
  <si>
    <t>108 Trần Hưng Đạo,phường Tân Sơn Nhì,quận Tân Phú,thành phố Hồ Chí Minh</t>
  </si>
  <si>
    <t>V10525C</t>
  </si>
  <si>
    <t>11120593783011</t>
  </si>
  <si>
    <t>Techcombank Hai Bà Trưng, Hà Nội</t>
  </si>
  <si>
    <t>04.2245 0909</t>
  </si>
  <si>
    <t>0102489830</t>
  </si>
  <si>
    <t>PA302-C4 TT Viện Máy Công Cụ và Dụng Cụ, Láng Hạ, Đống Đa, Hà Nội</t>
  </si>
  <si>
    <t>V10169C</t>
  </si>
  <si>
    <t>V10169B</t>
  </si>
  <si>
    <t>V10169A</t>
  </si>
  <si>
    <t>005044240002</t>
  </si>
  <si>
    <t>Đông Á, chi nhánh Quận 3-Tp Hồ Chí Minh</t>
  </si>
  <si>
    <t>08.38664188</t>
  </si>
  <si>
    <t>0309478306</t>
  </si>
  <si>
    <t>285/94B Cách Mạng Tháng 8, Phường 12, Quận 3, Tp. HCM</t>
  </si>
  <si>
    <t>V4064C0</t>
  </si>
  <si>
    <t>111000064596</t>
  </si>
  <si>
    <t>0201124051</t>
  </si>
  <si>
    <t>Số 17, Trần Hưng Đạo, P. Hoàng Văn Thụ, Hồng Bàng, Hải Phòng</t>
  </si>
  <si>
    <t>V10472C</t>
  </si>
  <si>
    <t>63187519</t>
  </si>
  <si>
    <t>ACB -CN Hải Phòng</t>
  </si>
  <si>
    <t>0313 618 414</t>
  </si>
  <si>
    <t>0200946806</t>
  </si>
  <si>
    <t>Xóm Chùa, Phạm Dùng, An Hồng, An Dương, Hải Phòng</t>
  </si>
  <si>
    <t>V10160C</t>
  </si>
  <si>
    <t>V10160B</t>
  </si>
  <si>
    <t>V10160A</t>
  </si>
  <si>
    <t>119605806999</t>
  </si>
  <si>
    <t>Ngân hàng TMCP Công thương Việt Nam-Chi nhánh Bắc Hải Phòng</t>
  </si>
  <si>
    <t>Công ty cổ phần thương mại xuất nhập khẩu Dược và Thiết bị Y Tế Hải Phòng</t>
  </si>
  <si>
    <t>Số 289 Hai Bà Trưng, p Cát Dài, Q Lê Chân, TP Hải Phòng</t>
  </si>
  <si>
    <t>V10590C</t>
  </si>
  <si>
    <t>2102201005165</t>
  </si>
  <si>
    <t>Ngân hàng nông nghiệp và phát triển nông thôn-CN huyện An Dương</t>
  </si>
  <si>
    <t>031.3588.401</t>
  </si>
  <si>
    <t>0201340454</t>
  </si>
  <si>
    <t>Thôn 5- Do Nha, Xã Tân Tiến, Huyện An Dương, TP Hải Phòng</t>
  </si>
  <si>
    <t>V10274C</t>
  </si>
  <si>
    <t>0313588401</t>
  </si>
  <si>
    <t>Công ty Cổ Phần Thương Mại và Xây Lắp Điện Trường Phúc</t>
  </si>
  <si>
    <t>Thôn 5 - Do Nha, Xã Tân Tiến, Huyện An Dương, Thành Phố Hải Phòng</t>
  </si>
  <si>
    <t>V10274B</t>
  </si>
  <si>
    <t>2631101076005</t>
  </si>
  <si>
    <t>Ngân hàng TMCP Quân Đội - Chi nhánh Bắc Hải</t>
  </si>
  <si>
    <t>Số 391 đường 5/4, phường Quán Toan, quận Hồng Bàng, Hải Phòng</t>
  </si>
  <si>
    <t>V10585B</t>
  </si>
  <si>
    <t>023 704 060 024 807</t>
  </si>
  <si>
    <t>Ngân hàng VIB,Láng Hạ, Đống Đa, Hà Nội</t>
  </si>
  <si>
    <t>04 3556 1146</t>
  </si>
  <si>
    <t>Số 31A , phố Văn Miếu, phường Văn Miếu, quận Đống Đa, thành phố Hà Nội</t>
  </si>
  <si>
    <t>V10245A</t>
  </si>
  <si>
    <t>V10245C</t>
  </si>
  <si>
    <t>V10245B</t>
  </si>
  <si>
    <t>1507201014713</t>
  </si>
  <si>
    <t>Ngân hàng nông nghiệp và phát triển nông thôn, Cầu Giấy, Hà Nội</t>
  </si>
  <si>
    <t>04.37671380</t>
  </si>
  <si>
    <t>Số 71 Đường bờ sông Quan Hoa-Phường Quan Hoa-Cầu Giấy,Hà Nội, Vietnam</t>
  </si>
  <si>
    <t>V10236C</t>
  </si>
  <si>
    <t>V10236B</t>
  </si>
  <si>
    <t>V10236A</t>
  </si>
  <si>
    <t>41121120002867040036</t>
  </si>
  <si>
    <t>TMCP Bưu điện Liên Việt - PDG Triệu Việt Vương - CN Thăng Long</t>
  </si>
  <si>
    <t>0101898710</t>
  </si>
  <si>
    <t>Phòng 1104, nhà B11B, Nam Trung Yên, Trung Hòa, Hà Nội</t>
  </si>
  <si>
    <t>V10061C</t>
  </si>
  <si>
    <t>V10061B</t>
  </si>
  <si>
    <t>V10061A</t>
  </si>
  <si>
    <t>0201318441</t>
  </si>
  <si>
    <t>Thôn Do Nha 5 (tại nhà ông Vũ Văn Giang), Xã Tân Tiến, Huyện An Dương, Thành phố Hải Phòng, Việt Nam</t>
  </si>
  <si>
    <t>V10129C</t>
  </si>
  <si>
    <t>V10129B</t>
  </si>
  <si>
    <t>V10129A</t>
  </si>
  <si>
    <t>2571100296009</t>
  </si>
  <si>
    <t>Ngân hàng TMCP Quân đội-PGD Hải An, CN Hải Phòng</t>
  </si>
  <si>
    <t>0201649115</t>
  </si>
  <si>
    <t>Thửa đất số 464A, khu Lương Khê 3, phường Tràng Cát, quận Hải An, Tp Hải Phòng, Việt Nam</t>
  </si>
  <si>
    <t>V10267C</t>
  </si>
  <si>
    <t>V10267B</t>
  </si>
  <si>
    <t>V10267A</t>
  </si>
  <si>
    <t>10090686</t>
  </si>
  <si>
    <t>TMCP Dầu khí toàn cầu -CN Hải Phòng</t>
  </si>
  <si>
    <t>0201041158</t>
  </si>
  <si>
    <t>Số 280 Hai Bà Trưng, Phường Cát Dài, Quận Lê Chân, Thành phố Hải Phòng</t>
  </si>
  <si>
    <t>V10093C</t>
  </si>
  <si>
    <t>V10093B</t>
  </si>
  <si>
    <t>TMCP Dầu khí toàn cầu - CN Hải Phòng</t>
  </si>
  <si>
    <t>V10093A</t>
  </si>
  <si>
    <t>0491000028719</t>
  </si>
  <si>
    <t>Vietcombank - CN Thăng Long</t>
  </si>
  <si>
    <t>04.66835858</t>
  </si>
  <si>
    <t>Công ty CP Thương Mại và Công Nghệ TST Việt Nam</t>
  </si>
  <si>
    <t>0106074788</t>
  </si>
  <si>
    <t>Số 24 dãy E, khu Yên Hòa, Phường Yên Hòa, Quận Cầu Giấy, Thành phố Hà Nội</t>
  </si>
  <si>
    <t>V10211C</t>
  </si>
  <si>
    <t>V10211B</t>
  </si>
  <si>
    <t>V10211A</t>
  </si>
  <si>
    <t>133085769</t>
  </si>
  <si>
    <t>Ngân hàng ACB-Chi nhánh Quán Toan, Hồng Bàng, Hải Phòng</t>
  </si>
  <si>
    <t>Thôn Lê Sáng, xã An Hồng, huyện An Dương, thành phố Hải Phòng, Việt Nam</t>
  </si>
  <si>
    <t>V10253C</t>
  </si>
  <si>
    <t>020034813559</t>
  </si>
  <si>
    <t>NH thương mại cổ phần Sài gòn Thương Tín-Chi nhánh Đông Đô</t>
  </si>
  <si>
    <t>02437805398</t>
  </si>
  <si>
    <t>Lô đất số B2-3-3b khu công nghiệp Nam Thăng Long, phường Thụy Phương, quận Bắc Từ Liêm thành phố Hà Nội</t>
  </si>
  <si>
    <t>V10505C</t>
  </si>
  <si>
    <t>3000042-1 VND</t>
  </si>
  <si>
    <t>Sumitomo Mitsui Banking Corporation, Ha Noi Branch, Viet Nam</t>
  </si>
  <si>
    <t>+84-4 - 3772 5408</t>
  </si>
  <si>
    <t>0102224489</t>
  </si>
  <si>
    <t>Tầng 13, tòa nhà Harec, 4A Láng Hạ, Phường Thành Công, Quận Ba Đình, Thành phố Hà Nội</t>
  </si>
  <si>
    <t>V10099C</t>
  </si>
  <si>
    <t>V10099B</t>
  </si>
  <si>
    <t>V10099A</t>
  </si>
  <si>
    <t>001423319999</t>
  </si>
  <si>
    <t>Ngân hàng TMCP Bưu điện Liên Việt - CN Hải Phòng</t>
  </si>
  <si>
    <t>0201232748</t>
  </si>
  <si>
    <t>Số 73/161 Phố Cấm, Gia Viên, Ngô Quyền, Hải Phòng</t>
  </si>
  <si>
    <t>V4038B0</t>
  </si>
  <si>
    <t>65939639</t>
  </si>
  <si>
    <t>Ngân hàng ACB - CN Duyên Hải, Hải Phòng</t>
  </si>
  <si>
    <t>0313.722.809</t>
  </si>
  <si>
    <t>0200719200</t>
  </si>
  <si>
    <t>Số 5 khu chung cư Phương Lưu 1, phường Đông Hải 1, quận Hải An, Hải Phòng</t>
  </si>
  <si>
    <t>V10265C</t>
  </si>
  <si>
    <t>170603029</t>
  </si>
  <si>
    <t>TMCP Á Châu - CN Duyên Hải</t>
  </si>
  <si>
    <t>0201331756</t>
  </si>
  <si>
    <t>Số 12B CT2 A1 Đà Nẵng, P.Vạn Mỹ, Q.Ngô Quyền, TP. Hải Phòng</t>
  </si>
  <si>
    <t>V10143B</t>
  </si>
  <si>
    <t>V10143A</t>
  </si>
  <si>
    <t>V10143C</t>
  </si>
  <si>
    <t>2511102457007</t>
  </si>
  <si>
    <t>Ngân hàng Quân đội - CN Hải Phòng</t>
  </si>
  <si>
    <t>0201545236</t>
  </si>
  <si>
    <t>Số 264 Nguyễn Lương Bằng,phường Phù Liễn,Quận Kiến An, TP Hải Phòng</t>
  </si>
  <si>
    <t>V10145C</t>
  </si>
  <si>
    <t>V10145B</t>
  </si>
  <si>
    <t>V10145A</t>
  </si>
  <si>
    <t>110000178839</t>
  </si>
  <si>
    <t>NH TMCP Công thương Việt Nam, CN 2</t>
  </si>
  <si>
    <t>Công ty cổ phần Thuận Hải</t>
  </si>
  <si>
    <t>Tầng 10- Tòa nhà Vinamilk-số 10 Tân Trào- Phường Tân Phú-Quận 7-Tp Hồ Chí Minh</t>
  </si>
  <si>
    <t>V10385C</t>
  </si>
  <si>
    <t>0691000345488</t>
  </si>
  <si>
    <t>Ngân hàng Vietcombank - Chi nhánh Hà Tây</t>
  </si>
  <si>
    <t>Số 11 ngõ 8 phố Liễu Giai, phường Cống Vị, quận Ba Đình, Hà Nội</t>
  </si>
  <si>
    <t>V10415C</t>
  </si>
  <si>
    <t>10221403323017</t>
  </si>
  <si>
    <t>Ngân hàng TMCP Kỹ thương Việt Nam-Chi nhánh Gia Định</t>
  </si>
  <si>
    <t>127 Huy Cận, Khu Dân Cư Gia Hòa, Phường Phước Long B, thành phố Thủ Đức, thành phố Hồ Chí Minh, Việt Nam</t>
  </si>
  <si>
    <t>V10632C</t>
  </si>
  <si>
    <t>217004209</t>
  </si>
  <si>
    <t>Ngân hàng TMCP Á Châu-PGD Nguyễn Sơn</t>
  </si>
  <si>
    <t>Tầng 2, Tòa nhà Topaz Center,Số 4 Trịnh Đình Thảo,Phường Hòa Thạnh, Quận Tân Phú, thành phố Hồ Chí Minh, Việt Nam</t>
  </si>
  <si>
    <t>V10676C</t>
  </si>
  <si>
    <t>40526619</t>
  </si>
  <si>
    <t>Ngân hàng thương mại cổ phần Á Châu, Chi nhánh Tân Phú</t>
  </si>
  <si>
    <t>(84)2862901568</t>
  </si>
  <si>
    <t>CÔNG TY CỔ PHẦN THIẾT BỊ KHOA HỌC KỸ THUẬT TÂN PHONG</t>
  </si>
  <si>
    <t>37 Đường 44, Phường 10, Quận 6, TP. HCM</t>
  </si>
  <si>
    <t>V10391C</t>
  </si>
  <si>
    <t>0011004309966</t>
  </si>
  <si>
    <t>Số 22, ngách 56/139 phố Thạch Cầu, Phường Long Biên, Quận Long Biên, Thành Phố Hà Nội, Việt Nam</t>
  </si>
  <si>
    <t>V10577C</t>
  </si>
  <si>
    <t>1011101300008</t>
  </si>
  <si>
    <t>TMCP Quân Đội - CN TP.HCM</t>
  </si>
  <si>
    <t>(84-8) 3845 2167/ 3811 0910</t>
  </si>
  <si>
    <t>Công ty CP Thiết Bị Vật Tư KHKT&amp;DL Trung Sơn T.S.S.E</t>
  </si>
  <si>
    <t>0303310191</t>
  </si>
  <si>
    <t>Số 38/16 Nguyễn Văn Trỗi, P.15, Q.Phú Nhuận, TP.HCM</t>
  </si>
  <si>
    <t>V10103C</t>
  </si>
  <si>
    <t>V10103B</t>
  </si>
  <si>
    <t>V10103A</t>
  </si>
  <si>
    <t>160314851009154</t>
  </si>
  <si>
    <t>Ngân hàng TMCP Xuất nhập khẩu Hải Phòng</t>
  </si>
  <si>
    <t>Số 268 Trần Nguyên Hãn, phường Niệm Nghĩa, quận Lê Chân, thành phố Hải Phòng, Việt Nam</t>
  </si>
  <si>
    <t>V10667B</t>
  </si>
  <si>
    <t>Số 18 ngõ 1 Nguyễn Đức Quý, tổ 13, phường Thanh Xuân Bắc, quận Thanh Xuân, Hà Nội, VN</t>
  </si>
  <si>
    <t>V10418C</t>
  </si>
  <si>
    <t>0451000239798</t>
  </si>
  <si>
    <t>Vietcombank - CN Thành Công</t>
  </si>
  <si>
    <t>0104000195</t>
  </si>
  <si>
    <t>•Phòng số 02, tầng 14, số 4A Láng Hạ, P Thành Công, Q Ba Đình, Hà Nội, Việt nam</t>
  </si>
  <si>
    <t>V10461C</t>
  </si>
  <si>
    <t>111000181416</t>
  </si>
  <si>
    <t>Ngân hàng thương mại cổ phần công thương Việt Nam-Chi nhánh Bắc Hưng Yên</t>
  </si>
  <si>
    <t>0900994731</t>
  </si>
  <si>
    <t>Đường Nguyễn Văn Linh, phường Dị Sử,thị xã Mỹ Hào,Tỉnh Hưng Yên, Việt Nam</t>
  </si>
  <si>
    <t>CÔNG TY CỔ PHẦN TECOTEC GROUP</t>
  </si>
  <si>
    <t>Mễ Trì Thượng, Phường Mễ Trì  Tầng 2, Tòa nhà CT3A, khu đô thị Quận Nam Từ Liêm Thành phố Hà Nội, Việt Nam</t>
  </si>
  <si>
    <t>V10291B</t>
  </si>
  <si>
    <t>1502201015927 (USD)</t>
  </si>
  <si>
    <t>Ngân hàng nông nghiệp và phát triển nông thôn-CN Hoàn Kiếm</t>
  </si>
  <si>
    <t>0101038659</t>
  </si>
  <si>
    <t>Tầng 2, khối đế, tòa nhà CT3A, khhu đô thị Mễ Trì Thượng, Từ Liêm, Hà Nội</t>
  </si>
  <si>
    <t>V10291C</t>
  </si>
  <si>
    <t>0031001155999</t>
  </si>
  <si>
    <t>0200783809</t>
  </si>
  <si>
    <t>Số 19, Trần Khánh Dư,Phường Máy Tơ, Quận Ngô Quyền,Thành phố Hải Phòng, Việt Nam</t>
  </si>
  <si>
    <t>868688868</t>
  </si>
  <si>
    <t>Phòng 801 toà nhà SilverWings, 137A  Nguyễn Văn Cừ, P.Ngọc Lâm, Q.Long Biên, TP Hà Nội,VN</t>
  </si>
  <si>
    <t>V10520C</t>
  </si>
  <si>
    <t>Ngân hàng TMCP đầu tư và phát triển Việt Nam, CN Thăng Long</t>
  </si>
  <si>
    <t>P103 nhà A5 làng quốc tế Thăng Long, đường Trần Đăng Ninh, Phường Dịch Vọng, Quận Cầu Giấy, Thành phố Hà Nội</t>
  </si>
  <si>
    <t>V10396C</t>
  </si>
  <si>
    <t>Xom 1- Bac Kim No- Dong Anh-Ha Noi</t>
  </si>
  <si>
    <t>V10249B</t>
  </si>
  <si>
    <t>1100120054</t>
  </si>
  <si>
    <t>Ngân hàng Sài Gòn Hà Nội-CN Tây Nam, Hà Nội</t>
  </si>
  <si>
    <t>043.9909.165</t>
  </si>
  <si>
    <t>0104935505</t>
  </si>
  <si>
    <t>Xóm 1 Bắc, xã kim Nỗ, huyện Đông Anh, Tp Hà Nội</t>
  </si>
  <si>
    <t>V10249C</t>
  </si>
  <si>
    <t>71251089</t>
  </si>
  <si>
    <t>ACB chi nhánh Duyên Hải</t>
  </si>
  <si>
    <t>0313.540.991</t>
  </si>
  <si>
    <t>0201020327</t>
  </si>
  <si>
    <t>Số 43/24 tập thể Xăng dầu-P.Sở Dầu-Q.Hồng Bàng-TP.Hải Phòng</t>
  </si>
  <si>
    <t>V10111C</t>
  </si>
  <si>
    <t>V10111B</t>
  </si>
  <si>
    <t>V10111A</t>
  </si>
  <si>
    <t>10321660084011</t>
  </si>
  <si>
    <t>Ngân hàng TMCP kỹ thương Việt Nam-chi nhánh Thăng Long, Hà Nội</t>
  </si>
  <si>
    <t>Công ty cổ phần sản xuất và thương mại 3TK</t>
  </si>
  <si>
    <t>Số 22 ngõ 181 Trường Chinh, Phường Khương Mai, Quận Thanh Xuân, Thành phố Hà Nội, Việt Nam</t>
  </si>
  <si>
    <t>V10381C</t>
  </si>
  <si>
    <t>251188</t>
  </si>
  <si>
    <t>Ngân Hàng TMCP Á Châu (ACB) - Chi Nhánh Hải Phòng</t>
  </si>
  <si>
    <t>031 391 3605</t>
  </si>
  <si>
    <t>0201643836</t>
  </si>
  <si>
    <t>Số 82 An Trang, Xã An Đồng, Huyện An Dương, Thành Phố Hải Phòng, Việt Nam</t>
  </si>
  <si>
    <t>V10266C</t>
  </si>
  <si>
    <t>Vĩnh Phúc</t>
  </si>
  <si>
    <t>62114059</t>
  </si>
  <si>
    <t>Ngân hàng TMCP Á Châu - CN Vĩnh Phúc</t>
  </si>
  <si>
    <t>Công ty cổ phần sản xuất và dịch vụ thương mại Quốc Tuấn</t>
  </si>
  <si>
    <t>Số 36, Đường Lạc Long Quân, Phường Khai Quang, TP Vĩnh Yên, Tỉnh Vĩnh Phúc</t>
  </si>
  <si>
    <t>V10601C</t>
  </si>
  <si>
    <t>113000178888</t>
  </si>
  <si>
    <t>Ngân hàng TMCP Công Thương Việt Nam - Chi nhánh Bắc Hà Nội</t>
  </si>
  <si>
    <t>Công ty cổ phần sản xuất Tân Thành</t>
  </si>
  <si>
    <t>Đường 196, thôn Hoàng Nha, xã Minh Hải, huyện Văn Lâm, tỉnh Hưng Yên, Việt Nam</t>
  </si>
  <si>
    <t>V10564C</t>
  </si>
  <si>
    <t>2521102228666</t>
  </si>
  <si>
    <t>Ngân hàng TMCP Quân Đội - CN Bắc Hải - PGD Lê Chân - Hải Phòng</t>
  </si>
  <si>
    <t>CÔNG TY CỔ PHẦN SẢN XUẤT KẾT CẤU PHỤ TRỢ CÔNG NGHIỆP HẢI PHÒNG</t>
  </si>
  <si>
    <t>0201288638</t>
  </si>
  <si>
    <t>Số 21 Mê Linh, phường An Biên, Quận Lê Chân, TP Hải Phòng</t>
  </si>
  <si>
    <t>V10107C</t>
  </si>
  <si>
    <t>Công Ty Cổ Phần Sản Xuất Kết Cấu Phụ Trợ  Công Nghiệp hải Phòng</t>
  </si>
  <si>
    <t>V10107B</t>
  </si>
  <si>
    <t>V10107A</t>
  </si>
  <si>
    <t>835333886666</t>
  </si>
  <si>
    <t>Ngân hàng TMCP Quân Đội (MB Bank)-Chi nhánh Đông Anh</t>
  </si>
  <si>
    <t>0106845021</t>
  </si>
  <si>
    <t>Nhà A52, TT10, Khu đô thị mới Văn Quán,phường Văn Quán,quận Hà Đông,thành phố Hà Nội, Việt Nam</t>
  </si>
  <si>
    <t>V10713C</t>
  </si>
  <si>
    <t>Số 23, ngách 405/17 đường Ngọc Hồi, thị trấn Văn Điển, huyện Thanh Trì, thành phố Hà Nội, Việt Nam</t>
  </si>
  <si>
    <t>V10607C</t>
  </si>
  <si>
    <t>001.98888888.004</t>
  </si>
  <si>
    <t>TMCP Tiên Phong - Chi nhánh Hoàn Kiếm, Hà Nội</t>
  </si>
  <si>
    <t>84.4.35626018</t>
  </si>
  <si>
    <t>0104821995</t>
  </si>
  <si>
    <t>Tòa nhà FPT Cầu Giấy , lô B2, cụm sản xuất Tiểu thủ công nghiệp và Công nghiệp nhỏ, đường Phạm Hùng, quận Cầu Giấy , TP. Hà Nội</t>
  </si>
  <si>
    <t>V10046C</t>
  </si>
  <si>
    <t>V10046B</t>
  </si>
  <si>
    <t>V10046A</t>
  </si>
  <si>
    <t>17051339</t>
  </si>
  <si>
    <t>Sở Giao dịch NH Á Châu, 422 Nguyễn Thị Minh Khai, Q3, TPHCM</t>
  </si>
  <si>
    <t>0304184581</t>
  </si>
  <si>
    <t>204/16 quốc lộ 13, phường 26, quận Bình Thạnh, thành phố Hồ Chí Minh,Việt Nam</t>
  </si>
  <si>
    <t>V10344B</t>
  </si>
  <si>
    <t>12348666</t>
  </si>
  <si>
    <t>Techcombank-Chi nhánh Hải Phòng</t>
  </si>
  <si>
    <t>Số 10 khu Paris 11-ô số 03 lô số 03-13,khu đô thị Vinhomes ImperiaPhường Thượng Lý,Quận Hồng Bàng, Hải Phòng.</t>
  </si>
  <si>
    <t>02001010222688</t>
  </si>
  <si>
    <t>Maritime Bank Hải Phòng</t>
  </si>
  <si>
    <t>0200674398</t>
  </si>
  <si>
    <t>193 Tôn Đức Thắng - An Dương - Hải Phòng</t>
  </si>
  <si>
    <t>V10171C</t>
  </si>
  <si>
    <t>V10171B</t>
  </si>
  <si>
    <t>V10171A</t>
  </si>
  <si>
    <t>14021218206018</t>
  </si>
  <si>
    <t>Techcombank - Chi nhánh Văn Cao - TP Hải Phòng</t>
  </si>
  <si>
    <t>031 3736383</t>
  </si>
  <si>
    <t>0200838656</t>
  </si>
  <si>
    <t>Số 1/213 Lạch Tray, .Đổng Quốc Bình, Hải Phòng</t>
  </si>
  <si>
    <t>V10038C</t>
  </si>
  <si>
    <t>V10038B</t>
  </si>
  <si>
    <t>V10038A</t>
  </si>
  <si>
    <t>Công ty cổ phần quản lý chuỗi cung ứng Jupiter Hải Phòng Việt Nam - Chi nhánh Đình Vũ</t>
  </si>
  <si>
    <t>Lô đất CN4D, KCN Deep C 2B, Khu Kinh Tế Đình Vũ- Cát Hải, Phường Đông Hải 2, Quận Hải An, Thành phố Hải Phòng, Việt Nam</t>
  </si>
  <si>
    <t>V4121C0</t>
  </si>
  <si>
    <t>Lô đất CN4D, KCN Deep C 2B, Khu Kinh Tế Đình Vũ- Cát Hải, Phường Đông Hải 2,Quận Hải An,Thành phố Hải Phòng, Việt Nam</t>
  </si>
  <si>
    <t>V10656C</t>
  </si>
  <si>
    <t>V4121A0</t>
  </si>
  <si>
    <t>V10656A</t>
  </si>
  <si>
    <t>0201910256-001</t>
  </si>
  <si>
    <t>V4121B0</t>
  </si>
  <si>
    <t>V10656B</t>
  </si>
  <si>
    <t>020039495555</t>
  </si>
  <si>
    <t>Sai Gon Thuong Tin Bank /  Hà Nội branch</t>
  </si>
  <si>
    <t>0462945058</t>
  </si>
  <si>
    <t>Phường Thanh Xuân Trung, Số 58B Vũ Trọng Phụng, quận Thanh Xuân, thành phố Hà Nội</t>
  </si>
  <si>
    <t>V10365C</t>
  </si>
  <si>
    <t>115000004383</t>
  </si>
  <si>
    <t>Vietin bank / CN TP Hồ Chí Minh</t>
  </si>
  <si>
    <t>028 3822 9633</t>
  </si>
  <si>
    <t>Công ty cổ phần phát triển kỹ thuật &amp; thương mại Tân Đức</t>
  </si>
  <si>
    <t>0302560382</t>
  </si>
  <si>
    <t>103 Pasteur, Phường Bến Nghé, Quận 1, TP Hồ Chí Minh</t>
  </si>
  <si>
    <t>V10458B</t>
  </si>
  <si>
    <t>Công ty cổ Phần phát triển kỹ thuật và Thương Mại Tân Đức</t>
  </si>
  <si>
    <t>Ngân hàng TMCP Công Thương Việt Nam- CN TP Hồ Chí Minh</t>
  </si>
  <si>
    <t>V10458C</t>
  </si>
  <si>
    <t>03101010401988</t>
  </si>
  <si>
    <t>Ngân hàng TMCP Hàng Hải Việt Nam (MSB)-Chi nhánh Đống Đa</t>
  </si>
  <si>
    <t>Công ty cổ phần Phát triển Dịch vụ Đám Mây Cloudaz</t>
  </si>
  <si>
    <t>Tầng 08, Tòa nhà Trường Thịnh,số 01 đường Phùng Chí Kiên,Phường Nghĩa Đô, Quận Cầu Giấy,Hà Nội, Việt Nam</t>
  </si>
  <si>
    <t>V10674C</t>
  </si>
  <si>
    <t>1031000006262</t>
  </si>
  <si>
    <t>Vietcombank-CN Nam Hải Phòng</t>
  </si>
  <si>
    <t>0981 268 240</t>
  </si>
  <si>
    <t>Số 17/45 Kiều sơn, phường Đằng lâm, Quận Hải An, TP Hải Phòng, Việt Nam</t>
  </si>
  <si>
    <t>V10431C</t>
  </si>
  <si>
    <t>001 100 041 3245</t>
  </si>
  <si>
    <t>Công ty cổ phần phần mềm BRAVO</t>
  </si>
  <si>
    <t>V10004C</t>
  </si>
  <si>
    <t>V10004B</t>
  </si>
  <si>
    <t>V10004A</t>
  </si>
  <si>
    <t>Ngân hàng Maritimbank - Chi nhánh Hồng Bàng, Hải Phòng</t>
  </si>
  <si>
    <t>Thôn Vân Tra (tại nhà ông Nguyễn Văn Vang), xã An Đồng, huyện An Dương, TP Hải Phòng</t>
  </si>
  <si>
    <t>CG440043C0</t>
  </si>
  <si>
    <t>02101010059766</t>
  </si>
  <si>
    <t>Maritimebank - CN Hồng Bàng, Hải Phòng</t>
  </si>
  <si>
    <t>V10548C</t>
  </si>
  <si>
    <t>F15-795-005447 (USD)/H15-795-005455 (VND)</t>
  </si>
  <si>
    <t>Ngân hàng Mizuho bank Ltd, Chi nhánh TP Hà Nội</t>
  </si>
  <si>
    <t>04 3974 4346</t>
  </si>
  <si>
    <t>3600258422-002</t>
  </si>
  <si>
    <t>Tầng 11, Tòa nhà Prime Centre, 53 đường Quang Trung, Phường Nguyễn Du,Quận Hai Bà Trưng,Thành phố Hà Nội, Việt Nam</t>
  </si>
  <si>
    <t>V10016C</t>
  </si>
  <si>
    <t>V10016B</t>
  </si>
  <si>
    <t>V10016A</t>
  </si>
  <si>
    <t>3386617</t>
  </si>
  <si>
    <t>Ngân hàng ACB - Chi nhánh Sài Gòn</t>
  </si>
  <si>
    <t>Công ty cổ phần nhân lực BCC</t>
  </si>
  <si>
    <t>0302229364</t>
  </si>
  <si>
    <t>13 Cao Thắng, Phường 2, Quận 3, TP Hồ Chí Minh, Việt Nam</t>
  </si>
  <si>
    <t>V10513C</t>
  </si>
  <si>
    <t>01415452001</t>
  </si>
  <si>
    <t>TMCP Tiên phong CN Hà Nội</t>
  </si>
  <si>
    <t>Tầng 12A, tòa nhà Center Building, Số 1 Nguyễn Huy Tưởng, Phường Thanh Xuân Trung, quận Thanh Xuân thành phố Hà Nội, Việt Nam</t>
  </si>
  <si>
    <t>V10290C</t>
  </si>
  <si>
    <t>Ngân hàng thương mại cổ phần Tiên Phong-CN Hà Nội</t>
  </si>
  <si>
    <t>Tầng 12A, tòa nhà Center Building, số 1 Nguyễn Huy Tưởng, P. Thanh Xuân Trung, Q. Thanh Xuân, Tp. Hà Nội</t>
  </si>
  <si>
    <t>CG440030C0</t>
  </si>
  <si>
    <t>0301000313410</t>
  </si>
  <si>
    <t>Ngân hàng TMCP Ngoại Thương Việt Nam- CN Hoàn Kiếm</t>
  </si>
  <si>
    <t>0103982622</t>
  </si>
  <si>
    <t>Số 2-189/31 Hoàng Hoa Thám, Ba Đình, Hà Nội</t>
  </si>
  <si>
    <t>V10001C</t>
  </si>
  <si>
    <t>V10001B</t>
  </si>
  <si>
    <t>V10001A</t>
  </si>
  <si>
    <t>020002079225</t>
  </si>
  <si>
    <t>Sacombank - CN Đông Đô</t>
  </si>
  <si>
    <t>04 362 888 01</t>
  </si>
  <si>
    <t>0102354738</t>
  </si>
  <si>
    <t>Số 1/146 An Dương, Yên Phụ, Tây Hồ, Hà Nội</t>
  </si>
  <si>
    <t>V10131C</t>
  </si>
  <si>
    <t>V10131B</t>
  </si>
  <si>
    <t>V10131A</t>
  </si>
  <si>
    <t>0491 007 66 88 99</t>
  </si>
  <si>
    <t>Vietcombank-Chi nhánh Thăng Long</t>
  </si>
  <si>
    <t>Tầng 7, Tòa nhà Sannam, số 78 Phố Duy TânPhường Dịch Vọng HậuQuận Cầu Giấy,Thành phố Hà Nội, Việt Nam</t>
  </si>
  <si>
    <t>V10659B</t>
  </si>
  <si>
    <t>V10659C</t>
  </si>
  <si>
    <t>30100000333244</t>
  </si>
  <si>
    <t>Ngân hàng TMCP Đông Nam Á- CN Hải Phòng</t>
  </si>
  <si>
    <t>031.3551651</t>
  </si>
  <si>
    <t>0200613028</t>
  </si>
  <si>
    <t>Số 5A Võ Thị Sáu, P.Máy Tơ, Q.Ngô Quyền, TP. Hải Phòng</t>
  </si>
  <si>
    <t>V10308C</t>
  </si>
  <si>
    <t>V4004C0</t>
  </si>
  <si>
    <t>13823031918011</t>
  </si>
  <si>
    <t>Techcombank - CN Bà Triệu, Hoàn Kiếm, Hà Nội</t>
  </si>
  <si>
    <t>0104813507</t>
  </si>
  <si>
    <t>Số 6 - 230/61, Phố Định Công Thượng, Phường Định Công, Quận Hoàng Mai, TP Hà Nội</t>
  </si>
  <si>
    <t>V10164C</t>
  </si>
  <si>
    <t>V10164B</t>
  </si>
  <si>
    <t>V10164A</t>
  </si>
  <si>
    <t>14022645157016</t>
  </si>
  <si>
    <t>Techcombank - CN Lĩnh Nam</t>
  </si>
  <si>
    <t>Số 120, đường Tô Hiệu, P.Nguyễn Trãi, Q.Hà đông, Hà nội</t>
  </si>
  <si>
    <t>V10239C</t>
  </si>
  <si>
    <t>V10239B</t>
  </si>
  <si>
    <t>V10239A</t>
  </si>
  <si>
    <t>19130180588886</t>
  </si>
  <si>
    <t>Ngân hàng TMCP kỹ thương Việt Nam-chi nhánh Thanh Xuân</t>
  </si>
  <si>
    <t>Số 238 đường Nguyễn Xiển, phường Hạ Đình, quận Thanh Xuân, thành phố Hà Nội, Việt Nam</t>
  </si>
  <si>
    <t>V10594C</t>
  </si>
  <si>
    <t>12010000481016</t>
  </si>
  <si>
    <t>Ngân hàng đầu tư và phát triển Việt Nam-CN SGD 1</t>
  </si>
  <si>
    <t>0105358748</t>
  </si>
  <si>
    <t>Số A15/10 tổ 56 Nguyễn Thị Định, P.Trung Hòa, Q.Cầu Giấy, Hà Nội</t>
  </si>
  <si>
    <t>V10485C</t>
  </si>
  <si>
    <t>88135564388</t>
  </si>
  <si>
    <t>Standard Chartered bank (Vietnam) Ltd</t>
  </si>
  <si>
    <t>04-39449323</t>
  </si>
  <si>
    <t>Công ty cổ phần liên kết Việt Nhật</t>
  </si>
  <si>
    <t>0104770412</t>
  </si>
  <si>
    <t>Tầng 5, số 106, phố Huế, phường Ngô Thì Nhậm, quận Hai Bà Trưng, thành phố Hà Nội, Việt Nam</t>
  </si>
  <si>
    <t>V4061C0</t>
  </si>
  <si>
    <t>40348879</t>
  </si>
  <si>
    <t>ACB - CN Nguyễn Văn Trỗi</t>
  </si>
  <si>
    <t>0304504288</t>
  </si>
  <si>
    <t>Số 17, Nguyễn Gia Thiều, Phường 6, Quận 3, TP.HCM</t>
  </si>
  <si>
    <t>V10242A</t>
  </si>
  <si>
    <t>V10242C</t>
  </si>
  <si>
    <t>V10242B</t>
  </si>
  <si>
    <t>112002686573</t>
  </si>
  <si>
    <t>Ngân hàng Công thương Hải Phòng</t>
  </si>
  <si>
    <t>Số 435 Lán Bè, P.Lam Sơn, Q.Lê Chân, TP.Hải Phòng</t>
  </si>
  <si>
    <t>V10604C</t>
  </si>
  <si>
    <t>03401010114308</t>
  </si>
  <si>
    <t>TMCP Hàng Hải - CN Long Biên</t>
  </si>
  <si>
    <t>04 8585 5590</t>
  </si>
  <si>
    <t>0105832943</t>
  </si>
  <si>
    <t>Số 24, ngách 195/44 phố Vũ Xuân Thiều, tổ 13, phường Phúc Lợi, Quận Long Biên, Thành phố Hà Nội, Việt Nam</t>
  </si>
  <si>
    <t>V10155A</t>
  </si>
  <si>
    <t>V10155C</t>
  </si>
  <si>
    <t>V10155B</t>
  </si>
  <si>
    <t>Công ty Cổ phần Kỹ thuật Sigma</t>
  </si>
  <si>
    <t>V10462C</t>
  </si>
  <si>
    <t>102010001855588</t>
  </si>
  <si>
    <t>Vietinbank - Dong Da Branch</t>
  </si>
  <si>
    <t>04.62690481</t>
  </si>
  <si>
    <t>0101502599</t>
  </si>
  <si>
    <t>Tầng 15 tháp CEO, Lô HH2-1, Khu đô thị Mễ Trì Hạ, đường Phạm Hùng, phường Mễ Trì, quận Nam Từ Liêm, thành phố Hà Nội, Việt Nam</t>
  </si>
  <si>
    <t>V10152B</t>
  </si>
  <si>
    <t>V10152A</t>
  </si>
  <si>
    <t>V10152C</t>
  </si>
  <si>
    <t>102010002497053</t>
  </si>
  <si>
    <t>Ngân hàng TMCP Công thương Việt Nam-CN Ba Đình - Hà Nội</t>
  </si>
  <si>
    <t>1706 tầng 17, tòa nhà DMC, số 535 Kim Mã, phường Ngọc Khánh, quận Ba Đình, Tp. Hà Nội</t>
  </si>
  <si>
    <t>V10314B</t>
  </si>
  <si>
    <t>V10314C</t>
  </si>
  <si>
    <t>102.01.0000.558.716</t>
  </si>
  <si>
    <t>Ngân hàng TMCP Công Thương Việt Nam-CN Đông Anh</t>
  </si>
  <si>
    <t>Công ty cổ phần kinh doanh và xuất nhập khẩu khí gas hóa lỏng Vạn Lộc</t>
  </si>
  <si>
    <t>Lô CN4,  Khu công nghiệp Nguyên Khê, Xã Nguyên Khê, Huyện Đông Anh, Thành phố Hà Nội</t>
  </si>
  <si>
    <t>V10442C</t>
  </si>
  <si>
    <t>020031680639</t>
  </si>
  <si>
    <t>Ngân hàng TMCP Sài Gòn Thương Tín-CN Đống Đa</t>
  </si>
  <si>
    <t>Tầng 2, số 37 phố Nguyễn Sơn,phường Ngọc Lâm,quận Long Biên, thành phố Hà Nội, Việt Nam</t>
  </si>
  <si>
    <t>V10653C</t>
  </si>
  <si>
    <t>002.100.046.5345</t>
  </si>
  <si>
    <t>Ngân hàng TMCP Ngoại thương - CN Hà Nội</t>
  </si>
  <si>
    <t>043944555</t>
  </si>
  <si>
    <t>0102311149</t>
  </si>
  <si>
    <t>Tầng 11 - tòa nhà Viện dầu khí, số 167 phố Trung Kính, phường Yên Hòa, quận Cầu Giấy, thành phố Hà Nội, Việt Nam</t>
  </si>
  <si>
    <t>V10017A</t>
  </si>
  <si>
    <t>V10017C</t>
  </si>
  <si>
    <t>V10017B</t>
  </si>
  <si>
    <t>19036190799013</t>
  </si>
  <si>
    <t>Ngân hàng Thương mại cổ phần Kỹ thương Việt Nam-CN Hà Thành</t>
  </si>
  <si>
    <t>Số 3 ngõ 271/1/26 Bùi Xương Trạch, phường Khương Đình, quận Thanh Xuân, thành phố Hà Nội, Việt Nam</t>
  </si>
  <si>
    <t>V10613C</t>
  </si>
  <si>
    <t>0031 00000 3058</t>
  </si>
  <si>
    <t>NH TMCP Ngoại thương Việt Nam - CN Hải Phòng</t>
  </si>
  <si>
    <t>0200116717</t>
  </si>
  <si>
    <t>Tầng 5, Tòa nhà Habour View, Số 12 Trần Phú, Ngô Quyền, Hải Phòng</t>
  </si>
  <si>
    <t>V10031B</t>
  </si>
  <si>
    <t>V10031A</t>
  </si>
  <si>
    <t>Công ty Cổ phần Khu công nghiệp Đình Vũ</t>
  </si>
  <si>
    <t>Số 12 Trần Phú, Máy Tơ, Ngô Quyền, Hải Phòng</t>
  </si>
  <si>
    <t>CG480005C0</t>
  </si>
  <si>
    <t>V10031C</t>
  </si>
  <si>
    <t>0011001349023</t>
  </si>
  <si>
    <t>Số 473 Minh Khai, Phường Vĩnh Tuy, Quận Hai Bà Trưng, TP. Hà Nội</t>
  </si>
  <si>
    <t>V10593C</t>
  </si>
  <si>
    <t>118000179294</t>
  </si>
  <si>
    <t>Viettinbank - CN Tô Hiệu</t>
  </si>
  <si>
    <t>Số 189A Tô Hiệu, Trại Cau, Lê Chân, Hải Phòng</t>
  </si>
  <si>
    <t>V10483C</t>
  </si>
  <si>
    <t>Số 308C phố Minh Khai, Phường Minh Khai, Quận Hai Bà Trưng, Hà nội</t>
  </si>
  <si>
    <t>V10347C</t>
  </si>
  <si>
    <t>150.10.00.0656169</t>
  </si>
  <si>
    <t>Ngân hàng TMCP Đầu tư và Phát triển Việt Nam-Chi nhánh Long Biên Hà Nội</t>
  </si>
  <si>
    <t>số 240 phố Phú Viênphường Bồ Đềquận Long Biênthành phố Hà Nội, Việt Nam</t>
  </si>
  <si>
    <t>V10565B</t>
  </si>
  <si>
    <t>15010000656169</t>
  </si>
  <si>
    <t>Ngân hàng TMCP đầu tư và phát triển Việt Nam-CN Long Biên Hà Nội</t>
  </si>
  <si>
    <t>Số 240 Phố Phú Viên, Phường Bồ Đề, Quận Long Biên, Thành Phố Hà Nội, Việt Nam</t>
  </si>
  <si>
    <t>V10565C</t>
  </si>
  <si>
    <t>102010000849641</t>
  </si>
  <si>
    <t>Ngân hàng TMCP Công Thương Việt Nam, chi nhánh Hoàn Kiếm</t>
  </si>
  <si>
    <t>E702, Tòa nhà The Manor, Mỹ Đình, xã Mễ Trì, Huyện Từ Liêm, Hà Nội.</t>
  </si>
  <si>
    <t>V10552B</t>
  </si>
  <si>
    <t>V10552C</t>
  </si>
  <si>
    <t>19027292035019</t>
  </si>
  <si>
    <t>Techcombank- Phòng giao dịch Kiến An</t>
  </si>
  <si>
    <t>0313.791937</t>
  </si>
  <si>
    <t>0201300437</t>
  </si>
  <si>
    <t>175 Trường Chinh- Phường Lãm Hà, Kiến An, Hải Phòng</t>
  </si>
  <si>
    <t>V10113C</t>
  </si>
  <si>
    <t>V10113B</t>
  </si>
  <si>
    <t>V10113A</t>
  </si>
  <si>
    <t>19121133567111</t>
  </si>
  <si>
    <t>Techcombank - CN Hoàng Quốc Việt</t>
  </si>
  <si>
    <t>1900558866</t>
  </si>
  <si>
    <t>Số 3, tầng 1 Tòa nhà 3D, phố Duy Tân, Phường Dịch Vọng Hậu, Quận Cầu Giấy, Hà Nội</t>
  </si>
  <si>
    <t>V10340C</t>
  </si>
  <si>
    <t>2111211002152</t>
  </si>
  <si>
    <t>Ngân hàng Nông nghiệp và phát triển nông thôn - CN Hồng bàng</t>
  </si>
  <si>
    <t>0313.667.222</t>
  </si>
  <si>
    <t>0200491387</t>
  </si>
  <si>
    <t>Số 40, Trần Quang Khải, Hoàng Văn Thụ, Hồng bàng, Hải phòng</t>
  </si>
  <si>
    <t>V10270B</t>
  </si>
  <si>
    <t>V10270C</t>
  </si>
  <si>
    <t>V4068C0</t>
  </si>
  <si>
    <t>0031 00000 3122</t>
  </si>
  <si>
    <t>Công ty cổ phần Harbour View</t>
  </si>
  <si>
    <t>0200109572</t>
  </si>
  <si>
    <t>12 Trần Phú, P.Máy tơ, Q.Ngô Quyền, Hải Phòng</t>
  </si>
  <si>
    <t>V4010C0</t>
  </si>
  <si>
    <t>5590211001150</t>
  </si>
  <si>
    <t>Ngân hàng Agribank-Chi nhánh KCN Sóng Thần, tỉnh Bình Dương</t>
  </si>
  <si>
    <t>Số 88, đường Vĩnh Phú 40, khu phố Hòa Long, phường Vĩnh Phú, thành phố Thuận An, tỉnh Bình Dương, Việt Nam</t>
  </si>
  <si>
    <t>V10572C</t>
  </si>
  <si>
    <t>0451000312468</t>
  </si>
  <si>
    <t>NH thương mại cổ phần ngoại thương Việt Nam-chi nhánh Thành Công</t>
  </si>
  <si>
    <t>Số 86 Trần Vỹ, phường Mai Dịch, quận Cầu Giấy, thành phố Hà Nội, Việt Nam</t>
  </si>
  <si>
    <t>V10566B</t>
  </si>
  <si>
    <t>0071002858580 (VND)/0071374500902 (USD)</t>
  </si>
  <si>
    <t>Ngân hàng thương mại cổ phần Ngoại thương Việt Nam-Chi nhánh Thành phố Hồ Chí Minh</t>
  </si>
  <si>
    <t>0303957341</t>
  </si>
  <si>
    <t>Tầng 5, Tòa nhà Cảng Sài Gòn, Số 3 Nguyễn Tất Thành,Phường 13, Quận 4,Thành phố Hồ Chí Minh. Việt Nam</t>
  </si>
  <si>
    <t>V10701C</t>
  </si>
  <si>
    <t>V10701B</t>
  </si>
  <si>
    <t>V10701A</t>
  </si>
  <si>
    <t>102010001812017</t>
  </si>
  <si>
    <t>Vietin bank CN Hải Phòng</t>
  </si>
  <si>
    <t>0313 261 999</t>
  </si>
  <si>
    <t>Số 484 Lạch Tray , Phường Đổng Quốc Bình, Quận Ngô Quyền, Thành phố Hải Phòng, Việt Nam</t>
  </si>
  <si>
    <t>V10312C</t>
  </si>
  <si>
    <t>0031000219922</t>
  </si>
  <si>
    <t>Số 8/20/299 Ngô Gia Tự, P.Đằng Lâm, Q.Hải An, TP Hải Phòng</t>
  </si>
  <si>
    <t>V10446C</t>
  </si>
  <si>
    <t>124747189</t>
  </si>
  <si>
    <t>TMCP Á Châu - PGD Ngọc Hà</t>
  </si>
  <si>
    <t>0105740724</t>
  </si>
  <si>
    <t>Số 8, ngõ 286 Giáp Bát, phường Thịnh Liệt, quận Hoàng Mai, Hà Nội</t>
  </si>
  <si>
    <t>V10125C</t>
  </si>
  <si>
    <t>V10125B</t>
  </si>
  <si>
    <t>V10125A</t>
  </si>
  <si>
    <t>0561100557004</t>
  </si>
  <si>
    <t>Ngân hàng TMCP Quân Đội, Chi nhánh Hoàng Quốc Việt</t>
  </si>
  <si>
    <t>Công ty cổ phần giải pháp nhân sự Việt Nam</t>
  </si>
  <si>
    <t>Tầng 10, số 6, ngõ 15, Phố Duy Tân, P.Dịch Vọng Hậu, Q.Cầu giấy, Hà Nội, Việt Nam</t>
  </si>
  <si>
    <t>V10499C</t>
  </si>
  <si>
    <t>9040984898</t>
  </si>
  <si>
    <t>04-22 33 44 555</t>
  </si>
  <si>
    <t>0102185180</t>
  </si>
  <si>
    <t>Tầng 1, Tòa nhà Sông Đà 9, số 2 đường Nguyễn Hoàng, Phường Mỹ Đình 2, Quận Nam Từ Liêm, Thành phố Hà Nội, Việt Nam</t>
  </si>
  <si>
    <t>V10307C</t>
  </si>
  <si>
    <t>11520809247010</t>
  </si>
  <si>
    <t>Ngân hàng Techcombank-Chi nhánh Ba Đình</t>
  </si>
  <si>
    <t>CÔNG TY CỔ PHẦN FIINGROUP</t>
  </si>
  <si>
    <t>Tầng 10, Tòa nhà Peakview Tower, 36 Hoàng Cầu, Phường Ô Chợ Dừa, Quận Đống Đa, Thành phố Hà Nội, Việt Nam</t>
  </si>
  <si>
    <t>V10644C</t>
  </si>
  <si>
    <t>102010002218458</t>
  </si>
  <si>
    <t>TMCP Công Thương, CN Kiến An</t>
  </si>
  <si>
    <t>02253527778</t>
  </si>
  <si>
    <t>0201632496</t>
  </si>
  <si>
    <t>Số 46 đường Trần Hưng Đạo, Bạch Đằng 2, Núi Đèo, Thủy Nguyên, Hải Phòng</t>
  </si>
  <si>
    <t>V10277B</t>
  </si>
  <si>
    <t>Ngân hàng TMCP Công Thương - CN Kiến An</t>
  </si>
  <si>
    <t>Số nhà 23A, ngõ 160, đường 208, X.An Đồng, H.An Dương, TP. Hải Phòng</t>
  </si>
  <si>
    <t>V10277C</t>
  </si>
  <si>
    <t>13826262626010</t>
  </si>
  <si>
    <t>Techcombank - CN Hà Thành</t>
  </si>
  <si>
    <t>0101546010</t>
  </si>
  <si>
    <t>Số 51 Đào Duy Từ, Phường Hàng Buồm, Quận Hoàn Kiếm, TP Hà Nội</t>
  </si>
  <si>
    <t>V10522B</t>
  </si>
  <si>
    <t>V10522C</t>
  </si>
  <si>
    <t>0031000889869</t>
  </si>
  <si>
    <t>Ngân hàng TMCP Ngoại thương Việt Nam- CN Hải Phòng</t>
  </si>
  <si>
    <t>Công ty cổ phần du lịch và tiếp thị giao thông vận tải Việt Nam-Vietravel-CN Hải Phòng</t>
  </si>
  <si>
    <t>Số 4, Phường Hoàng Văn Thụ, Quận Hồng Bàng, Thành phố Hải Phòng</t>
  </si>
  <si>
    <t>V4099C0</t>
  </si>
  <si>
    <t>2531138668668</t>
  </si>
  <si>
    <t>NH TMCP Quân Đội - CN Nam Hải Phòng</t>
  </si>
  <si>
    <t>Số 19 Trần Khánh Dư, P. Máy Tơ, Q. Ngô Quyền, TP.Hải Phòng</t>
  </si>
  <si>
    <t>V10120C</t>
  </si>
  <si>
    <t>V10120B</t>
  </si>
  <si>
    <t>V10120A</t>
  </si>
  <si>
    <t>0031000122931</t>
  </si>
  <si>
    <t>Công ty cổ phần du lịch dịch vụ Nam Cường</t>
  </si>
  <si>
    <t>0105042818</t>
  </si>
  <si>
    <t>Số 47 Lạch Tray, Ngô Quyền, Hải Phòng, Việt Nam</t>
  </si>
  <si>
    <t>V4049C0</t>
  </si>
  <si>
    <t>175511269</t>
  </si>
  <si>
    <t>Thương mại cổ phần Á Châu -CN Tân Bình</t>
  </si>
  <si>
    <t>08.6266 2333</t>
  </si>
  <si>
    <t>169/1/5 Đường Lương Định Của, Khu phố 3, Phường An Khánh, Thành phố Thủ Đức, Thành phố Hồ Chí Minh, Việt Nam</t>
  </si>
  <si>
    <t>V10201C</t>
  </si>
  <si>
    <t>V10201B</t>
  </si>
  <si>
    <t>V10201A</t>
  </si>
  <si>
    <t>72242139</t>
  </si>
  <si>
    <t>Ngân hàng TMCP Á Châu</t>
  </si>
  <si>
    <t>031.3573548</t>
  </si>
  <si>
    <t>0200742986</t>
  </si>
  <si>
    <t>Thôn Cây Đa, xã An Lư, huyện Thủy Nguyên, TP Hải Phòng</t>
  </si>
  <si>
    <t>V10146C</t>
  </si>
  <si>
    <t>V10146B</t>
  </si>
  <si>
    <t>V10146A</t>
  </si>
  <si>
    <t>0031000679679</t>
  </si>
  <si>
    <t>Vietcombank  - CN Hải Phòng</t>
  </si>
  <si>
    <t>Số 33 Kỳ Đồng, P Hoàng Văn Thụ, Q Hồng Bàng, Hải Phòng</t>
  </si>
  <si>
    <t>V10576C</t>
  </si>
  <si>
    <t>03501013220034</t>
  </si>
  <si>
    <t>Nhà số 6A, hẻm 135/73/3, đường Đội Cấn,Phường Ngọc Hà, Quận Ba Đình, Thành phố Hà Nội, Việt Nam</t>
  </si>
  <si>
    <t>V10650C</t>
  </si>
  <si>
    <t>031 6266886</t>
  </si>
  <si>
    <t>Số 5, đường Lê Thánh TôngTầng 2, Khu TTTM Vincom Center Hải Phòng, Ngô Quyền, Hải Phòng</t>
  </si>
  <si>
    <t>V10355C</t>
  </si>
  <si>
    <t>21310000606135</t>
  </si>
  <si>
    <t>TMCP Đầu tư và phát triển Việt Nam - CN Nam Hà Nội</t>
  </si>
  <si>
    <t>0103010881</t>
  </si>
  <si>
    <t>V10502C</t>
  </si>
  <si>
    <t>110600481688</t>
  </si>
  <si>
    <t>NH Vietinbank - CN Hoàng Mai - Hội sở</t>
  </si>
  <si>
    <t>Số 29, ngõ 497 đường Nguyễn Trãi, phường Thanh Xuân Nam, quận Thanh Xuân Nam, quận Thanh Xuân, TP Hà Nội, VN</t>
  </si>
  <si>
    <t>V10407C</t>
  </si>
  <si>
    <t>Viettinbank - CN Hoàng Mai - Hội sở</t>
  </si>
  <si>
    <t>V10407B</t>
  </si>
  <si>
    <t>0031 000 288 599</t>
  </si>
  <si>
    <t>Vietcombank- Chi nhánh Hải Phòng</t>
  </si>
  <si>
    <t>0200682529</t>
  </si>
  <si>
    <t>Số 3A Lý Tự Trọng, P.Minh Khai, Q.Hồng Bàng, TP. Hải Phòng</t>
  </si>
  <si>
    <t>V10022C</t>
  </si>
  <si>
    <t>V10022B</t>
  </si>
  <si>
    <t>V10022A</t>
  </si>
  <si>
    <t>CG440023C0</t>
  </si>
  <si>
    <t>3334406-001</t>
  </si>
  <si>
    <t>Ngân hàng Indovina-Chi nhánh Hải Phòng</t>
  </si>
  <si>
    <t>CÔNG TY CỔ PHẦN DỊCH VỤ DU LỊCH THIÊN ĐỨC</t>
  </si>
  <si>
    <t>Lô A1-5, A1-14 đường Lê Hồng Phong, phường Đông Khê, quận Ngô Quyền Thành phố Hải Phòng, Việt Nam</t>
  </si>
  <si>
    <t>V10641C</t>
  </si>
  <si>
    <t>Ngân hàng Indovina- CN Hải Phòng</t>
  </si>
  <si>
    <t>Lô A1-5, A1-14 Đường Lê Hồng Phong, Đông Khê, Ngô Quyền, Hải Phòng, Việt Nam</t>
  </si>
  <si>
    <t>V10482C</t>
  </si>
  <si>
    <t>212168888</t>
  </si>
  <si>
    <t>0201719690</t>
  </si>
  <si>
    <t>Km92, QL5 mới, P.Hùng Vương, Q.Hồng bàng, Hải phòng</t>
  </si>
  <si>
    <t>V10350C</t>
  </si>
  <si>
    <t>CÔNG TY CỔ PHẦN DỊCH VỤ BẢO VỆ ALSOK VIỆT NAM</t>
  </si>
  <si>
    <t>Km 92 Quốc lộ 5 mới, Phường Hùng Vương,Quận Hồng Bàng,Thành phố Hải Phòng, Việt Nam</t>
  </si>
  <si>
    <t>V10350B</t>
  </si>
  <si>
    <t>060051140535</t>
  </si>
  <si>
    <t>Ngân hàng Sacombank - Sở giao dịch</t>
  </si>
  <si>
    <t>08.62549444</t>
  </si>
  <si>
    <t>0311834569</t>
  </si>
  <si>
    <t>Lầu 2, tòa nhà Coalimex, 29-31 Đinh Bộ Lĩnh, Phường 24, Quận Bình Thạnh, TP Hồ Chí Minh</t>
  </si>
  <si>
    <t>V10261C</t>
  </si>
  <si>
    <t>114639558888</t>
  </si>
  <si>
    <t>Ngân hàng TMCP Công thương Việt Nam - Chi nhánh Kiến An</t>
  </si>
  <si>
    <t>Số 508 Hùng Vương, Phường Hùng Vương, Quận Hồng Bàng, Thành phố Hải Phòng</t>
  </si>
  <si>
    <t>V10506C</t>
  </si>
  <si>
    <t>170314851009100</t>
  </si>
  <si>
    <t>NH XNK Việt Nam (Eximbank)-CN Đống Đa, Hà Nội</t>
  </si>
  <si>
    <t>0106457967</t>
  </si>
  <si>
    <t>Số 28 ngõ 104, đường Đức Giang, phường Đức Giang, quận Long Biên, TP Hà Nội, Việt Nam</t>
  </si>
  <si>
    <t>V10518C</t>
  </si>
  <si>
    <t>Thành phố Hồ Chí Minh</t>
  </si>
  <si>
    <t>19037809695011</t>
  </si>
  <si>
    <t>Ngân hàng TMCP Kỹ thương Việt Nam-Chi nhánh Chợ Lớn</t>
  </si>
  <si>
    <t>Công ty Cổ Phần Đầu tư và Phát triển Công Nghệ Tabviet</t>
  </si>
  <si>
    <t>0302919897</t>
  </si>
  <si>
    <t>219 Quốc Lộ 13,Phường 26,Quận Bình Thạnh,Thành phố Hồ Chí Minh, Việt Nam</t>
  </si>
  <si>
    <t>V10718B</t>
  </si>
  <si>
    <t>V10718C</t>
  </si>
  <si>
    <t>0031 000 121 619</t>
  </si>
  <si>
    <t>Ngân hàng TMCP Ngoại thương Việt Nam - CN Hải Phòng</t>
  </si>
  <si>
    <t>0201019307</t>
  </si>
  <si>
    <t>102010001628380</t>
  </si>
  <si>
    <t>Ngân hàng TMCP Công thương Việt Nam - CN Ngô Quyền Hải Phòng</t>
  </si>
  <si>
    <t>Công ty Cổ phần đầu tư và du lịch Gia Minh</t>
  </si>
  <si>
    <t>Số 1 lô 3A-khu đô thị mới Ngã Năm Sân bay Cát Bi, phường Đông Khê, Ngô Quyền, Hải Phòng</t>
  </si>
  <si>
    <t>V4093C0</t>
  </si>
  <si>
    <t>110000192157</t>
  </si>
  <si>
    <t>Ngân hàng TMCP Công Thương Việt Nam-Chi nhánh Lê Chân</t>
  </si>
  <si>
    <t>Số 7/41 đường Nam Hải, Phường Nam Hải, Quận Hải An, thành phố Hải Phòng, Việt Nam</t>
  </si>
  <si>
    <t>V10647C</t>
  </si>
  <si>
    <t>1000035697</t>
  </si>
  <si>
    <t>Ngân hàng TMCP Sài gòn - Hà Nội - CN Hải Phòng</t>
  </si>
  <si>
    <t>Công ty Cổ phần đầu tư thương mại DG</t>
  </si>
  <si>
    <t>Số 15 Trần Phú, Phường Lương Khánh Thiện, Quận Ngô Quyền, TP Hải Phòng</t>
  </si>
  <si>
    <t>V10546C</t>
  </si>
  <si>
    <t>1 0000 35697</t>
  </si>
  <si>
    <t>TMCP Sài Gòn - Hà Nội, CN Hải Phòng</t>
  </si>
  <si>
    <t>031.375 7459</t>
  </si>
  <si>
    <t>0200421460</t>
  </si>
  <si>
    <t>15 Trần Phú, Ngô Quyền, Hải phòng</t>
  </si>
  <si>
    <t>V10216C</t>
  </si>
  <si>
    <t>V10216B</t>
  </si>
  <si>
    <t>V10216A</t>
  </si>
  <si>
    <t>22010000432651</t>
  </si>
  <si>
    <t>BIDV Thăng Long, Hà Nội</t>
  </si>
  <si>
    <t>04.37868588</t>
  </si>
  <si>
    <t>0105895196</t>
  </si>
  <si>
    <t>Số 324 Hồ Tùng Mậu, phường Phú Diễn, Quận Bắc Từ Liêm, thành phố Hà Nội, Việt Nam</t>
  </si>
  <si>
    <t>V10178C</t>
  </si>
  <si>
    <t>V10178B</t>
  </si>
  <si>
    <t>V10178A</t>
  </si>
  <si>
    <t>112608575555 (VND)/111649575555 (VND)</t>
  </si>
  <si>
    <t>Ngân hàng TMCP Công thương Việt Nam (Vietinbank)-Chi nhánh Gia Định</t>
  </si>
  <si>
    <t>0309733450</t>
  </si>
  <si>
    <t>92 Nguyễn Văn Trỗi, Phường 08, Quận Phú Nhuận,Thành phố Hồ Chí Minh, Việt Nam</t>
  </si>
  <si>
    <t>V10384C</t>
  </si>
  <si>
    <t>42610000337172</t>
  </si>
  <si>
    <t>Ngân hàng TMCP đầu tư và phát triển Việt Nam-CN Phúc Yên</t>
  </si>
  <si>
    <t>Km số 8, cao tốc Bắc Thăng Long-Nội Bài, thị trấn Quang Minh, huyện Mê Linh, thành phố Hà Nội</t>
  </si>
  <si>
    <t>V10608C</t>
  </si>
  <si>
    <t>144280089</t>
  </si>
  <si>
    <t>Ngân hàng ACB - Chi nhánh Nguyễn Văn Trỗi</t>
  </si>
  <si>
    <t>Công ty cổ phần đầu tư phát triển giáo dục Toppion</t>
  </si>
  <si>
    <t>55 Trương Quốc Dung,Phường 10, Quận Phú Nhuận,Thành phố Hồ Chí Minh</t>
  </si>
  <si>
    <t>V10428C</t>
  </si>
  <si>
    <t>0031000227867</t>
  </si>
  <si>
    <t>Ngân hàng Vietcombank - NHP</t>
  </si>
  <si>
    <t>0201641412</t>
  </si>
  <si>
    <t>Số 16/562 Nguyễn Văn Linh, Phường Vĩnh Niệm, Quận Lê Chân, Hải Phòng</t>
  </si>
  <si>
    <t>V10501C</t>
  </si>
  <si>
    <t>10923273367666</t>
  </si>
  <si>
    <t>Techcombank / Hải Phòng</t>
  </si>
  <si>
    <t>0313 264403</t>
  </si>
  <si>
    <t>Số 58/50/286 Lê Lai,Phường Máy Chai, Quận Ngô Quyền,Hải Phòng</t>
  </si>
  <si>
    <t>V10336C</t>
  </si>
  <si>
    <t>1000047220</t>
  </si>
  <si>
    <t>Ngân hàng TMCP sài gòn-Hà Nội (SHB)- PGD Văn Cao-CN Hải Phòng</t>
  </si>
  <si>
    <t>6/5/348 Trần Nguyên Hãn, Phường Niệm Nghĩa, Quận Lê Chân, TP Hải Phòng</t>
  </si>
  <si>
    <t>V10553C</t>
  </si>
  <si>
    <t>224658</t>
  </si>
  <si>
    <t>Ngân hàng ACB-Chi nhánh Hải Phòng</t>
  </si>
  <si>
    <t>Số 47/384 đường Lạch Tray, Phường Đằng Giang,Quận Ngô Quyền,Thành phố Hải Phòng, Việt Nam</t>
  </si>
  <si>
    <t>V10661C</t>
  </si>
  <si>
    <t>37051019</t>
  </si>
  <si>
    <t>Asia Commercial Joint Stock Bank / Hải Phòng</t>
  </si>
  <si>
    <t>0984 898 398</t>
  </si>
  <si>
    <t>Công ty Cổ phần đào tạo và phát triển doanh nghiệp HPM</t>
  </si>
  <si>
    <t>Số 275 Lạch Tray, Phường Đằng Giang, Quận Ngô Quyền, Thành phố Hải Phòng</t>
  </si>
  <si>
    <t>V10369C</t>
  </si>
  <si>
    <t>19027716070014</t>
  </si>
  <si>
    <t>Techcombank - Hội sở chính</t>
  </si>
  <si>
    <t>Công ty cổ phần Đào tạo năng lực Việt Growth Catalyst</t>
  </si>
  <si>
    <t>Lô TT2-Dãy A-Ô số 10 Bắc Linh Đàm, P. Đại Kim, Q.Hoàng Mai, Hà Nội</t>
  </si>
  <si>
    <t>V4105C0</t>
  </si>
  <si>
    <t>166203369</t>
  </si>
  <si>
    <t>TMCP Á Châu - PGD TD Plaza</t>
  </si>
  <si>
    <t>031.3614225</t>
  </si>
  <si>
    <t>0200820507</t>
  </si>
  <si>
    <t>Số 276-277 Trần Hưng Đạo, phường Đông Hải 2, quận Hải An, Tp.Hải Phòng</t>
  </si>
  <si>
    <t>V10110C</t>
  </si>
  <si>
    <t>V10110B</t>
  </si>
  <si>
    <t>V10110A</t>
  </si>
  <si>
    <t>15471999</t>
  </si>
  <si>
    <t>VP Bank - Hải Phòng</t>
  </si>
  <si>
    <t>031.3741555</t>
  </si>
  <si>
    <t>0200994711</t>
  </si>
  <si>
    <t>Số 12/174 Văn Cao, Đằng Giang, Ngô Quyền, Hải Phòng</t>
  </si>
  <si>
    <t>V10100B</t>
  </si>
  <si>
    <t>V10100A</t>
  </si>
  <si>
    <t>V10100C</t>
  </si>
  <si>
    <t>0541000275618</t>
  </si>
  <si>
    <t>Ngân hàng TMCP Ngoại thương Việt Nam-chi nhánh Chương Dương</t>
  </si>
  <si>
    <t>Số 80B, đường Nguyễn Văn Cừ, phường Bồ Đề, quận Long Biên, thành phố Hà Nội, Việt Nam</t>
  </si>
  <si>
    <t>V10574C</t>
  </si>
  <si>
    <t>71733998</t>
  </si>
  <si>
    <t>VP Bank / CN Thăng Long, PGD Trung Hòa Nhân Chính</t>
  </si>
  <si>
    <t>Số 44, ngõ 381,đường Nguyễn Khang,Phường Yên Hòa,Quận Cầu Giấy,Thành phố Hà Nội, Việt Nam</t>
  </si>
  <si>
    <t>V10379C</t>
  </si>
  <si>
    <t>043.557.9556</t>
  </si>
  <si>
    <t>Số 119, Phố Hồ Đắc Di, Phường Nam Đồng, Quận Đống Đa, TP. Hà Nội</t>
  </si>
  <si>
    <t>V10087C</t>
  </si>
  <si>
    <t>V10087B</t>
  </si>
  <si>
    <t>V10087A</t>
  </si>
  <si>
    <t>0491000001228</t>
  </si>
  <si>
    <t>Vietcombank / Thăng Long</t>
  </si>
  <si>
    <t>Công ty cổ phần Công nghệ và thiết bị CNC Hà Nội</t>
  </si>
  <si>
    <t>Lô 32/D21 khu đô thị mới Cầu Giấy, phường Dịch Vọng Hậu, quận Cầu Giấy, thành phố Hà Nội</t>
  </si>
  <si>
    <t>V10375C</t>
  </si>
  <si>
    <t>Ngân hàng TMCP Ngoại thương Việt nam - Chi nhánh Thăng Long</t>
  </si>
  <si>
    <t>Công ty Cổ phần Công nghệ và Thiết bị CNC Hà Nội</t>
  </si>
  <si>
    <t>V10375B</t>
  </si>
  <si>
    <t>0451000244283</t>
  </si>
  <si>
    <t>04 8585 4367</t>
  </si>
  <si>
    <t>0106037810</t>
  </si>
  <si>
    <t>Số 09, tổ 02, Bằng A, Phường Hoàng Liệt, Quận Hoàng Mai, Thành phố Hà Nội, Việt Nam</t>
  </si>
  <si>
    <t>V10163C</t>
  </si>
  <si>
    <t>V10163B</t>
  </si>
  <si>
    <t>V10163A</t>
  </si>
  <si>
    <t>0541000254626</t>
  </si>
  <si>
    <t>Ngân hàng TMCP Ngoại thương - Chi nhánh Chương Dương</t>
  </si>
  <si>
    <t>Công ty cổ phần công nghệ và dịch vụ phần mềm Lạc Long Quân</t>
  </si>
  <si>
    <t>0107052924</t>
  </si>
  <si>
    <t>Số 10, ngách 592/29 Trường Chinh, P.Khương Thượng, Q.Đống Đa, TP.Hà Nội</t>
  </si>
  <si>
    <t>V10479B</t>
  </si>
  <si>
    <t>0861100016888</t>
  </si>
  <si>
    <t>Ngân hàng TMCP Quân đội - CN Ba Đình</t>
  </si>
  <si>
    <t>Công Ty Cổ phần Công Nghệ Tin Học EFY Việt Nam</t>
  </si>
  <si>
    <t>Tầng 9, tòa nhà Sannam, số 78 phố Duy Tân, P. Dịch Vọng Hậu, Q. Cầu giấy, TP. Hà Nội</t>
  </si>
  <si>
    <t>V4100C0</t>
  </si>
  <si>
    <t>131330059</t>
  </si>
  <si>
    <t>Ngân hàng TM Cổ phần Á Châu - Chi nhánh Hà Nội</t>
  </si>
  <si>
    <t>0436628835</t>
  </si>
  <si>
    <t>0103921073</t>
  </si>
  <si>
    <t>Phòng 1205, Nhà A, Nhân Mỹ, Mỹ Đình, Từ Liêm, Hà Nội</t>
  </si>
  <si>
    <t>V10071C</t>
  </si>
  <si>
    <t>V10071B</t>
  </si>
  <si>
    <t>V10071A</t>
  </si>
  <si>
    <t>10321656622015</t>
  </si>
  <si>
    <t>ngân hàng Techcombank, CN Thăng Long, PGD Kim Liên</t>
  </si>
  <si>
    <t>Tầng 5, Số 2 Chùa Bộc, Phường Trung Tự, Quận Đống Đa, TP.Hà Nội, Việt Nam</t>
  </si>
  <si>
    <t>V10397C</t>
  </si>
  <si>
    <t>2100201330750</t>
  </si>
  <si>
    <t>Agribank- CN Hải Phòng</t>
  </si>
  <si>
    <t>031.3 559 922</t>
  </si>
  <si>
    <t>0200885078</t>
  </si>
  <si>
    <t>Số 96 Ngô Gia Tự, Phường Cát Bi, Quận Hải An, Thành phố Hải Phòng</t>
  </si>
  <si>
    <t>V10095C</t>
  </si>
  <si>
    <t>V10095B</t>
  </si>
  <si>
    <t>V10095A</t>
  </si>
  <si>
    <t>43991086</t>
  </si>
  <si>
    <t>Ngân hàng TMCP Việt Nam Thịnh Vượng - chi nhánh Láng Hạ</t>
  </si>
  <si>
    <t>0102718209</t>
  </si>
  <si>
    <t>Tầng 4, Số 26, Nguyễn Văn Ngọc, Phường Cống Vị, Quận Ba Đình, Hà Nội</t>
  </si>
  <si>
    <t>V10298C</t>
  </si>
  <si>
    <t>114992279</t>
  </si>
  <si>
    <t>Ngân hàng TMCP Á Châu-Chi nhánh Tân Thuận</t>
  </si>
  <si>
    <t>09 Đường 65,Phường Tân Phong,Quận 7, Thành phố Hồ Chí Minh, Việt Nam</t>
  </si>
  <si>
    <t>V10678C</t>
  </si>
  <si>
    <t>102010000459208</t>
  </si>
  <si>
    <t>Công Thương Lê Chân Hải Phòng</t>
  </si>
  <si>
    <t>0313.700007</t>
  </si>
  <si>
    <t>0200677462</t>
  </si>
  <si>
    <t>Số 55 Đinh Nhu, P.Lam Sơn, Q.Lê Chân, TP.Hải Phòng</t>
  </si>
  <si>
    <t>V10198A</t>
  </si>
  <si>
    <t>V10198C</t>
  </si>
  <si>
    <t>V10198B</t>
  </si>
  <si>
    <t>0341006990138</t>
  </si>
  <si>
    <t>Ngân hàng thương mại cổ phần Ngoại thương Việt Nam - Chi nhánh Hải Dương</t>
  </si>
  <si>
    <t>0320 3710555</t>
  </si>
  <si>
    <t>0800754983</t>
  </si>
  <si>
    <t>Thôn Phong Lâm, xã Hoàng Diệu, huyện Gia Lộc, tỉnh Hải Dương</t>
  </si>
  <si>
    <t>CG440015C0</t>
  </si>
  <si>
    <t>102010001434639</t>
  </si>
  <si>
    <t>TMCP Công Thương Việt Nam - CN Đống Đa, Hà Nội</t>
  </si>
  <si>
    <t>04 6680 7519</t>
  </si>
  <si>
    <t>0103671095</t>
  </si>
  <si>
    <t>Số 142 đường Lê Duẩn, Phường Khâm Thiên, Quận Đống Đa, TP.Hà Nội, Việt Nam</t>
  </si>
  <si>
    <t>V10188C</t>
  </si>
  <si>
    <t>V10188B</t>
  </si>
  <si>
    <t>V10188A</t>
  </si>
  <si>
    <t>1220989888</t>
  </si>
  <si>
    <t>Ngân hàng TMCP đầu tư và phát triển Việt Nam-Chi nhánh Hà Thành</t>
  </si>
  <si>
    <t>Công ty cổ phần công nghệ ITG</t>
  </si>
  <si>
    <t>Số nhà B8, ngõ 11 Nguyễn Qúy Đức,phường Thanh Xuân Bắc,quận Thanh Xuân,thành phố Hà Nội, Việt Nam</t>
  </si>
  <si>
    <t>V10716C</t>
  </si>
  <si>
    <t>V10716B</t>
  </si>
  <si>
    <t>1021000006868</t>
  </si>
  <si>
    <t>Ngân hàng TMCP ngoại thương VN-CN Phố Hiến</t>
  </si>
  <si>
    <t>19006536</t>
  </si>
  <si>
    <t>0104509916</t>
  </si>
  <si>
    <t>Số 6, ngõ 293, đường Tân Mai, phường Tân Mai, quận Hoàng Mai, Hà Nội</t>
  </si>
  <si>
    <t>V10453C</t>
  </si>
  <si>
    <t>V10453B</t>
  </si>
  <si>
    <t>Thôn Kinh Triều, xã Thủy Triều, huyện Thủy Nguyên, Hải Phòng</t>
  </si>
  <si>
    <t>CG440045C0</t>
  </si>
  <si>
    <t>2105201002626</t>
  </si>
  <si>
    <t>Ngân hàng NN &amp; PTNT chi nhánh Thủy Nguyên</t>
  </si>
  <si>
    <t>0201036567</t>
  </si>
  <si>
    <t>Thôn Kinh Triều, xã Thủy Triều, huyện Thủy Nguyên,thành phố Hải Phòng, Việt Nam</t>
  </si>
  <si>
    <t>V10516B</t>
  </si>
  <si>
    <t>V10516C</t>
  </si>
  <si>
    <t>2100201323580</t>
  </si>
  <si>
    <t>Nông nghiệp và phát triển nông thôn- CN Hải Phòng</t>
  </si>
  <si>
    <t>031.3555619</t>
  </si>
  <si>
    <t>0200680899</t>
  </si>
  <si>
    <t>59/528 Đà Nẵng, Ngô Quyền, Hải Phòng</t>
  </si>
  <si>
    <t>V10084C</t>
  </si>
  <si>
    <t>V10084B</t>
  </si>
  <si>
    <t>V10084A</t>
  </si>
  <si>
    <t>020002045010</t>
  </si>
  <si>
    <t>Sacombank - PGD Đồng Xuân</t>
  </si>
  <si>
    <t>0102683570</t>
  </si>
  <si>
    <t>Phòng 501 nhà số 1 ngõ 329,đường Cầu Giấy, phường Dịch Vọng, quận Cầu Giấy,Thành phố Hà Nội, Việt Nam</t>
  </si>
  <si>
    <t>V10174C</t>
  </si>
  <si>
    <t>V10174B</t>
  </si>
  <si>
    <t>V10174A</t>
  </si>
  <si>
    <t>2601117779999</t>
  </si>
  <si>
    <t>Ngân hàng TMCP Quân Đội-Chi nhánh Bắc Hải Phòng</t>
  </si>
  <si>
    <t>0201301279</t>
  </si>
  <si>
    <t>Thôn Câu Hạ A (tại nhà Ông Dương Đức Hoàn),xã Quang Trung,huyện An Lão, Thành phố Hải Phòng, Việt Nam</t>
  </si>
  <si>
    <t>V10712C</t>
  </si>
  <si>
    <t>V10712B</t>
  </si>
  <si>
    <t>1251-0000-496-671</t>
  </si>
  <si>
    <t>Ngân hàng TMCP Đầu tư và phát triển Việt Nam, CN Đông Đô</t>
  </si>
  <si>
    <t>+84 0320 385636</t>
  </si>
  <si>
    <t>0800379690</t>
  </si>
  <si>
    <t>Số 27 An Thái, Khu 2, Phường Bình Hàn, TP.Hải Dương, Tỉnh Hải Dương</t>
  </si>
  <si>
    <t>V10148B</t>
  </si>
  <si>
    <t>V10148A</t>
  </si>
  <si>
    <t>V10148C</t>
  </si>
  <si>
    <t>Số 34/47 Phạm Hữu Điều, quận Lê Chân, Hải Phòng</t>
  </si>
  <si>
    <t>CG440011C0</t>
  </si>
  <si>
    <t>Ngân hàng TMCP Xuất nhập khẩu Việt Nam - CN Hải Phòng</t>
  </si>
  <si>
    <t>0200962068</t>
  </si>
  <si>
    <t>V10039A</t>
  </si>
  <si>
    <t>Ngân hàng TMCP Xuất nhập khẩu Việt Nam - CNHải Phòng</t>
  </si>
  <si>
    <t>V10039C</t>
  </si>
  <si>
    <t>V10039B</t>
  </si>
  <si>
    <t>34901422</t>
  </si>
  <si>
    <t>VPBank - CN Thăng Long</t>
  </si>
  <si>
    <t>04.62851323</t>
  </si>
  <si>
    <t>0104594397</t>
  </si>
  <si>
    <t>Số 105 Hoàng Văn Thái, phường Khương Trung, quận Thanh Xuân, thành phố Hà Nội</t>
  </si>
  <si>
    <t>V10132C</t>
  </si>
  <si>
    <t>V10132B</t>
  </si>
  <si>
    <t>V10132A</t>
  </si>
  <si>
    <t>109.2281.866.68.99</t>
  </si>
  <si>
    <t>0313 667 170</t>
  </si>
  <si>
    <t>Công Ty Cổ Phần Cơ Điện 3D</t>
  </si>
  <si>
    <t>Số 41/143, đường Trường Chinh, P. Lâm Hà, Kiến An, Hải Phòng</t>
  </si>
  <si>
    <t>V10034A</t>
  </si>
  <si>
    <t>V10034C</t>
  </si>
  <si>
    <t>V10034B</t>
  </si>
  <si>
    <t>006081540001</t>
  </si>
  <si>
    <t>Ngân hàng TMCP Đông Á-Chi nhánh Đinh Tiên Hoàng-PGD Lê Văn Sỹ</t>
  </si>
  <si>
    <t>X-04.77 Tòa nhà North Towers Sunrise City,số 27 Nguyễn Hữu Thọ, phường Tân Hưng,quận 7,Thành phố Hồ Chí Minh, Việt Nam</t>
  </si>
  <si>
    <t>V10660C</t>
  </si>
  <si>
    <t>2101201004732</t>
  </si>
  <si>
    <t>Ngân hàng NN &amp; PTNT Việt Nam - CN Ngô Quyền</t>
  </si>
  <si>
    <t>031.3857966</t>
  </si>
  <si>
    <t>0200674782</t>
  </si>
  <si>
    <t>Số 340 đường Thiên Lôi, quận Lê Chân, Hải Phòng</t>
  </si>
  <si>
    <t>V10166C</t>
  </si>
  <si>
    <t>V10166B</t>
  </si>
  <si>
    <t>V10166A</t>
  </si>
  <si>
    <t>14023703220013</t>
  </si>
  <si>
    <t>Ngân hàng TMCP Kỹ Thương - Việt Nam - PGD Trần Thái Tông</t>
  </si>
  <si>
    <t>(024) 7305 0060</t>
  </si>
  <si>
    <t>Khu ĐT Yên Hòa,Tầng 2, tòa nhà HH1, P. Yên Hòa, Q. Cầu Giấy,TP Hà Nội , Việt Nam</t>
  </si>
  <si>
    <t>V10429C</t>
  </si>
  <si>
    <t>90201806784</t>
  </si>
  <si>
    <t>TPBank-Chi nhánh Ngô Quyền Hải Phòng</t>
  </si>
  <si>
    <t>0201806784</t>
  </si>
  <si>
    <t>Số 268Đ Trần Nguyên Hãn,Phường Niệm Nghĩa,Quận Lê Chân,Thành phố Hải Phòng, Việt Nam</t>
  </si>
  <si>
    <t>689688688</t>
  </si>
  <si>
    <t>Ngân hàng ACB - Chi nhanh Duyên Hải</t>
  </si>
  <si>
    <t>Công ty cổ phân bất động sản sơn và hóa chất Á Châu</t>
  </si>
  <si>
    <t>0200988891</t>
  </si>
  <si>
    <t>Số 12, Đường Lạch Tray, Phường Lạch Tray, Quận Ngô Quyền, TP Hải Phòng</t>
  </si>
  <si>
    <t>V10493C</t>
  </si>
  <si>
    <t>Công ty cổ phần bất động sản sơn và hóa chất Á Châu</t>
  </si>
  <si>
    <t>03001010647635</t>
  </si>
  <si>
    <t>Ngân hàng TMCP Hàng hải Việt Nam - Chi nhánh Hà Nội</t>
  </si>
  <si>
    <t>Số 135/109 đường Trường Chinh, Phường Đồng Hòa, Quận Kiến An, Thành phố Hải Phòng</t>
  </si>
  <si>
    <t>V10398C</t>
  </si>
  <si>
    <t>012704060004681</t>
  </si>
  <si>
    <t>TMCP Quốc tế - CN Hồng Bàng, Hải Phòng</t>
  </si>
  <si>
    <t>8035410058</t>
  </si>
  <si>
    <t>Số 77 Tô Hiệu, Lê Chân, Hải Phòng</t>
  </si>
  <si>
    <t>V10012C</t>
  </si>
  <si>
    <t>Ngân hàng TMCP Quốc tế Việt Nam - CN Hồng Bàng, Hải Phòng</t>
  </si>
  <si>
    <t>0200654578</t>
  </si>
  <si>
    <t>V10012B</t>
  </si>
  <si>
    <t>V10012A</t>
  </si>
  <si>
    <t>163663459</t>
  </si>
  <si>
    <t>Ngân hàng TMCP Á Châu -  PGD Thanh Xuân</t>
  </si>
  <si>
    <t>Số 123, ngõ 460, đường Khương Đình, phường Hạ Đình, quận Thanh Xuân, thành phố Hà Nội, Việt Nam</t>
  </si>
  <si>
    <t>V10599C</t>
  </si>
  <si>
    <t>126704259</t>
  </si>
  <si>
    <t>Ngân hàng ACB- Chi nhánh Thị Nghè</t>
  </si>
  <si>
    <t>0311448482</t>
  </si>
  <si>
    <t>Số 4, Nguyễn Thị Minh Khai, Phường Đa Đao, Quận 1, TP Hồ Chí Minh</t>
  </si>
  <si>
    <t>V10468C</t>
  </si>
  <si>
    <t>001.1.00.0028058</t>
  </si>
  <si>
    <t>Sở giao dịch NHTMCP Ngoại thương Việt Nam</t>
  </si>
  <si>
    <t>0100112571</t>
  </si>
  <si>
    <t>Tầng 9, tòa nhà Hà Nội TungShing Square, số 2 Ngô Quyền, quận Hoàn Kiếm, Hà Nội</t>
  </si>
  <si>
    <t>H15-795-000308</t>
  </si>
  <si>
    <t>Mizuho Bank, Ltd. - Hanoi Branch</t>
  </si>
  <si>
    <t>Tầng 11, tòa nhà TungShing Square, số 2 Ngô Quyền, quận Hoàn Kiếm, Hà Nội</t>
  </si>
  <si>
    <t>CG440026C0</t>
  </si>
  <si>
    <t>Công đoàn Công ty TNHH sản xuất lốp xe Bridgestone Việt Nam</t>
  </si>
  <si>
    <t>CN3.6-CN4.1,KCN Đ.Vũ,Đ.Hải 2,Hải An, Hải Phòng</t>
  </si>
  <si>
    <t>CG480001C0</t>
  </si>
  <si>
    <t>0031000205905</t>
  </si>
  <si>
    <t>Ngân hàng Vietcombank Hải Phòng</t>
  </si>
  <si>
    <t>T3006C0</t>
  </si>
  <si>
    <t>003 100 020 5905</t>
  </si>
  <si>
    <t>Vietcombank CN Hải Phòng</t>
  </si>
  <si>
    <t>V4050C0</t>
  </si>
  <si>
    <t>1100259829</t>
  </si>
  <si>
    <t>The bank of Tokyo- Mitsubishi UFJ, Ltd (Bangkok Branch)</t>
  </si>
  <si>
    <t>0-2237-4689, 0-2267-9927</t>
  </si>
  <si>
    <t>410/120-121, The Executive House Bldg., 11Fl., Surawongse Road., Siphraya Bangrak, Bangkok 10500</t>
  </si>
  <si>
    <t>V20067C</t>
  </si>
  <si>
    <t>V20067B</t>
  </si>
  <si>
    <t>V20067A</t>
  </si>
  <si>
    <t>28735229</t>
  </si>
  <si>
    <t>ACB -  Chi nhánh Hải Phòng</t>
  </si>
  <si>
    <t>0313538962</t>
  </si>
  <si>
    <t>CN Công ty TNHH TM và ĐT khí công nghiệp Sao Mai tại Hải Phòng</t>
  </si>
  <si>
    <t>0101148235-001</t>
  </si>
  <si>
    <t>LS-000148</t>
  </si>
  <si>
    <t>0011.00.4284.058</t>
  </si>
  <si>
    <t>0313166148002</t>
  </si>
  <si>
    <t>Ô số 22, khu B1, khu đấu giá QSDĐ, P Mỹ Đình 2, Q. Nam Từ Liêm, Tp Hà Nội</t>
  </si>
  <si>
    <t>V10327C</t>
  </si>
  <si>
    <t>0031000388999</t>
  </si>
  <si>
    <t>Chi nhánh công ty TNHH Một thành viên Điện lực Hải Phòng- Xí nghiệp dịch vụ điện lực</t>
  </si>
  <si>
    <t>0200340211-004</t>
  </si>
  <si>
    <t>Khu liên cơ An Lạc, Đường 5 mới, Phường Hùng Vương, Quận Hồng Bàng, TP Hải Phòng, Việt Nam</t>
  </si>
  <si>
    <t>V10515C</t>
  </si>
  <si>
    <t>0031000250368</t>
  </si>
  <si>
    <t>Vietcombank, CN Hải Phòng</t>
  </si>
  <si>
    <t>Chi nhánh Công ty TNHH MTV Điện lực Hải Phòng - Điện lực Hải An</t>
  </si>
  <si>
    <t>0200340211-030</t>
  </si>
  <si>
    <t>Số 7 Nguyễn Văn Hới, quận Hải An, thành phố Hải Phòng</t>
  </si>
  <si>
    <t>V10185C</t>
  </si>
  <si>
    <t>V10185B</t>
  </si>
  <si>
    <t>V10185A</t>
  </si>
  <si>
    <t>H15-795-007782</t>
  </si>
  <si>
    <t>08. 38 122 922</t>
  </si>
  <si>
    <t>0302065148</t>
  </si>
  <si>
    <t>Tháp Hòa Bình, 106 Hoàng Quốc việt, Phường Nghĩa Tân, Quận Cầu Giấy, Hà Nội</t>
  </si>
  <si>
    <t>V10179C</t>
  </si>
  <si>
    <t>V4057B0</t>
  </si>
  <si>
    <t>V4057A0</t>
  </si>
  <si>
    <t>V4057C0</t>
  </si>
  <si>
    <t>V10179B</t>
  </si>
  <si>
    <t>V10179A</t>
  </si>
  <si>
    <t>001.1.00.225002.7</t>
  </si>
  <si>
    <t>SGD Vietcombank</t>
  </si>
  <si>
    <t>84-4.39726250</t>
  </si>
  <si>
    <t>CN Công ty CP DV Vận chuyển QT và TM Vinh Vân Minh Vân</t>
  </si>
  <si>
    <t>0305024358-001</t>
  </si>
  <si>
    <t>Tầng 11,Tòa nhà VP C’Land,Số 156 Xã Đàn 2,P.Nam Đồng,Q.Đống Đa,Hà Nội</t>
  </si>
  <si>
    <t>CG440035C0</t>
  </si>
  <si>
    <t>0304836029-001</t>
  </si>
  <si>
    <t>Tầng 7 tòa nhà V-building, 125-127 Bà Triệu, P. Nguyễn Du, Q. Hai Bà Trưng, Hà Nội</t>
  </si>
  <si>
    <t>1112 1161 1970 10</t>
  </si>
  <si>
    <t>0305141894-001</t>
  </si>
  <si>
    <t>Tầng 10, Tòa Nhà Việt Hải, Lô C2 H Cụm SX TTCN và CNN Cầu Giấy, Duy Tân, Dịch Vọng Hậu, Cầu Giấy, Hà Nội</t>
  </si>
  <si>
    <t>V10147C</t>
  </si>
  <si>
    <t>V10147B</t>
  </si>
  <si>
    <t>V10147A</t>
  </si>
  <si>
    <t>CITIBANK, N.A.</t>
  </si>
  <si>
    <t>001507</t>
  </si>
  <si>
    <t>001506</t>
  </si>
  <si>
    <t>001505</t>
  </si>
  <si>
    <t>001504</t>
  </si>
  <si>
    <t>001503</t>
  </si>
  <si>
    <t>Citibank Berhad</t>
  </si>
  <si>
    <t>001502</t>
  </si>
  <si>
    <t>Citibank (China) Co., Ltd</t>
  </si>
  <si>
    <t>001508</t>
  </si>
  <si>
    <t>Citibank</t>
  </si>
  <si>
    <t>001501</t>
  </si>
  <si>
    <t>ZHONG SHAN NORTH ROAD,8TH FL., NO. 113, SEC. 2, TAIPEI 104</t>
  </si>
  <si>
    <t>V20161A</t>
  </si>
  <si>
    <t>China National tyre Quality Supervision and Inspection Center</t>
  </si>
  <si>
    <t>19A, Fushi Road, Haidian District, Bejing 100143</t>
  </si>
  <si>
    <t>V4098C0</t>
  </si>
  <si>
    <t>02753692107608</t>
  </si>
  <si>
    <t>Bank of Communications - Hong Kong Branch</t>
  </si>
  <si>
    <t>Shun Tak Centre, 29F,East Tower, No.168-200 Connaught Road Central, 168200</t>
  </si>
  <si>
    <t>V20136C</t>
  </si>
  <si>
    <t>China Guangfa Bank Co., Ltd</t>
  </si>
  <si>
    <t>001401</t>
  </si>
  <si>
    <t>CHINA CITIC BANK</t>
  </si>
  <si>
    <t>001301</t>
  </si>
  <si>
    <t>1881227033</t>
  </si>
  <si>
    <t>Citibank(China) Co., Ltd- Shanghai Branch</t>
  </si>
  <si>
    <t>+86/510/640 25 23</t>
  </si>
  <si>
    <t>No.151, Chengjiang Middle Road 214434 Jiangyin, Jiangsu Province, China</t>
  </si>
  <si>
    <t>V20075A</t>
  </si>
  <si>
    <t>Citibank (China) Co.,Ltd-Shanghai branch</t>
  </si>
  <si>
    <t>V20075C</t>
  </si>
  <si>
    <t>V20075B</t>
  </si>
  <si>
    <t>CG450013C0</t>
  </si>
  <si>
    <t>0031000000807</t>
  </si>
  <si>
    <t>Số 10, Đinh Tiên Hoàng, P.Minh Khai, Q. Hồng Bàng, TP Hải Phòng</t>
  </si>
  <si>
    <t>245054</t>
  </si>
  <si>
    <t>04-3266-8138</t>
  </si>
  <si>
    <t>Ô 10.04 tòa nhà Cornerstone, 16 Phan Chu Trinh, Phường Phan Chu Trinh, Quận Hoàn Kiếm, Thành phố Hà Nội</t>
  </si>
  <si>
    <t>V10354C</t>
  </si>
  <si>
    <t>19033043898023</t>
  </si>
  <si>
    <t>Ngân hàng TMCP Kỹ thương Việt Nam</t>
  </si>
  <si>
    <t>4200456848-012</t>
  </si>
  <si>
    <t>Đảo Vũ Yên, Đường Nguyễn Bỉnh Khiêm,Phường Đông Hải 2,Quận Hải An, Thành phố Hải Phòng, Việt Nam</t>
  </si>
  <si>
    <t>V10714C</t>
  </si>
  <si>
    <t>37578888</t>
  </si>
  <si>
    <t>Ngân hàng TMCP Á Châu Hải Phòng</t>
  </si>
  <si>
    <t>02253832900</t>
  </si>
  <si>
    <t>Chi nhánh Hải Phòng - Công ty Cổ phần Daikin Air Conditioning ( VietNam)</t>
  </si>
  <si>
    <t>0301450108-004</t>
  </si>
  <si>
    <t>Số 7 lô 8A đường Lê Hồng Phong, Phường Đông Khê, Quận Ngô Quyền, Thành phố Hải Phòng</t>
  </si>
  <si>
    <t>V10456C</t>
  </si>
  <si>
    <t>H15-795 002 693</t>
  </si>
  <si>
    <t>MIZUHO BANK, LTD-Chi nhánh Hà Nội</t>
  </si>
  <si>
    <t>Chi nhánh giao dịch công ty TNHH Kintetsu World Express Việt Nam</t>
  </si>
  <si>
    <t>Tầng 8- tòa nhà TTC- số 19 phố Duy Tân, Phường Dịch Vọng Hậu, Quận Cầu Giấy, Thành phố Hà Nội, Việt Nam</t>
  </si>
  <si>
    <t>V4126A0</t>
  </si>
  <si>
    <t>V4126B0</t>
  </si>
  <si>
    <t>V4126C0</t>
  </si>
  <si>
    <t>V10672C</t>
  </si>
  <si>
    <t>V10672B</t>
  </si>
  <si>
    <t>V10672A</t>
  </si>
  <si>
    <t>10060701</t>
  </si>
  <si>
    <t>Ngân Hàng Sumitomo Mitsui Banking Corporation - CN Hà Nội</t>
  </si>
  <si>
    <t>84-4-32222213</t>
  </si>
  <si>
    <t>Số 188 đường Trường Chinh, Tầng 9, Tòa nhà 188 Trường Chinh, P. Khương Thượng, Q. Đống Đa,TP Hà Nội</t>
  </si>
  <si>
    <t>V10329C</t>
  </si>
  <si>
    <t>0181008288888</t>
  </si>
  <si>
    <t>Ngân hàng TMCP Ngoại thương Việt Nam (VCB)-Chi nhánh Nam Sài Gòn</t>
  </si>
  <si>
    <t>Chi nhánh công ty TNHH tư vấn thuế Deloitte Việt Nam</t>
  </si>
  <si>
    <t>Tầng 18, Tòa nhà Times Square, Số 57-69F Đồng Khởi, Phường Bến Nghé, Quận 1, TP Hồ Chí Minh, Việt Nam</t>
  </si>
  <si>
    <t>V10592C</t>
  </si>
  <si>
    <t>700005672311</t>
  </si>
  <si>
    <t>Shinhan bank-chi nhánh Phạm Hùng</t>
  </si>
  <si>
    <t>Tầng 4 tòa nhà D'office, phố Thành Thái, tổ 28, phường Dịch Vọng, quận Cầu Giấy, TP Hà Nội, Việt Nam</t>
  </si>
  <si>
    <t>V10622C</t>
  </si>
  <si>
    <t>200014851040424</t>
  </si>
  <si>
    <t>Ngân hàng Eximbank - Chi nhánh TP Hồ Chí Minh</t>
  </si>
  <si>
    <t>04 3557 8899 - 8876</t>
  </si>
  <si>
    <t>0301446415-007</t>
  </si>
  <si>
    <t>35 C Nguyễn Huy Tưởng, Thanh Xuân, Hà Nội</t>
  </si>
  <si>
    <t>V10123C</t>
  </si>
  <si>
    <t>V10123B</t>
  </si>
  <si>
    <t>V10123A</t>
  </si>
  <si>
    <t>H15 795 008754</t>
  </si>
  <si>
    <t>Mizuho Bank, Ltd., - Hanoi Branch</t>
  </si>
  <si>
    <t>Chi nhánh Công ty TNHH Thông tin NTT (Việt Nam)</t>
  </si>
  <si>
    <t>0302534921-001</t>
  </si>
  <si>
    <t>Phòng 201, Tầng 2,tòa nhà HITC,số 239 Xuân Thủy,P.Dịch Vọng Hậu,Q.Cầu giấy,Hà Nội</t>
  </si>
  <si>
    <t>V10008C</t>
  </si>
  <si>
    <t>V10008B</t>
  </si>
  <si>
    <t>V10008A</t>
  </si>
  <si>
    <t>19128223101019</t>
  </si>
  <si>
    <t>Techcombank - CN HCM</t>
  </si>
  <si>
    <t>0309300048-012</t>
  </si>
  <si>
    <t>Tầng 2, tòa nhà Thùy Dương, khu đô thị Ngã Năm - sân bay Cát Bi, Q.Ngô Quyền, Tp.Hải Phòng</t>
  </si>
  <si>
    <t>V10205C</t>
  </si>
  <si>
    <t>V10205B</t>
  </si>
  <si>
    <t>V10205A</t>
  </si>
  <si>
    <t>174772939</t>
  </si>
  <si>
    <t>Ngân hàng TMCP Á Châu - chi nhánh Hà Nội</t>
  </si>
  <si>
    <t>(04) 39275390/91</t>
  </si>
  <si>
    <t>0303135503-001</t>
  </si>
  <si>
    <t>Tầng 8, tòa nhà Nikko, 27 Nguyễn Trường Tộ, Quận Ba Đình, Tp.Hà Nội</t>
  </si>
  <si>
    <t>V10228C</t>
  </si>
  <si>
    <t>TMCP Á Châu - chi nhánh Hà Nội</t>
  </si>
  <si>
    <t>V10228B</t>
  </si>
  <si>
    <t>V10228A</t>
  </si>
  <si>
    <t>H15-795-015971</t>
  </si>
  <si>
    <t>MIZUHO CORPORATE BANK., LTD / Hà Nội</t>
  </si>
  <si>
    <t>02253632403</t>
  </si>
  <si>
    <t>Nhà xưởng X5, Khu nhà xưởng cho thuê Hải Thành, quận Dương Kinh, thành phố Hải Phòng, VN</t>
  </si>
  <si>
    <t>V10389C</t>
  </si>
  <si>
    <t>111002672179</t>
  </si>
  <si>
    <t>Ngân hàng TMCP Công Thương Việt Nam-Chi nhánh KCN  Tiên Sơn</t>
  </si>
  <si>
    <t>Chi nhánh công ty TNHH SMC Corporation (Việt Nam) tại Bắc Ninh</t>
  </si>
  <si>
    <t>số 89, đường Hữu Nghị, khu công nghiệp, đô thị và dịch vụ VSIP Bắc Ninh, Phù Chẩn, thành phố Từ Sơn, tỉnh Bắc Ninh, Việt Nam</t>
  </si>
  <si>
    <t>V10550C</t>
  </si>
  <si>
    <t>V10550B</t>
  </si>
  <si>
    <t>002-243616-001</t>
  </si>
  <si>
    <t>Lô A2 CN8, Cụm CN Từ Liêm, Tầng 4 đến Tầng 7, Tòa nhà á Long,  Phường Phương Canh, Quận Nam Từ Liêm, Hà Nội</t>
  </si>
  <si>
    <t>V10454B</t>
  </si>
  <si>
    <t>002243616001</t>
  </si>
  <si>
    <t>Ngân hàng HSBC Việt Nam-CN Hà Nội</t>
  </si>
  <si>
    <t>024 3763 3111</t>
  </si>
  <si>
    <t>0310646185-001</t>
  </si>
  <si>
    <t>Tầng 7, Tòa nhà á Long, Lô A2 CN8, Cụm CN Từ Liêm, Phường Phương Canh, Quận Nam Từ Liêm, TP Hà Nội, Việt Nam</t>
  </si>
  <si>
    <t>V10454C</t>
  </si>
  <si>
    <t>11004284058</t>
  </si>
  <si>
    <t>Vietcombank / Sở Giao Dịch, Hà Nội</t>
  </si>
  <si>
    <t>0313 628 868</t>
  </si>
  <si>
    <t>Ô số 22, KHU B1, Khu đấu giá quyền sử dụng đất (ven đường Lê Đức Thọ) Phường Mỹ Đình 2, Quận Nam Từ Liêm, thành phố Hà Nội</t>
  </si>
  <si>
    <t>V10326C</t>
  </si>
  <si>
    <t>0011004291073</t>
  </si>
  <si>
    <t>Ngân hàng TMCP Ngoại thương Việt Nam - Sở giao dịch</t>
  </si>
  <si>
    <t>P.904, tầng 9, tòa nhà Pacific Place, số 83B Lý Thường Kiệt, phường Trần Hưng Đạo, quận Hoàn Kiếm, thành phố Hà Nội, Việt Nam</t>
  </si>
  <si>
    <t>V10400C</t>
  </si>
  <si>
    <t>049 100 167 5664</t>
  </si>
  <si>
    <t>Vietcombank - Chi nhánh Thăng Long Hà Nội</t>
  </si>
  <si>
    <t>02432242944</t>
  </si>
  <si>
    <t>Tầng 2, tòa nhà IDMC Duy Tân, số 21 Duy Tân, phường Dịch Vọng Hậu, quận Cầu Giấy, Hà Nội, Việt Nam</t>
  </si>
  <si>
    <t>V10416C</t>
  </si>
  <si>
    <t>V4104C0</t>
  </si>
  <si>
    <t>V10416B</t>
  </si>
  <si>
    <t>V4104A0</t>
  </si>
  <si>
    <t>V10416A</t>
  </si>
  <si>
    <t>0301000126789</t>
  </si>
  <si>
    <t>Vietcombank - CN Hoàn Kiếm</t>
  </si>
  <si>
    <t>04.3976 5960</t>
  </si>
  <si>
    <t>0311420568-001</t>
  </si>
  <si>
    <t>Tầng 3, Tòa nhà Grand 30-32 Hòa Mã, P.Phạm Đình Hổ, Q.Hai Bà Trưng, TP.Hà nội</t>
  </si>
  <si>
    <t>V10217C</t>
  </si>
  <si>
    <t>V10217B</t>
  </si>
  <si>
    <t>V10217A</t>
  </si>
  <si>
    <t>V4001C0</t>
  </si>
  <si>
    <t>0751018528032</t>
  </si>
  <si>
    <t>An Binh Commercial Joint Stock Bank / Hải Phòng, Hải Phòng</t>
  </si>
  <si>
    <t>0313529612</t>
  </si>
  <si>
    <t>Khu An Lạc, Phường Hùng Vương, Quận Hồng Bàng, Thành Phố Hải Phòng</t>
  </si>
  <si>
    <t>V10359C</t>
  </si>
  <si>
    <t>0031000155131</t>
  </si>
  <si>
    <t>Chi nhánh công ty TNHH một thành viên dịch vụ lữ hành Saigontourist tại Hải Phòng</t>
  </si>
  <si>
    <t>0310891532-009</t>
  </si>
  <si>
    <t>Số 34, Minh Khai. Phường Hoàng Văn Thụ, Quận Hồng Bàng, Hải Phòng</t>
  </si>
  <si>
    <t>V10373C</t>
  </si>
  <si>
    <t>0011004402773</t>
  </si>
  <si>
    <t>Ngân hàng thương mại cổ phần Ngoại thương Việt Nam - CN Sở giao dịch</t>
  </si>
  <si>
    <t>CN CT TNHH KONICA MINOLTA BUSINESS SOLUTIONS VIỆT NAM tại TP Hà Nội</t>
  </si>
  <si>
    <t>Số 5 Nguyễn Ngọc Vũ, phường Trung Hòa, quận Cầu Giấy, thành phố Hà Nội, Việt Nam</t>
  </si>
  <si>
    <t>CG440051C0</t>
  </si>
  <si>
    <t>Chi nhánh Công ty TNHH KONICA MINOLTA BUSINESS SOLUTIONS VIỆT NAM tại TP Hà Nội</t>
  </si>
  <si>
    <t>CN Công ty TNHH Konica Minolta Business Solutions Việt Nam tại Thành phố Hà Nội</t>
  </si>
  <si>
    <t>V10582C</t>
  </si>
  <si>
    <t>V10582B</t>
  </si>
  <si>
    <t>001 100 256 7990</t>
  </si>
  <si>
    <t>Chi nhánh Công ty TNHH JTB-TNT</t>
  </si>
  <si>
    <t>Số 1, Đường Thanh Niên, P.Trúc Bạch, Q.Ba Đình, TP Hà Nội</t>
  </si>
  <si>
    <t>V4078C0</t>
  </si>
  <si>
    <t>0011002567990</t>
  </si>
  <si>
    <t>Chi nhánh Công ty TNHH JBT-TNT</t>
  </si>
  <si>
    <t>0305612046001</t>
  </si>
  <si>
    <t>Số 1, Đường Thanh Niên, Phường Trúc Bạch, Ba Đình, Hà Nội</t>
  </si>
  <si>
    <t>191777603</t>
  </si>
  <si>
    <t>Ngân hàng TMCP Việt Nam Thịnh Vượng - CN Hội Sở</t>
  </si>
  <si>
    <t>Số 9, Đào Duy Anh, Phường Phương Liên, Quận Đống Đa, TP Hà Nội, VN</t>
  </si>
  <si>
    <t>V10605C</t>
  </si>
  <si>
    <t>0031000222617</t>
  </si>
  <si>
    <t>Ngân hàng Vietcombank-Hải Phòng</t>
  </si>
  <si>
    <t>0101001715-005</t>
  </si>
  <si>
    <t>Số 1027 đường Nguyễn Văn Linh, xã An Đồng, huyện An Dương, Tp Hải Phòng</t>
  </si>
  <si>
    <t>V10089C</t>
  </si>
  <si>
    <t>V10089B</t>
  </si>
  <si>
    <t>V10089A</t>
  </si>
  <si>
    <t>1012178051</t>
  </si>
  <si>
    <t>Deutsche Bank AG,CN Hồ Chí Minh</t>
  </si>
  <si>
    <t>0862583690\0862583692</t>
  </si>
  <si>
    <t>Tầng 10- Tòa nhà 194 Golden Building, số 473 đường Điện Biên Phủ, phường 25, Quận Bình Thạnh, TP. HCM</t>
  </si>
  <si>
    <t>V10352C</t>
  </si>
  <si>
    <t>001-024363-001 (VND)</t>
  </si>
  <si>
    <t>Chi nhánh Công ty Cổ phần tư vấn EY Việt Nam tại Thành phố Hồ Chí Minh</t>
  </si>
  <si>
    <t>Số 2, Đường Hải Triều, Phường Bến Nghé, Quận 1, Thành phố Hồ Chí Minh</t>
  </si>
  <si>
    <t>V10606C</t>
  </si>
  <si>
    <t>100000785541</t>
  </si>
  <si>
    <t>Ngân hàng TMCP Quốc dân - CN Hải Phòng</t>
  </si>
  <si>
    <t>0100778001-003</t>
  </si>
  <si>
    <t>Số 55, Phố Lạch Tray, Phường Lạch Tray, Quận Ngô Quyền, TP Hải Phòng</t>
  </si>
  <si>
    <t>V10507C</t>
  </si>
  <si>
    <t>0341007037106</t>
  </si>
  <si>
    <t>Vietcombank - CN Hải Dương</t>
  </si>
  <si>
    <t>Chi nhánh Công ty Cổ phần Thương mại và dịch vụ Ngọc Hà tại Hải Phòng</t>
  </si>
  <si>
    <t>0101394777-006</t>
  </si>
  <si>
    <t>Km 87+600, Thông Cách Thượng, xã Nam Sơn, huyện An Dương, thành phố Hải Phòng, Việt Nam</t>
  </si>
  <si>
    <t>V10232C</t>
  </si>
  <si>
    <t>V10232B</t>
  </si>
  <si>
    <t>V10232A</t>
  </si>
  <si>
    <t>112000171668</t>
  </si>
  <si>
    <t>Ngân hàng TMCP Công Thương Việt Nam, chi nhánh Hà Tây, hội sở</t>
  </si>
  <si>
    <t>2300723268-001</t>
  </si>
  <si>
    <t>Số nhà 105 Nguyễn Viết Xuân, phường Quang Trung, quận Hà Đông, TP Hà Nội</t>
  </si>
  <si>
    <t>V10469C</t>
  </si>
  <si>
    <t>061.100.1910350</t>
  </si>
  <si>
    <t>Tầng 17, tòa nhà VIT Tower, 519 Kim Mã, P.Ngọc Khánh, Q.Ba Đình, Hà Nội</t>
  </si>
  <si>
    <t>V10409C</t>
  </si>
  <si>
    <t>Số 33 Kỳ Đồng, Phường Quang Trung Quận Hồng Bàng thành phố Hải Phòng, Việt Nam</t>
  </si>
  <si>
    <t>V10289C</t>
  </si>
  <si>
    <t>Kho bạc nhà nước quận Ngô Quyền Hải Phòng</t>
  </si>
  <si>
    <t>Chi cục Kiểm tra sau thông quan - Cục Hải quan thành phố Hải Phòng</t>
  </si>
  <si>
    <t>159 Đường Lê Hồng Phong, Hải An, Hải Phòng</t>
  </si>
  <si>
    <t>Chi cục hải quan quản lý hàng ĐT GC</t>
  </si>
  <si>
    <t>T3005C2</t>
  </si>
  <si>
    <t>Chi cục Hải quan Khu chế xuất và Khu công nghiệp Hải Phòng</t>
  </si>
  <si>
    <t>T3005C0</t>
  </si>
  <si>
    <t>Wuxi</t>
  </si>
  <si>
    <t>030813</t>
  </si>
  <si>
    <t>MUFG Bank (China), Ltd.,-Wuxi Branch</t>
  </si>
  <si>
    <t>Xinye Road 41#,Changzhou,213000 Jiangsu, China</t>
  </si>
  <si>
    <t>7981638836</t>
  </si>
  <si>
    <t>United Overseas Bank (Thai) Public Company Limited</t>
  </si>
  <si>
    <t>109/58 Soi Lardprao 18 Lardprao Road Jompol Chatuchak Bangkok 10900 Thailand</t>
  </si>
  <si>
    <t>V20070C</t>
  </si>
  <si>
    <t>V20070B</t>
  </si>
  <si>
    <t>V20070A</t>
  </si>
  <si>
    <t>CASUAL LABOURS</t>
  </si>
  <si>
    <t>V3100C0</t>
  </si>
  <si>
    <t>CG410001C0</t>
  </si>
  <si>
    <t>Neubeuern</t>
  </si>
  <si>
    <t>DE38711400410610204000</t>
  </si>
  <si>
    <t>Commerzbank AG-Rosenheim</t>
  </si>
  <si>
    <t>Georg-Wiesboeck-Ring 12-14, 83115 Neubeuern, Germany</t>
  </si>
  <si>
    <t>V20153C</t>
  </si>
  <si>
    <t>CALT Logis Co.,Ltd. - BUD</t>
  </si>
  <si>
    <t>82BUSAN</t>
  </si>
  <si>
    <t>P0000109</t>
  </si>
  <si>
    <t>Busanbank</t>
  </si>
  <si>
    <t>001101</t>
  </si>
  <si>
    <t>041-0-14512-2</t>
  </si>
  <si>
    <t>Krungthai Bank Public Company Limited-</t>
  </si>
  <si>
    <t>16th Floor, Bangkok Tower, 2170 New Petchburi Rd, Bangkapi, Huaykwang, Bangkok 10310, Thailand</t>
  </si>
  <si>
    <t>V20206C</t>
  </si>
  <si>
    <t>4348237</t>
  </si>
  <si>
    <t>Ngân hàng thương mại cổ phần Á Châu - Chi nhánh Hải Phòng</t>
  </si>
  <si>
    <t>Bùi Thị Thúy Hồng</t>
  </si>
  <si>
    <t>Số 08 Lô 07</t>
  </si>
  <si>
    <t>V4125C0</t>
  </si>
  <si>
    <t>CG440041C0</t>
  </si>
  <si>
    <t>V4094C0</t>
  </si>
  <si>
    <t>1020949577</t>
  </si>
  <si>
    <t>NH TMCP Đầu tư và phát triển Việt Nam, chi nhánh Quang Trung</t>
  </si>
  <si>
    <t>Bùi Đình Đắc</t>
  </si>
  <si>
    <t>Xã Cổ Am, huyện Vĩnh Bảo, thành phố Hải PHòng</t>
  </si>
  <si>
    <t>V4092C0</t>
  </si>
  <si>
    <t>038-92-0385-8</t>
  </si>
  <si>
    <t>Kasikornbank Public Co.,Ltd - Sathorn Branch</t>
  </si>
  <si>
    <t>V20086C</t>
  </si>
  <si>
    <t>V20086B</t>
  </si>
  <si>
    <t>V20086A</t>
  </si>
  <si>
    <t>038-2-79954-2</t>
  </si>
  <si>
    <t>Kasikornbank Public Co.,Ltd-Thanon Sathorn Branch</t>
  </si>
  <si>
    <t>+66(0)26795120</t>
  </si>
  <si>
    <t>Switch code:KASITHBK</t>
  </si>
  <si>
    <t>22nd FL.,Sathorn City Tower, 175 South Sathorn RD., Tungmahamek. Bangkok 10120, Thailand</t>
  </si>
  <si>
    <t>V20026C</t>
  </si>
  <si>
    <t>V20026B</t>
  </si>
  <si>
    <t>S.code:KASITHBK</t>
  </si>
  <si>
    <t>V20026A</t>
  </si>
  <si>
    <t>Mizuho Bank.,Ltd</t>
  </si>
  <si>
    <t>+86-0510-8532-2199</t>
  </si>
  <si>
    <t>No.119A,Wuxi National High &amp; New Tech Industrial Development zone,Wuxi,Jiangsu,China</t>
  </si>
  <si>
    <t>353400A</t>
  </si>
  <si>
    <t>366742</t>
  </si>
  <si>
    <t>The Bank of Tokyo-Mitsubishi UFJ, Ltd - Singapore branch</t>
  </si>
  <si>
    <t>Bridgestone Treasury Singapore Pte. Ltd.</t>
  </si>
  <si>
    <t>16 Raffles Quay #32-02, Hong Leong Building, Singapore 048581</t>
  </si>
  <si>
    <t>V4066C0</t>
  </si>
  <si>
    <t>180-005-349590</t>
  </si>
  <si>
    <t>SHINHAN BANK - Gwanggyo Middle Market Banking Center</t>
  </si>
  <si>
    <t>12th Floor, GS Tower, 508, Nonthyeon-ro, Gangnam-gu, Seoul, 06141, Korea</t>
  </si>
  <si>
    <t>352000C</t>
  </si>
  <si>
    <t>2100818534</t>
  </si>
  <si>
    <t>The Bank of Tokyo-Mitsubishi UFJ, Ltd - Bangkok Branch</t>
  </si>
  <si>
    <t>66-3821-0300</t>
  </si>
  <si>
    <t>700/622 Moo 4 Tambon Bankao Amphur Panthong, Chonburi 20160</t>
  </si>
  <si>
    <t>351700A</t>
  </si>
  <si>
    <t>700/622 Moo 4 Tambon Bankao Amphur Panthong Chonburi 20160</t>
  </si>
  <si>
    <t>CG450006C0</t>
  </si>
  <si>
    <t>351700C</t>
  </si>
  <si>
    <t>351700B</t>
  </si>
  <si>
    <t>Kornye, Kohid ut 1</t>
  </si>
  <si>
    <t>LU440670006550209490</t>
  </si>
  <si>
    <t>J.P.Morgan SE-Luxembourg Branch</t>
  </si>
  <si>
    <t>Bridgestone Tatabanya USD</t>
  </si>
  <si>
    <t>Környe, Kőhíd út 1,  2851 Hungary</t>
  </si>
  <si>
    <t>V20217C</t>
  </si>
  <si>
    <t>Hsin-Chu</t>
  </si>
  <si>
    <t>No 1, Chuang Ching Road, Hsin-Chu Ind Zone, Hsin-Chu</t>
  </si>
  <si>
    <t>CG450010C0</t>
  </si>
  <si>
    <t>001-001-0150285-3</t>
  </si>
  <si>
    <t>Mizuho Corporate Bank, Ltd, Taipei Branch</t>
  </si>
  <si>
    <t>No 1, Chuang Ching Road, Hsin-Chu Ind Zone, Hsin-Chu, Taiwan</t>
  </si>
  <si>
    <t>350300C</t>
  </si>
  <si>
    <t>350300B</t>
  </si>
  <si>
    <t>350300A</t>
  </si>
  <si>
    <t>24302</t>
  </si>
  <si>
    <t>Mizuho Bank,Ltd. Otemachi Corporate Banking Division-Tokyo,Japan</t>
  </si>
  <si>
    <t>World Trade Center Building 2-1-1 Hamamatsu-cho, Minato-ku, Tokyo 105-6127, Japan</t>
  </si>
  <si>
    <t>310300A</t>
  </si>
  <si>
    <t>310300B</t>
  </si>
  <si>
    <t>310300C</t>
  </si>
  <si>
    <t>0351282580</t>
  </si>
  <si>
    <t>Mizuho bank,ltd - Ginza branch</t>
  </si>
  <si>
    <t>Bridgestone Software Co.,Ltd</t>
  </si>
  <si>
    <t>Bridgestone Ogawaekimae Building 2F.1-22-12,Ogawa higashi-cho, Kodaira-shi,Tokyo 187-0031 Japan</t>
  </si>
  <si>
    <t>101000C</t>
  </si>
  <si>
    <t>033054</t>
  </si>
  <si>
    <t>The Bank of Tokyo - Mitsubishi UFJ, Ltd. Singapore</t>
  </si>
  <si>
    <t>16 Raffles Quay #32-01 Hong Leong Building Singapore 048581</t>
  </si>
  <si>
    <t>101463B</t>
  </si>
  <si>
    <t>101463A</t>
  </si>
  <si>
    <t>CG460010C0</t>
  </si>
  <si>
    <t>101463C</t>
  </si>
  <si>
    <t>BRIDGESTONE SINGAPORE</t>
  </si>
  <si>
    <t>65SINGAPORE</t>
  </si>
  <si>
    <t>P0000114</t>
  </si>
  <si>
    <t>BS_INTER_C</t>
  </si>
  <si>
    <t>Bridgestone Poznan sp. Z o.o.</t>
  </si>
  <si>
    <t>ulica Baltycka 65, 61-017 Poznan, Poland</t>
  </si>
  <si>
    <t>CG460012C0</t>
  </si>
  <si>
    <t>558-0100122</t>
  </si>
  <si>
    <t>Mizuho bank, Ltd.,- Tokorozawa Branch</t>
  </si>
  <si>
    <t>1913, Nagayatsu, Yoshimi-machi Hiki-gun Saitama-prefecture -355-0156 Japan</t>
  </si>
  <si>
    <t>520200C</t>
  </si>
  <si>
    <t>520200B</t>
  </si>
  <si>
    <t>520200A</t>
  </si>
  <si>
    <t>CG460005C0</t>
  </si>
  <si>
    <t>Mizuho Bank, Ltd-Bangkok</t>
  </si>
  <si>
    <t>520220C</t>
  </si>
  <si>
    <t>BRIDGESTONE NEW ZEALAND LTD.</t>
  </si>
  <si>
    <t>302AUCKLAND</t>
  </si>
  <si>
    <t>P0000112</t>
  </si>
  <si>
    <t>BRIDGESTONE LOGISTICS EUROPE NV</t>
  </si>
  <si>
    <t>10, 1932 SINT STEVENS WOLUWE   563 BOR,CZECH</t>
  </si>
  <si>
    <t>P0000119</t>
  </si>
  <si>
    <t>10, 1932 SINT STEVENS WO   563 ALGECIRAS SPAIN</t>
  </si>
  <si>
    <t>P0000118</t>
  </si>
  <si>
    <t>563ZEEBRUGGE</t>
  </si>
  <si>
    <t>P0000110</t>
  </si>
  <si>
    <t>0254449</t>
  </si>
  <si>
    <t>SUMITOMO MITSUI BANKING CORPORATION- TOKYOCHUO BRANCH</t>
  </si>
  <si>
    <t>81-3-5202-6878</t>
  </si>
  <si>
    <t>1-1, Ogawahigashi-cho 3 chome Kodaira-shi, Tokyo 187-8531, Japan</t>
  </si>
  <si>
    <t>971081C</t>
  </si>
  <si>
    <t>971081B</t>
  </si>
  <si>
    <t>971081A</t>
  </si>
  <si>
    <t>BRIDGESTONE LOGISTICS CO., LTD</t>
  </si>
  <si>
    <t>2XXHAKATA</t>
  </si>
  <si>
    <t>P0000108</t>
  </si>
  <si>
    <t>2XXMIZUSHIMA</t>
  </si>
  <si>
    <t>P0000107</t>
  </si>
  <si>
    <t>2XXTOYAMA</t>
  </si>
  <si>
    <t>P0000106</t>
  </si>
  <si>
    <t>2XXYOKKAICHI</t>
  </si>
  <si>
    <t>P0000105</t>
  </si>
  <si>
    <t>2XXSHIMIZU</t>
  </si>
  <si>
    <t>P0000104</t>
  </si>
  <si>
    <t>2XXTOKYO</t>
  </si>
  <si>
    <t>P0000103</t>
  </si>
  <si>
    <t>2XXSENDAI</t>
  </si>
  <si>
    <t>P0000102</t>
  </si>
  <si>
    <t>2XXTOMAKOMAI</t>
  </si>
  <si>
    <t>P0000101</t>
  </si>
  <si>
    <t>Pune</t>
  </si>
  <si>
    <t>0163502019100</t>
  </si>
  <si>
    <t>IDBI Bank Limited-Corporate Banking Group-Trade Finance dept</t>
  </si>
  <si>
    <t>Plot No.A-43, Phase II, MIDC Chakan, Village Sawardari, Taluka_Khed, Dist.-Pune, Maharashtra-410 501, INDIA</t>
  </si>
  <si>
    <t>350700C</t>
  </si>
  <si>
    <t>Chakan, Village Sawardari,  Plot No.A-43, Phase II, MIDC,  Pune, India</t>
  </si>
  <si>
    <t>350700B</t>
  </si>
  <si>
    <t>CG460007C0</t>
  </si>
  <si>
    <t>Bridgestone Hispania Manufacturing S.L.</t>
  </si>
  <si>
    <t>CG460009C0</t>
  </si>
  <si>
    <t>Bridgestone Europe SA</t>
  </si>
  <si>
    <t>Kleine Kloorsterstraat 10 1932 Zaventem Belgium</t>
  </si>
  <si>
    <t>CG460013C0</t>
  </si>
  <si>
    <t>Bridgestone Engineered Products of Asia SDN., BHD</t>
  </si>
  <si>
    <t>L2-E-9, Enterprise 4, Technology Park Malaysia, Lebuhraya Puchong-Sg, Besi, Bukit Jalil, 57000 Kuala Lumpur, Malaysia</t>
  </si>
  <si>
    <t>CG460011C0</t>
  </si>
  <si>
    <t>Kuala Lumpur</t>
  </si>
  <si>
    <t>10004001</t>
  </si>
  <si>
    <t>Sumitomo Mitsui Banking Corporation Malaysia Berhad</t>
  </si>
  <si>
    <t>6-03-89962670</t>
  </si>
  <si>
    <t>L2-E-9, Enterprise 4, Technology Park Malaysia, Lebuhraya Puchong-Sg. Besi, Bukit Jalil, 57000 Kuala Lumpur, Malaysia</t>
  </si>
  <si>
    <t>316800C</t>
  </si>
  <si>
    <t>316800A</t>
  </si>
  <si>
    <t>316800B</t>
  </si>
  <si>
    <t>BRIDGESTONE CORPORATION TECHNICAL CENTER</t>
  </si>
  <si>
    <t>3-1-1, ogawa-higashi-cho</t>
  </si>
  <si>
    <t>CG460006C0</t>
  </si>
  <si>
    <t>0150490</t>
  </si>
  <si>
    <t>The bank of Tokyo-Mitsubishi UFJ, Ltd - Head Office</t>
  </si>
  <si>
    <t>1-1 Kyobashi, 3-Chome, Chuo-ku, Tokyo 104-8340, Japan</t>
  </si>
  <si>
    <t>100000A</t>
  </si>
  <si>
    <t>1-1 Kyobashi, 3-Chome, Chuo-ku, Tokyo 104-8340</t>
  </si>
  <si>
    <t>CG460001C0</t>
  </si>
  <si>
    <t>BRIDGESTONE CORPORATION</t>
  </si>
  <si>
    <t>P0000113</t>
  </si>
  <si>
    <t>Chuo-ku1-1, Kyobashi 3-Chome,Tokyo, Japan 1048340</t>
  </si>
  <si>
    <t>100000B__</t>
  </si>
  <si>
    <t>100000C</t>
  </si>
  <si>
    <t>100000B</t>
  </si>
  <si>
    <t>10019201</t>
  </si>
  <si>
    <t>SUMITOMO MITSUI BANKING CORPORATION MALAYSIA BERHAD-Kuala Lumpur</t>
  </si>
  <si>
    <t>Bridgestone Chemical Products (M) Sdn Bhd</t>
  </si>
  <si>
    <t>No 2 &amp; 4, HICOM Industrial Estate, Jalan Sekinchan, Seksyen 26/9, 40000 Shah Alam, Selangor, Malaysia</t>
  </si>
  <si>
    <t>314400C</t>
  </si>
  <si>
    <t>Rayong</t>
  </si>
  <si>
    <t>21-2006630-2</t>
  </si>
  <si>
    <t>Bridgestone Carbon Black (Thailand) Co., Ltd</t>
  </si>
  <si>
    <t>4/11 Moo 2, T.Nongbua,A.Ban khai,Rayong 21120, Thailand</t>
  </si>
  <si>
    <t>105900A</t>
  </si>
  <si>
    <t>66Pathum Thani</t>
  </si>
  <si>
    <t>P0000115</t>
  </si>
  <si>
    <t>113 Moo 18, Klong Nueng, Klong Luang, Pathumthani 12120, Thailand</t>
  </si>
  <si>
    <t>355002A</t>
  </si>
  <si>
    <t>355002C</t>
  </si>
  <si>
    <t>No. 113, Moo 18, Klong Nueng, Klong Luang, Pathumthani Province, Thailand</t>
  </si>
  <si>
    <t>CG460004C0</t>
  </si>
  <si>
    <t>210-0-83502-1</t>
  </si>
  <si>
    <t>Bank of Ayudhya Public Company Limited - Bangkok Sathorn branch</t>
  </si>
  <si>
    <t>+66 02-016-1200</t>
  </si>
  <si>
    <t>Bridgestone Asia Pacific Technical Center Co.,Ltd</t>
  </si>
  <si>
    <t>V4058C0</t>
  </si>
  <si>
    <t>198353</t>
  </si>
  <si>
    <t>The Bank of Tokyo-Mitsubishi UFJ, Ltd - Singapore Branch</t>
  </si>
  <si>
    <t>+65 6540 4000</t>
  </si>
  <si>
    <t>83 Clemenceau Avenue #08-01/08 UE Square Singapore 239920</t>
  </si>
  <si>
    <t>CG460002C0</t>
  </si>
  <si>
    <t>MUFG Bank, Ltd</t>
  </si>
  <si>
    <t>355000C</t>
  </si>
  <si>
    <t>355000A</t>
  </si>
  <si>
    <t>355000B</t>
  </si>
  <si>
    <t>1101534</t>
  </si>
  <si>
    <t>JP Morgan Chase, N.A</t>
  </si>
  <si>
    <t>200 4th Ave. S. Nashville, TN 37201, USA</t>
  </si>
  <si>
    <t>100104C</t>
  </si>
  <si>
    <t>Bridgestone Americas Tire Operations,LLC</t>
  </si>
  <si>
    <t>P.O.Box 1139, Wilson, NC, 27894</t>
  </si>
  <si>
    <t>CG460008C0</t>
  </si>
  <si>
    <t>BRIDGESTONE AMERICAS TIRE OPERATION</t>
  </si>
  <si>
    <t>107 ONTARIO</t>
  </si>
  <si>
    <t>P0000117</t>
  </si>
  <si>
    <t>Guangdong</t>
  </si>
  <si>
    <t>No. 1 Huitai Road Huinan High-Tech Industrial Park, HuiZhou Guangdong, China</t>
  </si>
  <si>
    <t>353600A</t>
  </si>
  <si>
    <t>1030263-1</t>
  </si>
  <si>
    <t>Sumitomo Mitsui banking corporation (China) Limited</t>
  </si>
  <si>
    <t>Bridgestone (China) Investment Co., Ltd</t>
  </si>
  <si>
    <t>8/F, 98 Huahai Road(M), Luwan District, Shanghai, China</t>
  </si>
  <si>
    <t>353500C</t>
  </si>
  <si>
    <t>114-3095543</t>
  </si>
  <si>
    <t>Bangkok Bank Pulic company limited-Bookalo branch</t>
  </si>
  <si>
    <t>Bosco Engineering</t>
  </si>
  <si>
    <t>276/25 Soi Wat Mai Yai Nui, Vutakas Rd., Taladphlu, Thonburi, Bangkok 10600</t>
  </si>
  <si>
    <t>V20156C</t>
  </si>
  <si>
    <t>BNP PARIBAS FORTIS</t>
  </si>
  <si>
    <t>001001</t>
  </si>
  <si>
    <t>BNP PARIBAS</t>
  </si>
  <si>
    <t>000901</t>
  </si>
  <si>
    <t>5118504021</t>
  </si>
  <si>
    <t>Standard Chartered Bank (Thai) Public Company Limited - Head Office</t>
  </si>
  <si>
    <t>6635-672150-4</t>
  </si>
  <si>
    <t>Mahatun plaza,12th Floor 888/122,128 Ploenchit road Lumpini Patumwan,BANGKOK 10330, THAILAND(office)</t>
  </si>
  <si>
    <t>V20112A</t>
  </si>
  <si>
    <t>118000088385</t>
  </si>
  <si>
    <t>Vietcombank - CN Tô Hiệu, Hải Phòng</t>
  </si>
  <si>
    <t>Số 35 Trần Tất Văn, Quận Kiến An, Hải Phòng</t>
  </si>
  <si>
    <t>V10616C</t>
  </si>
  <si>
    <t>102010001109315</t>
  </si>
  <si>
    <t>Ngân hàng TMCP Công thương, chi nhánh Tô Hiệu - Hải Phòng</t>
  </si>
  <si>
    <t>031.3736285</t>
  </si>
  <si>
    <t>0200926486-001</t>
  </si>
  <si>
    <t>Số 225C đường Lạch Tray, quận Ngô Quyền, TP. Hải Phòng</t>
  </si>
  <si>
    <t>V10263C</t>
  </si>
  <si>
    <t>102010001243642</t>
  </si>
  <si>
    <t>Ngân Hàng Thương mại Cổ Phần Công Thương - Chi Nhánh Lê Chân</t>
  </si>
  <si>
    <t>0313847419</t>
  </si>
  <si>
    <t>169 Tô Hiệu, Lê Chân, Hải Phòng</t>
  </si>
  <si>
    <t>Ibaraki</t>
  </si>
  <si>
    <t>3980757</t>
  </si>
  <si>
    <t>MUFG Bank, Ltd.</t>
  </si>
  <si>
    <t>5749, Shishikura, Kasumigaura-shi, Ibaraki, 300-0121 Japan</t>
  </si>
  <si>
    <t>V20195A</t>
  </si>
  <si>
    <t>Jiangnan</t>
  </si>
  <si>
    <t>2008021619200241111</t>
  </si>
  <si>
    <t>INDUSTRIAL &amp; COMMERCIAL BANK OF CHINA HUIZHOU CITY JIANGNAN BR.</t>
  </si>
  <si>
    <t>+86 752 8219000</t>
  </si>
  <si>
    <t>No.3, Taixiang Road, Sandong Digital Ind.Park, Huicheng Area 516025 Huizhou city,P.R.CHINA</t>
  </si>
  <si>
    <t>V20055C</t>
  </si>
  <si>
    <t>V20055B</t>
  </si>
  <si>
    <t>V20055A</t>
  </si>
  <si>
    <t>Beijing</t>
  </si>
  <si>
    <t>0200004909200245436</t>
  </si>
  <si>
    <t>Beijing Xiangyuan Rubber and Tyre Inspection Technology Service Co., Ltd.</t>
  </si>
  <si>
    <t>19A, Fushi Road, Haidian District, Beijing, 00143, P.R China</t>
  </si>
  <si>
    <t>V20179C</t>
  </si>
  <si>
    <t>116.0000.829.68</t>
  </si>
  <si>
    <t>Ngân hàng Công thương Hồng Bàng Hải Phòng</t>
  </si>
  <si>
    <t>BCH Công đoàn Khu kinh tế Hải Phòng</t>
  </si>
  <si>
    <t>Cù Chính Lan, Q. Hồng Bàng, Hải Phòng</t>
  </si>
  <si>
    <t>T3001C0</t>
  </si>
  <si>
    <t>Bao Viet Bank</t>
  </si>
  <si>
    <t>000701</t>
  </si>
  <si>
    <t>0031000000666</t>
  </si>
  <si>
    <t>Ngân hàng Vietcombank chi nhánh Hải Phòng</t>
  </si>
  <si>
    <t>Bảo hiểm xã hội quận Hải An</t>
  </si>
  <si>
    <t>Tổ 7, phường Đằng Hải, quận Hải An, Hải Phòng</t>
  </si>
  <si>
    <t>HSI</t>
  </si>
  <si>
    <t>Tổ 7 Phường Đằng Hải, Q. Hải AnHải Phòng</t>
  </si>
  <si>
    <t>T3007C0</t>
  </si>
  <si>
    <t>102010001396249</t>
  </si>
  <si>
    <t>TMCP Công Thương Việt Nam - CN Ngô Quyền</t>
  </si>
  <si>
    <t>0200125302</t>
  </si>
  <si>
    <t>Số 8 Đà Nẵng, Ngô Quyền, Hải Phòng</t>
  </si>
  <si>
    <t>V10243C</t>
  </si>
  <si>
    <t>Bankok Bank</t>
  </si>
  <si>
    <t>006501</t>
  </si>
  <si>
    <t>BANK OF TOKYO-MITSUBISHI UFJ LTD.</t>
  </si>
  <si>
    <t>0100001</t>
  </si>
  <si>
    <t>Bank of Tokyo-Mitsubishi UFJ</t>
  </si>
  <si>
    <t>040001</t>
  </si>
  <si>
    <t>Bank of Tokyo Misubishi UFJ</t>
  </si>
  <si>
    <t>Sugamo</t>
  </si>
  <si>
    <t>CG470001C0</t>
  </si>
  <si>
    <t>BANK OF CHINA</t>
  </si>
  <si>
    <t>001209</t>
  </si>
  <si>
    <t>001208</t>
  </si>
  <si>
    <t>001207</t>
  </si>
  <si>
    <t>001206</t>
  </si>
  <si>
    <t>001205</t>
  </si>
  <si>
    <t>001204</t>
  </si>
  <si>
    <t>001203</t>
  </si>
  <si>
    <t>001202</t>
  </si>
  <si>
    <t>001201</t>
  </si>
  <si>
    <t>Bank of Ayudhya Public Company Limited</t>
  </si>
  <si>
    <t>007001</t>
  </si>
  <si>
    <t>000602</t>
  </si>
  <si>
    <t>000601</t>
  </si>
  <si>
    <t>000603</t>
  </si>
  <si>
    <t>Bank Mizuho Indonesia</t>
  </si>
  <si>
    <t>003820</t>
  </si>
  <si>
    <t>Bank for investment and development of Vietnam JSC (BIDV)</t>
  </si>
  <si>
    <t>000808</t>
  </si>
  <si>
    <t>000807</t>
  </si>
  <si>
    <t>000806</t>
  </si>
  <si>
    <t>000805</t>
  </si>
  <si>
    <t>000804</t>
  </si>
  <si>
    <t>000803</t>
  </si>
  <si>
    <t>000802</t>
  </si>
  <si>
    <t>000801</t>
  </si>
  <si>
    <t>000809</t>
  </si>
  <si>
    <t>Ban Quản lý Khu Kinh tế Hải Phòng</t>
  </si>
  <si>
    <t>T3000C0</t>
  </si>
  <si>
    <t>1220202011555</t>
  </si>
  <si>
    <t>Ngân hàng NN &amp; PT nông thôn Việt Nam - CN Long Biên</t>
  </si>
  <si>
    <t>0106869738-004</t>
  </si>
  <si>
    <t>Số 216 Trần Duy Hưng, P.Trung Hòa, Q.Cầu giấy, Hà nội</t>
  </si>
  <si>
    <t>V10262C</t>
  </si>
  <si>
    <t>Indonesia</t>
  </si>
  <si>
    <t>00.28673883</t>
  </si>
  <si>
    <t>Bank Negara Indonesia Perguruan Tinggi Bandung</t>
  </si>
  <si>
    <t>Jl.Sangkuriang No.14 Bandung 40135 JAWA BARAT - INDONESIA</t>
  </si>
  <si>
    <t>V20121C</t>
  </si>
  <si>
    <t>Asia Commercial Joint Stock Bank</t>
  </si>
  <si>
    <t>000329</t>
  </si>
  <si>
    <t>000328</t>
  </si>
  <si>
    <t>000327</t>
  </si>
  <si>
    <t>000326</t>
  </si>
  <si>
    <t>000325</t>
  </si>
  <si>
    <t>000324</t>
  </si>
  <si>
    <t>000323</t>
  </si>
  <si>
    <t>000322</t>
  </si>
  <si>
    <t>000321</t>
  </si>
  <si>
    <t>000320</t>
  </si>
  <si>
    <t>000319</t>
  </si>
  <si>
    <t>000318</t>
  </si>
  <si>
    <t>000317</t>
  </si>
  <si>
    <t>000316</t>
  </si>
  <si>
    <t>000315</t>
  </si>
  <si>
    <t>000314</t>
  </si>
  <si>
    <t>000313</t>
  </si>
  <si>
    <t>000312</t>
  </si>
  <si>
    <t>000311</t>
  </si>
  <si>
    <t>000310</t>
  </si>
  <si>
    <t>000309</t>
  </si>
  <si>
    <t>000308</t>
  </si>
  <si>
    <t>000307</t>
  </si>
  <si>
    <t>000306</t>
  </si>
  <si>
    <t>000305</t>
  </si>
  <si>
    <t>000304</t>
  </si>
  <si>
    <t>000303</t>
  </si>
  <si>
    <t>000302</t>
  </si>
  <si>
    <t>000301</t>
  </si>
  <si>
    <t>Asia Commercial Bank</t>
  </si>
  <si>
    <t>060001</t>
  </si>
  <si>
    <t>1457667</t>
  </si>
  <si>
    <t>MIZUHO BANK , LTD / UCHISAIWAICHO CORPORATE DEPARTMENT</t>
  </si>
  <si>
    <t>81-3-3296-7049</t>
  </si>
  <si>
    <t>1-1-2 Yurakucho, Chiyoda-ku,Tokyo 100-0006 Japan</t>
  </si>
  <si>
    <t>V20122A</t>
  </si>
  <si>
    <t>Mizuho Bank, Limited.  Uchisaiwaicho Corporate Banking Division</t>
  </si>
  <si>
    <t>+81-(0)3-3296-3250</t>
  </si>
  <si>
    <t>1-105 Kanda Jinbocho, Chiyoda-ku, Tokyo 101-8101, Japan</t>
  </si>
  <si>
    <t>V20053B</t>
  </si>
  <si>
    <t>V20053A</t>
  </si>
  <si>
    <t>V20053C</t>
  </si>
  <si>
    <t>0158544</t>
  </si>
  <si>
    <t>The Bank of Tokyo-Mitsubishi UFJ Ltd, Tamachi Branch</t>
  </si>
  <si>
    <t>(03) 3452-1312</t>
  </si>
  <si>
    <t>32-8 5-Chome, Shiba Minato-ku, Tokyo 108-0014 Japan</t>
  </si>
  <si>
    <t>V20044C</t>
  </si>
  <si>
    <t>V20044B</t>
  </si>
  <si>
    <t>V20044A</t>
  </si>
  <si>
    <t>An Binh Commercial Joint Stock Bank</t>
  </si>
  <si>
    <t>000103</t>
  </si>
  <si>
    <t>000102</t>
  </si>
  <si>
    <t>000101</t>
  </si>
  <si>
    <t>Chachoengsao</t>
  </si>
  <si>
    <t>70-0314274-4</t>
  </si>
  <si>
    <t>CIMB THAI BANK PUBLIC COMPANY LIMITED-MEGA BANGNA</t>
  </si>
  <si>
    <t>Armstrong Rubber and Chemical Products Co., Ltd</t>
  </si>
  <si>
    <t>103/3 Moo 5 Tambol Bangsamak,Amphur Bangpakong,Chachoengsao 24130 Thailand</t>
  </si>
  <si>
    <t>V20209C</t>
  </si>
  <si>
    <t>V20209A</t>
  </si>
  <si>
    <t>F-15-764-922908</t>
  </si>
  <si>
    <t>02-745-8812</t>
  </si>
  <si>
    <t>Room No.3A, 3rd FL., Chai-ho Wong Wai Wit Building, 889 Moo 5, Srinakain Road, T. Somrong-Nua, A.Muang, Samutprakarn 10270</t>
  </si>
  <si>
    <t>V20084C</t>
  </si>
  <si>
    <t>V20084B</t>
  </si>
  <si>
    <t>V20084A</t>
  </si>
  <si>
    <t>2000041002793</t>
  </si>
  <si>
    <t>Wells Fargo Bank / Hapeville GA 30354</t>
  </si>
  <si>
    <t>13307451641</t>
  </si>
  <si>
    <t>6279 Hudson Crossing Parkway, Suite 200, Hudson, Ohio 44236 USA</t>
  </si>
  <si>
    <t>V20135C</t>
  </si>
  <si>
    <t>6279 Hudson Crossing Parkway, Suite 200 Hudson, Ohio 44236 USA</t>
  </si>
  <si>
    <t>CG450018C0</t>
  </si>
  <si>
    <t>V20135B</t>
  </si>
  <si>
    <t>1025015 (JPY)</t>
  </si>
  <si>
    <t>Mizuho Bank Ltd, Kudan Branch</t>
  </si>
  <si>
    <t>NSK Building 2-27-3 Tito, Taito-ku, Tokyo 110-0016 Japan</t>
  </si>
  <si>
    <t>V20005C</t>
  </si>
  <si>
    <t>V20005B</t>
  </si>
  <si>
    <t>V20005A</t>
  </si>
  <si>
    <t>6821072</t>
  </si>
  <si>
    <t>SUMITOMO-MITSUI BANKING CORPORATION, TSURUMI BRANCH</t>
  </si>
  <si>
    <t>1-1-51 Suehiro-cho, Tsurumi-ku Yokohama, Kanagawa Pref.230-0045 JAPAN</t>
  </si>
  <si>
    <t>V20021C</t>
  </si>
  <si>
    <t>V20021B</t>
  </si>
  <si>
    <t>V20021A</t>
  </si>
  <si>
    <t>437759225241</t>
  </si>
  <si>
    <t>Bank of China Shanghai Branch Songjiang Sub-Branch</t>
  </si>
  <si>
    <t>158-3 Shumin RD, Songjiang Industry Zone, Shanghai, 201611, China</t>
  </si>
  <si>
    <t>V20098C</t>
  </si>
  <si>
    <t>V20098B</t>
  </si>
  <si>
    <t>V20098A</t>
  </si>
  <si>
    <t>AIG Việt Nam Insurance Company Limited</t>
  </si>
  <si>
    <t>CG40011508</t>
  </si>
  <si>
    <t>AIG INSURANCE COMPANY CHINA LIMITED</t>
  </si>
  <si>
    <t>Unit 3904 Lushan Road, Jianye, Nanjing, China</t>
  </si>
  <si>
    <t>CG450037C0</t>
  </si>
  <si>
    <t>Agricultural Bank of China</t>
  </si>
  <si>
    <t>000503</t>
  </si>
  <si>
    <t>000502</t>
  </si>
  <si>
    <t>000501</t>
  </si>
  <si>
    <t>000408</t>
  </si>
  <si>
    <t>000407</t>
  </si>
  <si>
    <t>000406</t>
  </si>
  <si>
    <t>000405</t>
  </si>
  <si>
    <t>000404</t>
  </si>
  <si>
    <t>000403</t>
  </si>
  <si>
    <t>000402</t>
  </si>
  <si>
    <t>000401</t>
  </si>
  <si>
    <t>000413</t>
  </si>
  <si>
    <t>000412</t>
  </si>
  <si>
    <t>000411</t>
  </si>
  <si>
    <t>000410</t>
  </si>
  <si>
    <t>000409</t>
  </si>
  <si>
    <t>ABN AMRO BANK N.V.</t>
  </si>
  <si>
    <t>000201</t>
  </si>
  <si>
    <t>1065615(JPY)</t>
  </si>
  <si>
    <t>Mizuho bank,ltd-Ikebukuro branch</t>
  </si>
  <si>
    <t>AANDD company, Limited</t>
  </si>
  <si>
    <t>3-23-14, Higashi-Ikebukuro, Toshima-ku    Tokyo, Japan</t>
  </si>
  <si>
    <t>V20110C</t>
  </si>
  <si>
    <t>1065615</t>
  </si>
  <si>
    <t>Mizuho Bank, Ltd - Ikebukuro branch</t>
  </si>
  <si>
    <t>3-23-14, Higashi-Ikebukuro, Toshima-ku, Tokyo, 170-0013, Japan</t>
  </si>
  <si>
    <t>V20110B</t>
  </si>
  <si>
    <t>Nhóm mẹ</t>
  </si>
  <si>
    <t>Nơi cấp</t>
  </si>
  <si>
    <t>Ngày cấp</t>
  </si>
  <si>
    <t>Số CMND</t>
  </si>
  <si>
    <t>Ten_Tp_Nh</t>
  </si>
  <si>
    <t>Số Tk ngân hàng</t>
  </si>
  <si>
    <t>Tên ngân hàng</t>
  </si>
  <si>
    <t>Điện thoại</t>
  </si>
  <si>
    <t>Đối tác</t>
  </si>
  <si>
    <t>Mã số thuế</t>
  </si>
  <si>
    <t>Địa chỉ</t>
  </si>
  <si>
    <t>Loại đối tượng</t>
  </si>
  <si>
    <t>Tên viết tắt</t>
  </si>
  <si>
    <t>V10720</t>
  </si>
  <si>
    <t>Công ty TNHH Dịch vụ thương mại POP-UP</t>
  </si>
  <si>
    <t>V10720C</t>
  </si>
  <si>
    <t>1094/40 Lê Đức Thọ,Phường 13,Quận Gò Vấp,Thành phố Hồ Chí Minh, Việt Nam</t>
  </si>
  <si>
    <t>0315520394</t>
  </si>
  <si>
    <t>Ngân hàng cổ phần thương mại Á Châu (ACB)-PGD Nguyễn Văn Trỗi, TP.HCM</t>
  </si>
  <si>
    <t>162723298</t>
  </si>
  <si>
    <t>Vietin Bank-Ho Chi Minh City Branch</t>
  </si>
  <si>
    <t>118000040083</t>
  </si>
  <si>
    <t>V10718</t>
  </si>
  <si>
    <t>V10717</t>
  </si>
  <si>
    <t>V10716</t>
  </si>
  <si>
    <t>Bridgestone Tire Sale Viet Nam LLC</t>
  </si>
  <si>
    <t>355001A</t>
  </si>
  <si>
    <t>Số nhà 146,xã Tân Triều,Huyện Thanh Trì, Thành phố Hà Nội, Việt Nam</t>
  </si>
  <si>
    <t>0104029606</t>
  </si>
  <si>
    <t>Ngân hàng TMCP Quân Đội (MB)-Chi nhánh Hoàn Kiếm</t>
  </si>
  <si>
    <t>0671101706003</t>
  </si>
  <si>
    <t>V10703B</t>
  </si>
  <si>
    <t>Công ty cổ phần 168 Nhật Minh</t>
  </si>
  <si>
    <t>V10723C</t>
  </si>
  <si>
    <t>Số 300 đường Phạm Văn Đồng,Phường Anh Dũng, Quận Dương Kinh,Thành phố Hải Phòng, Việt Nam</t>
  </si>
  <si>
    <t>0201980609</t>
  </si>
  <si>
    <t>Ngân hàng TMCP Công thương Việt Nam (Vietinbank)-Chi nhánh Hồng Bàng</t>
  </si>
  <si>
    <t>116002899380</t>
  </si>
  <si>
    <t>CG440055C0</t>
  </si>
  <si>
    <t>92, Nguyễn Văn Trỗi, Phường 08, Quận Phú Nhuận, Thành phố Hồ Chí Minh</t>
  </si>
  <si>
    <t>V10563B</t>
  </si>
  <si>
    <t>317, Shiliu Rd., Doulin City, Yunlin County 640402, Taiwan</t>
  </si>
  <si>
    <t>Nextware, Ltd</t>
  </si>
  <si>
    <t>V20230B</t>
  </si>
  <si>
    <t>4-3-11 Kitakyuhojicho,Chuo-ku,Osaka 541-0057 Japan</t>
  </si>
  <si>
    <t>MUFG BANK, LTD-UMEDA-CHUO</t>
  </si>
  <si>
    <t>5301203106</t>
  </si>
  <si>
    <t>1 Park Silom Tower, 25th Floor unit 2505-2507, Convent Road, Silom, Bangrak, Bangkok, Thailand 10500</t>
  </si>
  <si>
    <t>Ngân hàng TMCP Á Châu - Chi nhánh Hà Nội- PGD Kim Đồng</t>
  </si>
  <si>
    <t>Ngân hàng thương mại cổ phần Á Châu - Chi nhánh Hà Nội</t>
  </si>
  <si>
    <t>22886688888</t>
  </si>
  <si>
    <t>ACB bank - Chi nhánh Đông Đô- Phòng giao dịch Văn Phú</t>
  </si>
  <si>
    <t>Công ty TNHH Air Water Việt Nam- Chi nhánh Hà Nam</t>
  </si>
  <si>
    <t>V10721C</t>
  </si>
  <si>
    <t>Khu công nghiệp hỗ trợ Đồng Văn III,Phường Đồng Văn, Thị xã Duy Tiên, Tỉnh Hà Nam, Việt Nam</t>
  </si>
  <si>
    <t>3501711627-003</t>
  </si>
  <si>
    <t>Ngân hàng thương mại cổ phần Ngoại thương Việt Nam-Chi nhánh Thăng Long</t>
  </si>
  <si>
    <t>1025478260</t>
  </si>
  <si>
    <t>Công ty TNHH Cơ khí chính xác và thiết bị Vinh Thịnh</t>
  </si>
  <si>
    <t>V10724C</t>
  </si>
  <si>
    <t>Thôn Lương Xá Nam,Xã Kim Liên, Huyện Kim Thành,Tỉnh Hải Dương, Việt Nam</t>
  </si>
  <si>
    <t>0801325352</t>
  </si>
  <si>
    <t>Ngân hàng TMCP Công Thương Việt Nam-KCN Hải Dương- PGD Kim Thành</t>
  </si>
  <si>
    <t>111639915555</t>
  </si>
  <si>
    <t>Công ty TNHH Thiết bị Công Nghiệp Thiên An</t>
  </si>
  <si>
    <t>V10722C</t>
  </si>
  <si>
    <t>Số 245 khu dịch vụ Xa La, phường Phúc La,quận Hà Đông,thành phố Hà Nội, Việt Nam</t>
  </si>
  <si>
    <t>0104883825</t>
  </si>
  <si>
    <t>Ngân hàng TMCP Á Châu-PGD Thanh Nhàn- Chi nhánh Hà Nội</t>
  </si>
  <si>
    <t>85678709</t>
  </si>
  <si>
    <t>Ngân hàng thương mại cổ phần Việt Nam Thịnh Vương- VP Bank - Chi nhánh Quang Trung Hải Phòng</t>
  </si>
  <si>
    <t>240239566</t>
  </si>
  <si>
    <t>Ngân hàng thương mại cổ phần Việt Nam Thịnh Vương- VP Bank- Chi nhánh Quang Trung Hải Phòng</t>
  </si>
  <si>
    <t>H15-795-002025 (VND)/F15-795-002017 (USD)</t>
  </si>
  <si>
    <t>EY Corporate Advisors Pte. Ltd</t>
  </si>
  <si>
    <t>V20231C</t>
  </si>
  <si>
    <t>PATTANA INTERNATIONAL LIMITED</t>
  </si>
  <si>
    <t>V10725C</t>
  </si>
  <si>
    <t>Công ty TNHH Global Toserco</t>
  </si>
  <si>
    <t>Ngân hàng Citibank NA - CN Hà Nội</t>
  </si>
  <si>
    <t>0201870003</t>
  </si>
  <si>
    <t>Ngân hàng TMCP Tiên Phong (TPB) - -Chi nhánh Hoàn Kiếm</t>
  </si>
  <si>
    <t>10902336426 (VND)</t>
  </si>
  <si>
    <t>Vietcombank-phòng giao dịch số 6</t>
  </si>
  <si>
    <t>Số 40, Phố Cát Linh, Phường Cát Linh,Quận Đống Đa, Thành phố Hà Nội, Việt Nam</t>
  </si>
  <si>
    <t>0100112451</t>
  </si>
  <si>
    <t>INDOVINABANK-Hanoi Branch</t>
  </si>
  <si>
    <t>2003 165-002</t>
  </si>
  <si>
    <t>044.100.0680888</t>
  </si>
  <si>
    <t>99/1 Moo 11,Nongbua,Bankhai,Rayong 21120, Thailand</t>
  </si>
  <si>
    <t>Ngân hàng thương mại cổ phần Quân đội - Chi nhánh Hải Phòng</t>
  </si>
  <si>
    <t>2581189666888</t>
  </si>
  <si>
    <t>V10719</t>
  </si>
  <si>
    <t>V10726C</t>
  </si>
  <si>
    <t>Công ty cổ phần Fiingroup Việt Nam</t>
  </si>
  <si>
    <t>V10726</t>
  </si>
  <si>
    <t>V20232A</t>
  </si>
  <si>
    <t>LCY Huizhou Advanced Rubber Corp.</t>
  </si>
  <si>
    <t>V20233</t>
  </si>
  <si>
    <t>Field Test Asia Pte. Ltd.</t>
  </si>
  <si>
    <t>V20234</t>
  </si>
  <si>
    <t>Skill Dynamics Limited</t>
  </si>
  <si>
    <t>Tầng 10, Peakview Tower, Số 36 Hoàng Cầu, Phường Ô Chợ Dừa,Quận Đống Đa, Hà Nội,</t>
  </si>
  <si>
    <t>0109897370</t>
  </si>
  <si>
    <t>Techcombank-Ba Đình, Hà Nội, Việt Nam</t>
  </si>
  <si>
    <t>19038817322016</t>
  </si>
  <si>
    <t>V20233C</t>
  </si>
  <si>
    <t>2 Sinaran Drive, #15-06, Singapore 307467, Singapore</t>
  </si>
  <si>
    <t>DBS BANK LTD-Toa Payoh</t>
  </si>
  <si>
    <t>0005-001430-01-3</t>
  </si>
  <si>
    <t>No.1 Power Plant Road, Petrochemical Industry District,Daya Bay Economic and Technological Development Zone,Guangdong, P.R.C</t>
  </si>
  <si>
    <t>Industrial and Commercial Bank of China-Binhai sub-branch Huizhou City</t>
  </si>
  <si>
    <t>2008 0227 1914 0002 995</t>
  </si>
  <si>
    <t>Huizhou</t>
  </si>
  <si>
    <t>V20234C</t>
  </si>
  <si>
    <t>HSBC</t>
  </si>
  <si>
    <t>London</t>
  </si>
  <si>
    <t>CÔNG TY TNHH NOVENTIQ VIỆT NAM</t>
  </si>
  <si>
    <t>Chỉ nhập thông tin vendor mới bằng nút vàng bên cạnh &gt;&gt;&gt;&gt;</t>
  </si>
  <si>
    <t>V10423C</t>
  </si>
  <si>
    <t>Công ty cổ phần du lịch và tiếp thị giao thông vận tải Việt Nam- VIETRAVEL- CHI NHÁNH HẢI PHÒNG</t>
  </si>
  <si>
    <t>V20235C</t>
  </si>
  <si>
    <t>SofiStage Inc.</t>
  </si>
  <si>
    <t>V10727C</t>
  </si>
  <si>
    <t>Công ty TNHH công nghệ Hồng Dương</t>
  </si>
  <si>
    <t>Số 4, phố Trần Hưng Đạo, Phường Hoàng Văn Thụ, Quận Hồng Bàng, Thành phố Hải Phòng, Việt Nam</t>
  </si>
  <si>
    <t>0300465937-010</t>
  </si>
  <si>
    <t>Ngân hàng thương mại cổ phần Công thương Việt Nam (Vietin Bank)-Chi nhánh Hải Phòng</t>
  </si>
  <si>
    <t>1120 5610 8888</t>
  </si>
  <si>
    <t>Số nhà 100 đường Ngự Câu 2,thôn Ngự Câu, xã An Thượng,huyện Hoài Đức, thành phố Hà Nội, Việt Nam</t>
  </si>
  <si>
    <t>0110512875</t>
  </si>
  <si>
    <t>Ngân hàng thương mại cổ phần Á Châu-Chi nhánh Hà Thành</t>
  </si>
  <si>
    <t>1810668668</t>
  </si>
  <si>
    <t>Pria Shibuya 9F 3-6-4 Shibuya,Shibuya-ku,Tokyo 1500002 Japan</t>
  </si>
  <si>
    <t>Sumitomo Mitsui Banking Corporation-Shibuya-ekimae branch</t>
  </si>
  <si>
    <t>5186165</t>
  </si>
  <si>
    <t>Shibuya</t>
  </si>
  <si>
    <t>VENDOR LIST</t>
  </si>
  <si>
    <t>V10728C</t>
  </si>
  <si>
    <t>Công ty TNHH Vinesh Việt Nam</t>
  </si>
  <si>
    <t>Số 50, ngõ 5, tổ 2,phường Phú Lương,quận Hà Đông,Thành phố Hà Nội, Việt Nam</t>
  </si>
  <si>
    <t>0107884094</t>
  </si>
  <si>
    <t>Ngân hàng TMCP Quân Đội-Chi nhánh Thăng Long-PGD Tân Mai</t>
  </si>
  <si>
    <t>2238883999</t>
  </si>
  <si>
    <t>V10729C</t>
  </si>
  <si>
    <t>Trung tâm Dịch vụ việc làm- Đào tạo- Xúc tiến đầu tư</t>
  </si>
  <si>
    <t>Brisa Bridgestone Sabanci Tyre Manufacturing and Trading Inc.</t>
  </si>
  <si>
    <t>CG440056C0</t>
  </si>
  <si>
    <t>Temsa Sit,2/1 Uskudar, Istanbul , 68100, Turkey</t>
  </si>
  <si>
    <t>Số 1 đường Bạch Đằng,thị trấn Núi Đèo,huyện Thủy Nguyên,thành phố Hải Phòng</t>
  </si>
  <si>
    <t>Ngân hàng TMCP Công thương Việt Nam-Chi Nhánh Lê Chân</t>
  </si>
  <si>
    <t>115600139668</t>
  </si>
  <si>
    <t>Vietinbank - Chi nhánh 2, TPHCM</t>
  </si>
  <si>
    <t>111002929347 (VND)</t>
  </si>
  <si>
    <t>V10730C</t>
  </si>
  <si>
    <t>Công ty cổ phần kho vận và dịch vụ thương mại Hà Nội</t>
  </si>
  <si>
    <t>V10731C</t>
  </si>
  <si>
    <t>Công ty TNHH giải pháp năng lượng Kansai (Việt Nam)</t>
  </si>
  <si>
    <t>V10732C</t>
  </si>
  <si>
    <t>Công Ty Cổ Phần Dịch Vụ Đầu Tư và Du Lịch Bàn Chân Việt</t>
  </si>
  <si>
    <t>V20236C</t>
  </si>
  <si>
    <t>NX Shoji Co., Ltd</t>
  </si>
  <si>
    <t>Số nhà 16B, ngõ 668 đường Lạc Long Quân,Phường Nhật Tân,Quận Tây Hồ,Thành phố Hà Nội, Việt Nam</t>
  </si>
  <si>
    <t>Ngân hàng TMCP Kỹ thương Việt Nam (Techcombank)-Ba Đình</t>
  </si>
  <si>
    <t>10321445444013</t>
  </si>
  <si>
    <t>Số 473 Minh Khai,Phường Vĩnh Tuy,Quận Hai Bà Trưng,Thành phố Hà Nội, Việt Nam</t>
  </si>
  <si>
    <t>Agribank-Ha Noi branch</t>
  </si>
  <si>
    <t>1500311001939</t>
  </si>
  <si>
    <t>Phòng 020, Tầng 4, Tòa nhà Centec, Số 72-74, Nguyễn Thi Minh Khai,Phường Võ Thị Sáu, Quận 3,Thành phố Hồ Chí Minh, Việt Nam</t>
  </si>
  <si>
    <t>The Bank of Tokyo-Mitsubishi UFJ Ltd-Ho Chi Minh City Branch</t>
  </si>
  <si>
    <t>046310</t>
  </si>
  <si>
    <t>1-14-22 Kaigan,Minato-ku,Tokyo 105-8338 Japan</t>
  </si>
  <si>
    <t>The Bank of Tokyo-Mitsubishi UFJ Ltd-HEAD OFFICE</t>
  </si>
  <si>
    <t>9060017</t>
  </si>
  <si>
    <t>V20236B</t>
  </si>
  <si>
    <t>Tầng 7, tòa nhà văn phòng 311 – 313, đường Trường Chinh, Phường Khương Mai, Quận Thanh Xuân, Thành phố Hà Nội, Việt Nam</t>
  </si>
  <si>
    <t>Ngân hàng Việt Nam Thịnh Vượng (VPBank) - Chi nhánh Thăng Long- PGD Phạm Văn Đồng</t>
  </si>
  <si>
    <t>149595678</t>
  </si>
  <si>
    <t>Ngân hàng TMCP Việt Nam Thịnh Vượng (VPBank) - CN Quang Trung</t>
  </si>
  <si>
    <t>324778519</t>
  </si>
  <si>
    <t>Suite 1, 7th Floor, 50 Broadway, London, United Kingdom, SW1H 0BL</t>
  </si>
  <si>
    <t>GB59HBUK40127690286752</t>
  </si>
  <si>
    <t>14-16 Hàm Long, phường Phan Chu Trinh, quận Hoàn Kiếm, Hà Nội</t>
  </si>
  <si>
    <t>2-37-11 Kamiogi, Suginami-ku, Tokyo 167-0043 Japan</t>
  </si>
  <si>
    <t>Số 97 Lacasta, Khu đô thị Văn Phú, phường Phú La, quận Hà Đông, thành phố Hà Nội, Việt Nam</t>
  </si>
  <si>
    <t>1-1 Itosakiminami, 1- chome, Mihara City, Hiroshima, 729-0393, Japan</t>
  </si>
  <si>
    <t>The Siam Commercial Bank Public Company Limited - The Mall Bangkapi Branch</t>
  </si>
  <si>
    <t>401-004805-1-840</t>
  </si>
  <si>
    <t>Công ty TNHH FPT IS</t>
  </si>
  <si>
    <t>Số 10 phố Phạm Văn Bạch, Phường Dịch Vọng, Quận Cầu Giấy, Thành phố Hà Nội, Việt Nam</t>
  </si>
  <si>
    <t>V10733C</t>
  </si>
  <si>
    <t>CÔNG TY TNHH ĐẦU TƯ THƯƠNG MẠI VÀ DỊCH VỤ PHÚC LONG</t>
  </si>
  <si>
    <t>V10734C</t>
  </si>
  <si>
    <t>Công ty TNHH Công Nghệ Năng Lượng Alena</t>
  </si>
  <si>
    <t>Công viên phần mềm Quang Trung, số 01, đường Tô Ký, Phường Tân Chánh Hiệp, Quận 12, Thành phố Hồ Chí Minh, Việt Nam</t>
  </si>
  <si>
    <t>2G Nguyễn Thành Ý,phường Đa Kao,quận 1,thành phố Hồ Chí Minh, Việt Nam</t>
  </si>
  <si>
    <t>0313490024</t>
  </si>
  <si>
    <t>Ngân hàng TMCP Á Châu-PGD Thị Nghè</t>
  </si>
  <si>
    <t>1410158888</t>
  </si>
  <si>
    <t>Số nhà 16, ngõ 1194 Đường Láng,Phường Láng Thượng,Quận Đống Đa,Thành phố Hà Nội, Việt Nam</t>
  </si>
  <si>
    <t>0109261440</t>
  </si>
  <si>
    <t>Ngân hàng TMCP Kỹ Thương Việt Nam-Chi nhánh Từ Liêm Hà Nội</t>
  </si>
  <si>
    <t>162088</t>
  </si>
  <si>
    <t>Công ty TNHH MESO GROUP</t>
  </si>
  <si>
    <t>Vietcombank - CN Thành phố Hồ Chí Minh</t>
  </si>
  <si>
    <t>1045266666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</si>
</sst>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0" x14ac:knownFonts="1">
    <font>
      <sz val="11"/>
      <color theme="1"/>
      <name val="Calibri"/>
      <family val="2"/>
      <scheme val="minor"/>
    </font>
    <font>
      <b/>
      <sz val="14"/>
      <color rgb="FF000000"/>
      <name val="Segoe UI"/>
      <family val="2"/>
    </font>
    <font>
      <sz val="10"/>
      <name val="Arial"/>
      <family val="2"/>
    </font>
    <font>
      <b/>
      <sz val="9.75"/>
      <color rgb="FF000000"/>
      <name val="Segoe UI"/>
      <family val="2"/>
    </font>
    <font>
      <u/>
      <sz val="11"/>
      <color rgb="FF0070C0"/>
      <name val="Calibri"/>
      <family val="2"/>
      <scheme val="minor"/>
    </font>
    <font>
      <sz val="11"/>
      <color rgb="FF002060"/>
      <name val="Consolas"/>
      <family val="3"/>
    </font>
    <font>
      <b/>
      <sz val="11"/>
      <color rgb="FFFF0000"/>
      <name val="Calibri"/>
      <family val="2"/>
      <scheme val="minor"/>
    </font>
    <font>
      <sz val="9"/>
      <color theme="0"/>
      <name val="Segoe UI"/>
      <family val="2"/>
    </font>
    <font>
      <sz val="9.75"/>
      <color theme="0"/>
      <name val="Segoe UI"/>
      <family val="2"/>
    </font>
    <font>
      <sz val="9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ECF2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4.9989318521683403E-2"/>
        <bgColor indexed="64"/>
      </patternFill>
    </fill>
  </fills>
  <borders count="3">
    <border>
      <left/>
      <right/>
      <top/>
      <bottom/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/>
      <right style="thin">
        <color rgb="FFE3E3E3"/>
      </right>
      <top/>
      <bottom/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1" fillId="0" borderId="0" xfId="0" applyFont="1" applyAlignment="1" applyProtection="1">
      <alignment horizontal="left" vertical="center"/>
      <protection hidden="1"/>
    </xf>
    <xf numFmtId="0" fontId="2" fillId="0" borderId="0" xfId="1"/>
    <xf numFmtId="0" fontId="3" fillId="4" borderId="0" xfId="1" applyFont="1" applyFill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4" fillId="0" borderId="0" xfId="0" applyFont="1"/>
    <xf numFmtId="0" fontId="5" fillId="0" borderId="0" xfId="0" quotePrefix="1" applyFont="1" applyAlignment="1" applyProtection="1">
      <alignment horizontal="left" vertical="center"/>
      <protection hidden="1"/>
    </xf>
    <xf numFmtId="0" fontId="6" fillId="0" borderId="0" xfId="0" quotePrefix="1" applyFont="1"/>
    <xf numFmtId="0" fontId="7" fillId="5" borderId="1" xfId="0" applyFont="1" applyFill="1" applyBorder="1" applyAlignment="1" applyProtection="1">
      <alignment horizontal="center" vertical="center" wrapText="1"/>
      <protection hidden="1"/>
    </xf>
    <xf numFmtId="0" fontId="8" fillId="5" borderId="1" xfId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left" vertical="top"/>
    </xf>
    <xf numFmtId="164" fontId="9" fillId="3" borderId="2" xfId="0" applyNumberFormat="1" applyFont="1" applyFill="1" applyBorder="1" applyAlignment="1">
      <alignment vertical="top"/>
    </xf>
    <xf numFmtId="0" fontId="9" fillId="4" borderId="2" xfId="0" applyFont="1" applyFill="1" applyBorder="1" applyAlignment="1">
      <alignment horizontal="left" vertical="top"/>
    </xf>
    <xf numFmtId="164" fontId="9" fillId="4" borderId="2" xfId="0" applyNumberFormat="1" applyFont="1" applyFill="1" applyBorder="1" applyAlignment="1">
      <alignment vertical="top"/>
    </xf>
    <xf numFmtId="0" fontId="9" fillId="4" borderId="2" xfId="0" quotePrefix="1" applyFont="1" applyFill="1" applyBorder="1" applyAlignment="1">
      <alignment horizontal="left" vertical="top"/>
    </xf>
    <xf numFmtId="0" fontId="9" fillId="3" borderId="2" xfId="0" quotePrefix="1" applyFont="1" applyFill="1" applyBorder="1" applyAlignment="1">
      <alignment horizontal="left" vertical="top"/>
    </xf>
  </cellXfs>
  <cellStyles count="2">
    <cellStyle name="Normal" xfId="0" builtinId="0"/>
    <cellStyle name="Normal 2" xfId="1" xr:uid="{8D6E8981-D040-4ED7-91EC-E6B0154211C1}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75"/>
        <color theme="0"/>
        <name val="Segoe U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left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A7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2781300</xdr:colOff>
      <xdr:row>0</xdr:row>
      <xdr:rowOff>85725</xdr:rowOff>
    </xdr:from>
    <xdr:to>
      <xdr:col>4</xdr:col>
      <xdr:colOff>4972050</xdr:colOff>
      <xdr:row>2</xdr:row>
      <xdr:rowOff>104775</xdr:rowOff>
    </xdr:to>
    <xdr:sp macro="[0]!ShowUserForm" textlink="">
      <xdr:nvSpPr>
        <xdr:cNvPr id="2" name="Rectangle 1">
          <a:extLst>
            <a:ext uri="{FF2B5EF4-FFF2-40B4-BE49-F238E27FC236}">
              <a16:creationId xmlns:a16="http://schemas.microsoft.com/office/drawing/2014/main" id="{4B4E02B4-3C56-DE98-2BF9-A89EF157148F}"/>
            </a:ext>
          </a:extLst>
        </xdr:cNvPr>
        <xdr:cNvSpPr/>
      </xdr:nvSpPr>
      <xdr:spPr>
        <a:xfrm>
          <a:off x="5257800" y="85725"/>
          <a:ext cx="2190750" cy="4667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Nhấn</a:t>
          </a:r>
          <a:r>
            <a:rPr lang="en-US" sz="1100" b="1" baseline="0">
              <a:solidFill>
                <a:srgbClr val="FF0000"/>
              </a:solidFill>
            </a:rPr>
            <a:t> vào đây để tạo folder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572250" cy="342900"/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>
        <a:xfrm>
          <a:off x="0" y="0"/>
          <a:ext cx="6572250" cy="342900"/>
          <a:chOff x="0" y="0"/>
          <a:chExt cx="690" cy="3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0" y="0"/>
            <a:ext cx="387" cy="18"/>
          </a:xfrm>
          <a:prstGeom prst="rect">
            <a:avLst/>
          </a:prstGeom>
          <a:noFill/>
          <a:ln w="9525"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="horz" wrap="square" lIns="9144" tIns="9144" rIns="9144" bIns="9144" anchor="ctr" anchorCtr="0"/>
          <a:lstStyle/>
          <a:p>
            <a:pPr>
              <a:defRPr/>
            </a:pPr>
            <a:r>
              <a:rPr lang="en-US" sz="975" b="1" i="0" u="none" baseline="0">
                <a:solidFill>
                  <a:srgbClr val="000000"/>
                </a:solidFill>
                <a:latin typeface="Segoe UI"/>
                <a:ea typeface="Segoe UI"/>
                <a:cs typeface="Segoe UI"/>
              </a:rPr>
              <a:t>CÔNG TY TNHH SẢN XUẤT LỐP XE BRIDGESTONE VIỆT NAM</a:t>
            </a:r>
          </a:p>
        </xdr:txBody>
      </xdr:sp>
      <xdr:sp macro="" textlink="">
        <xdr:nvSpPr>
          <xdr:cNvPr id="4" name="TextBox 2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0" y="18"/>
            <a:ext cx="690" cy="18"/>
          </a:xfrm>
          <a:prstGeom prst="rect">
            <a:avLst/>
          </a:prstGeom>
          <a:noFill/>
          <a:ln w="9525"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="horz" wrap="square" lIns="9144" tIns="9144" rIns="9144" bIns="9144" anchor="ctr" anchorCtr="0"/>
          <a:lstStyle/>
          <a:p>
            <a:pPr>
              <a:defRPr/>
            </a:pPr>
            <a:r>
              <a:rPr lang="en-US" sz="975" b="1" i="0" u="none" baseline="0">
                <a:solidFill>
                  <a:srgbClr val="000000"/>
                </a:solidFill>
                <a:latin typeface="Segoe UI"/>
                <a:ea typeface="Segoe UI"/>
                <a:cs typeface="Segoe UI"/>
              </a:rPr>
              <a:t>Khu đất CN4.1, Khu công nghiệp Đình Vũ, Phường Đông Hải 2, Quận Hải An, thành phố Hải Phòng, Việt Nam</a:t>
            </a:r>
          </a:p>
        </xdr:txBody>
      </xdr:sp>
    </xdr:grpSp>
    <xdr:clientData/>
  </xdr:oneCellAnchor>
  <xdr:oneCellAnchor>
    <xdr:from>
      <xdr:col>0</xdr:col>
      <xdr:colOff>0</xdr:colOff>
      <xdr:row>2</xdr:row>
      <xdr:rowOff>0</xdr:rowOff>
    </xdr:from>
    <xdr:ext cx="18497550" cy="228600"/>
    <xdr:grpSp>
      <xdr:nvGrpSpPr>
        <xdr:cNvPr id="5" name="Group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>
          <a:grpSpLocks/>
        </xdr:cNvGrpSpPr>
      </xdr:nvGrpSpPr>
      <xdr:grpSpPr>
        <a:xfrm>
          <a:off x="0" y="335280"/>
          <a:ext cx="18497550" cy="228600"/>
          <a:chOff x="0" y="36"/>
          <a:chExt cx="1942" cy="24"/>
        </a:xfrm>
      </xdr:grpSpPr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0" y="36"/>
            <a:ext cx="1942" cy="24"/>
          </a:xfrm>
          <a:prstGeom prst="rect">
            <a:avLst/>
          </a:prstGeom>
          <a:noFill/>
          <a:ln w="9525"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="horz" wrap="square" lIns="9144" tIns="9144" rIns="9144" bIns="9144" anchor="ctr" anchorCtr="0"/>
          <a:lstStyle/>
          <a:p>
            <a:pPr>
              <a:defRPr/>
            </a:pPr>
            <a:r>
              <a:rPr lang="en-US" sz="975" b="1" i="0" u="none" baseline="0">
                <a:solidFill>
                  <a:srgbClr val="000000"/>
                </a:solidFill>
                <a:latin typeface="Segoe UI"/>
                <a:ea typeface="Segoe UI"/>
                <a:cs typeface="Segoe UI"/>
              </a:rPr>
              <a:t>DANH MỤC ĐỐI TƯỢNG</a:t>
            </a:r>
          </a:p>
        </xdr:txBody>
      </xdr:sp>
    </xdr:grp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AD2A6B-9261-4E5C-AD29-53EB3BB9BA79}" name="Table1" displayName="Table1" ref="A4:I2000" totalsRowShown="0" headerRowDxfId="5" headerRowBorderDxfId="4" headerRowCellStyle="Normal 2">
  <autoFilter ref="A4:I2000" xr:uid="{5EAD2A6B-9261-4E5C-AD29-53EB3BB9BA79}"/>
  <tableColumns count="9">
    <tableColumn id="1" xr3:uid="{93515E97-CEA7-4EBB-B2C2-1BD380D861AA}" name="STT"/>
    <tableColumn id="2" xr3:uid="{7821352E-F1A4-4E51-88C4-BD3856179F35}" name="Mã"/>
    <tableColumn id="3" xr3:uid="{9A633FFE-AC57-4F4E-A103-7C5B74A6E2C8}" name="Tên đối tượng"/>
    <tableColumn id="4" xr3:uid="{208A95E2-6E2C-4B3D-AF08-6B566695AE38}" name="Folder_name"/>
    <tableColumn id="5" xr3:uid="{191F9D32-8A82-48BE-838B-584AB251565C}" name="LINK"/>
    <tableColumn id="6" xr3:uid="{2BD509EF-AB3E-4477-8341-776170B48940}" name="Địa chỉ" dataDxfId="3">
      <calculatedColumnFormula>IFERROR(VLOOKUP(Table1[[#This Row],[Tên đối tượng]],'DANH MỤC ĐỐI TƯỢNG'!A:E,5,0),"")</calculatedColumnFormula>
    </tableColumn>
    <tableColumn id="7" xr3:uid="{0AD920E1-2FFD-421B-BA23-71CCD7C30FC6}" name="Mã số thuế" dataDxfId="2">
      <calculatedColumnFormula>_xlfn.IFNA(VLOOKUP(Table1[[#This Row],[Tên đối tượng]],'DANH MỤC ĐỐI TƯỢNG'!A:F,6,0),"")</calculatedColumnFormula>
    </tableColumn>
    <tableColumn id="10" xr3:uid="{D347220A-0264-4E7E-A0B2-46070FCA0EC3}" name="Tên ngân hàng" dataDxfId="1">
      <calculatedColumnFormula>_xlfn.IFNA(VLOOKUP(Table1[[#This Row],[Tên đối tượng]],'DANH MỤC ĐỐI TƯỢNG'!A:I,9,0),"")</calculatedColumnFormula>
    </tableColumn>
    <tableColumn id="11" xr3:uid="{855671EB-A902-44F0-8EB7-632153F42F48}" name="Số Tk ngân hàng" dataDxfId="0">
      <calculatedColumnFormula>_xlfn.IFNA(VLOOKUP(Table1[[#This Row],[Tên đối tượng]],'DANH MỤC ĐỐI TƯỢNG'!A:J,10,0),"")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88CE-19FD-4DD7-9656-250B6308A83B}">
  <sheetPr codeName="Sheet1"/>
  <dimension ref="A1:I2000"/>
  <sheetViews>
    <sheetView tabSelected="1" workbookViewId="0">
      <pane xSplit="5" ySplit="4" topLeftCell="F977" activePane="bottomRight" state="frozen"/>
      <selection pane="topRight" activeCell="F1" sqref="F1"/>
      <selection pane="bottomLeft" activeCell="A5" sqref="A5"/>
      <selection pane="bottomRight" activeCell="B987" sqref="B987"/>
    </sheetView>
  </sheetViews>
  <sheetFormatPr defaultRowHeight="14.4" x14ac:dyDescent="0.3"/>
  <cols>
    <col min="1" max="1" width="6.44140625" customWidth="1"/>
    <col min="3" max="3" width="7.33203125" customWidth="1"/>
    <col min="4" max="4" width="14.33203125" customWidth="1"/>
    <col min="5" max="5" width="88" customWidth="1"/>
    <col min="6" max="6" width="71.6640625" customWidth="1"/>
    <col min="7" max="7" width="16.109375" customWidth="1"/>
    <col min="8" max="8" width="56.5546875" customWidth="1"/>
    <col min="9" max="9" width="44.44140625" customWidth="1"/>
  </cols>
  <sheetData>
    <row r="1" spans="1:9" ht="20.399999999999999" x14ac:dyDescent="0.3">
      <c r="A1" s="1" t="s">
        <v>8890</v>
      </c>
    </row>
    <row r="2" spans="1:9" x14ac:dyDescent="0.3">
      <c r="A2" s="6" t="str">
        <f ca="1">HYPERLINK(LEFT(CELL("filename",A2),FIND("|",SUBSTITUTE(CELL("filename",A2),"\","|",LEN(CELL("filename",A2))-LEN(SUBSTITUTE(CELL("filename",A2),"\",""))))))</f>
        <v>D:\</v>
      </c>
    </row>
    <row r="3" spans="1:9" x14ac:dyDescent="0.3">
      <c r="B3" s="7" t="s">
        <v>8871</v>
      </c>
    </row>
    <row r="4" spans="1:9" ht="26.4" x14ac:dyDescent="0.3">
      <c r="A4" s="8" t="s">
        <v>0</v>
      </c>
      <c r="B4" s="8" t="s">
        <v>1</v>
      </c>
      <c r="C4" s="8" t="s">
        <v>2</v>
      </c>
      <c r="D4" s="8" t="s">
        <v>1876</v>
      </c>
      <c r="E4" s="8" t="s">
        <v>3</v>
      </c>
      <c r="F4" s="9" t="s">
        <v>8763</v>
      </c>
      <c r="G4" s="9" t="s">
        <v>8762</v>
      </c>
      <c r="H4" s="9" t="s">
        <v>8759</v>
      </c>
      <c r="I4" s="9" t="s">
        <v>8758</v>
      </c>
    </row>
    <row r="5" spans="1:9" x14ac:dyDescent="0.3">
      <c r="A5">
        <v>1</v>
      </c>
      <c r="B5" t="s">
        <v>4</v>
      </c>
      <c r="C5" t="s">
        <v>5</v>
      </c>
      <c r="D5" t="str">
        <f>A5&amp;". "&amp;B5</f>
        <v>1. V20110</v>
      </c>
      <c r="E5" s="5" t="str">
        <f t="shared" ref="E5:E68" ca="1" si="0">IF(B5&lt;&gt;"",HYPERLINK($A$2&amp;D5,C5),"")</f>
        <v>A&amp;D Company, Limited</v>
      </c>
      <c r="F5" t="str">
        <f>IFERROR(VLOOKUP(Table1[[#This Row],[Tên đối tượng]],'DANH MỤC ĐỐI TƯỢNG'!A:E,5,0),"")</f>
        <v>3-23-14, Higashi-Ikebukuro, Toshima-ku, Tokyo, 170-0013, Japan</v>
      </c>
      <c r="G5">
        <f>_xlfn.IFNA(VLOOKUP(Table1[[#This Row],[Tên đối tượng]],'DANH MỤC ĐỐI TƯỢNG'!A:F,6,0),"")</f>
        <v>0</v>
      </c>
      <c r="H5" t="str">
        <f>_xlfn.IFNA(VLOOKUP(Table1[[#This Row],[Tên đối tượng]],'DANH MỤC ĐỐI TƯỢNG'!A:I,9,0),"")</f>
        <v>Mizuho Bank, Ltd - Ikebukuro branch</v>
      </c>
      <c r="I5" t="str">
        <f>_xlfn.IFNA(VLOOKUP(Table1[[#This Row],[Tên đối tượng]],'DANH MỤC ĐỐI TƯỢNG'!A:J,10,0),"")</f>
        <v>1065615</v>
      </c>
    </row>
    <row r="6" spans="1:9" x14ac:dyDescent="0.3">
      <c r="A6">
        <v>2</v>
      </c>
      <c r="B6" t="s">
        <v>6</v>
      </c>
      <c r="C6" t="s">
        <v>7</v>
      </c>
      <c r="D6" t="str">
        <f t="shared" ref="D6:D68" si="1">A6&amp;". "&amp;B6</f>
        <v>2. V20098</v>
      </c>
      <c r="E6" s="5" t="str">
        <f t="shared" ca="1" si="0"/>
        <v>AIHO FOOD MACHINE (SHANGHAI) CO.LTD</v>
      </c>
      <c r="F6" t="str">
        <f>IFERROR(VLOOKUP(Table1[[#This Row],[Tên đối tượng]],'DANH MỤC ĐỐI TƯỢNG'!A:E,5,0),"")</f>
        <v>158-3 Shumin RD, Songjiang Industry Zone, Shanghai, 201611, China</v>
      </c>
      <c r="G6">
        <f>_xlfn.IFNA(VLOOKUP(Table1[[#This Row],[Tên đối tượng]],'DANH MỤC ĐỐI TƯỢNG'!A:F,6,0),"")</f>
        <v>0</v>
      </c>
      <c r="H6" t="str">
        <f>_xlfn.IFNA(VLOOKUP(Table1[[#This Row],[Tên đối tượng]],'DANH MỤC ĐỐI TƯỢNG'!A:I,9,0),"")</f>
        <v>Bank of China Shanghai Branch Songjiang Sub-Branch</v>
      </c>
      <c r="I6" t="str">
        <f>_xlfn.IFNA(VLOOKUP(Table1[[#This Row],[Tên đối tượng]],'DANH MỤC ĐỐI TƯỢNG'!A:J,10,0),"")</f>
        <v>437759225241</v>
      </c>
    </row>
    <row r="7" spans="1:9" x14ac:dyDescent="0.3">
      <c r="A7">
        <v>3</v>
      </c>
      <c r="B7" t="s">
        <v>8</v>
      </c>
      <c r="C7" t="s">
        <v>9</v>
      </c>
      <c r="D7" t="str">
        <f t="shared" si="1"/>
        <v>3. V20021</v>
      </c>
      <c r="E7" s="5" t="str">
        <f t="shared" ca="1" si="0"/>
        <v>Alpha Kogyo K.K</v>
      </c>
      <c r="F7" t="str">
        <f>IFERROR(VLOOKUP(Table1[[#This Row],[Tên đối tượng]],'DANH MỤC ĐỐI TƯỢNG'!A:E,5,0),"")</f>
        <v>1-1-51 Suehiro-cho, Tsurumi-ku Yokohama, Kanagawa Pref.230-0045 JAPAN</v>
      </c>
      <c r="G7">
        <f>_xlfn.IFNA(VLOOKUP(Table1[[#This Row],[Tên đối tượng]],'DANH MỤC ĐỐI TƯỢNG'!A:F,6,0),"")</f>
        <v>0</v>
      </c>
      <c r="H7" t="str">
        <f>_xlfn.IFNA(VLOOKUP(Table1[[#This Row],[Tên đối tượng]],'DANH MỤC ĐỐI TƯỢNG'!A:I,9,0),"")</f>
        <v>SUMITOMO-MITSUI BANKING CORPORATION, TSURUMI BRANCH</v>
      </c>
      <c r="I7" t="str">
        <f>_xlfn.IFNA(VLOOKUP(Table1[[#This Row],[Tên đối tượng]],'DANH MỤC ĐỐI TƯỢNG'!A:J,10,0),"")</f>
        <v>6821072</v>
      </c>
    </row>
    <row r="8" spans="1:9" x14ac:dyDescent="0.3">
      <c r="A8">
        <v>4</v>
      </c>
      <c r="B8" t="s">
        <v>10</v>
      </c>
      <c r="C8" t="s">
        <v>11</v>
      </c>
      <c r="D8" t="str">
        <f t="shared" si="1"/>
        <v>4. V20005</v>
      </c>
      <c r="E8" s="5" t="str">
        <f t="shared" ca="1" si="0"/>
        <v>Alpha Technologies Japan LLC</v>
      </c>
      <c r="F8" t="str">
        <f>IFERROR(VLOOKUP(Table1[[#This Row],[Tên đối tượng]],'DANH MỤC ĐỐI TƯỢNG'!A:E,5,0),"")</f>
        <v>NSK Building 2-27-3 Tito, Taito-ku, Tokyo 110-0016 Japan</v>
      </c>
      <c r="G8">
        <f>_xlfn.IFNA(VLOOKUP(Table1[[#This Row],[Tên đối tượng]],'DANH MỤC ĐỐI TƯỢNG'!A:F,6,0),"")</f>
        <v>0</v>
      </c>
      <c r="H8" t="str">
        <f>_xlfn.IFNA(VLOOKUP(Table1[[#This Row],[Tên đối tượng]],'DANH MỤC ĐỐI TƯỢNG'!A:I,9,0),"")</f>
        <v>Mizuho Bank Ltd, Kudan Branch</v>
      </c>
      <c r="I8" t="str">
        <f>_xlfn.IFNA(VLOOKUP(Table1[[#This Row],[Tên đối tượng]],'DANH MỤC ĐỐI TƯỢNG'!A:J,10,0),"")</f>
        <v>1025015 (JPY)</v>
      </c>
    </row>
    <row r="9" spans="1:9" x14ac:dyDescent="0.3">
      <c r="A9">
        <v>5</v>
      </c>
      <c r="B9" t="s">
        <v>12</v>
      </c>
      <c r="C9" t="s">
        <v>13</v>
      </c>
      <c r="D9" t="str">
        <f t="shared" si="1"/>
        <v>5. V20135</v>
      </c>
      <c r="E9" s="5" t="str">
        <f t="shared" ca="1" si="0"/>
        <v>Alpha Technologies Services, LLC</v>
      </c>
      <c r="F9" t="str">
        <f>IFERROR(VLOOKUP(Table1[[#This Row],[Tên đối tượng]],'DANH MỤC ĐỐI TƯỢNG'!A:E,5,0),"")</f>
        <v>6279 Hudson Crossing Parkway, Suite 200, Hudson, Ohio 44236 USA</v>
      </c>
      <c r="G9">
        <f>_xlfn.IFNA(VLOOKUP(Table1[[#This Row],[Tên đối tượng]],'DANH MỤC ĐỐI TƯỢNG'!A:F,6,0),"")</f>
        <v>0</v>
      </c>
      <c r="H9" t="str">
        <f>_xlfn.IFNA(VLOOKUP(Table1[[#This Row],[Tên đối tượng]],'DANH MỤC ĐỐI TƯỢNG'!A:I,9,0),"")</f>
        <v>Alpha Technologies Services, LLC</v>
      </c>
      <c r="I9" t="str">
        <f>_xlfn.IFNA(VLOOKUP(Table1[[#This Row],[Tên đối tượng]],'DANH MỤC ĐỐI TƯỢNG'!A:J,10,0),"")</f>
        <v>2000041002793</v>
      </c>
    </row>
    <row r="10" spans="1:9" x14ac:dyDescent="0.3">
      <c r="A10">
        <v>6</v>
      </c>
      <c r="B10" t="s">
        <v>14</v>
      </c>
      <c r="C10" t="s">
        <v>15</v>
      </c>
      <c r="D10" t="str">
        <f t="shared" si="1"/>
        <v>6. V20084</v>
      </c>
      <c r="E10" s="5" t="str">
        <f t="shared" ca="1" si="0"/>
        <v>Amano Thai International Co.,Ltd</v>
      </c>
      <c r="F10" t="str">
        <f>IFERROR(VLOOKUP(Table1[[#This Row],[Tên đối tượng]],'DANH MỤC ĐỐI TƯỢNG'!A:E,5,0),"")</f>
        <v>Room No.3A, 3rd FL., Chai-ho Wong Wai Wit Building, 889 Moo 5, Srinakain Road, T. Somrong-Nua, A.Muang, Samutprakarn 10270</v>
      </c>
      <c r="G10">
        <f>_xlfn.IFNA(VLOOKUP(Table1[[#This Row],[Tên đối tượng]],'DANH MỤC ĐỐI TƯỢNG'!A:F,6,0),"")</f>
        <v>0</v>
      </c>
      <c r="H10" t="str">
        <f>_xlfn.IFNA(VLOOKUP(Table1[[#This Row],[Tên đối tượng]],'DANH MỤC ĐỐI TƯỢNG'!A:I,9,0),"")</f>
        <v>Mizuho Bank Ltd - Bangkok branch</v>
      </c>
      <c r="I10" t="str">
        <f>_xlfn.IFNA(VLOOKUP(Table1[[#This Row],[Tên đối tượng]],'DANH MỤC ĐỐI TƯỢNG'!A:J,10,0),"")</f>
        <v>F-15-764-922908</v>
      </c>
    </row>
    <row r="11" spans="1:9" x14ac:dyDescent="0.3">
      <c r="A11">
        <v>7</v>
      </c>
      <c r="B11" t="s">
        <v>16</v>
      </c>
      <c r="C11" t="s">
        <v>17</v>
      </c>
      <c r="D11" t="str">
        <f t="shared" si="1"/>
        <v>7. V20044</v>
      </c>
      <c r="E11" s="5" t="str">
        <f t="shared" ca="1" si="0"/>
        <v>AOKI Co.,Ltd</v>
      </c>
      <c r="F11" t="str">
        <f>IFERROR(VLOOKUP(Table1[[#This Row],[Tên đối tượng]],'DANH MỤC ĐỐI TƯỢNG'!A:E,5,0),"")</f>
        <v>32-8 5-Chome, Shiba Minato-ku, Tokyo 108-0014 Japan</v>
      </c>
      <c r="G11">
        <f>_xlfn.IFNA(VLOOKUP(Table1[[#This Row],[Tên đối tượng]],'DANH MỤC ĐỐI TƯỢNG'!A:F,6,0),"")</f>
        <v>0</v>
      </c>
      <c r="H11" t="str">
        <f>_xlfn.IFNA(VLOOKUP(Table1[[#This Row],[Tên đối tượng]],'DANH MỤC ĐỐI TƯỢNG'!A:I,9,0),"")</f>
        <v>The Bank of Tokyo-Mitsubishi UFJ Ltd, Tamachi Branch</v>
      </c>
      <c r="I11" t="str">
        <f>_xlfn.IFNA(VLOOKUP(Table1[[#This Row],[Tên đối tượng]],'DANH MỤC ĐỐI TƯỢNG'!A:J,10,0),"")</f>
        <v>0158544</v>
      </c>
    </row>
    <row r="12" spans="1:9" x14ac:dyDescent="0.3">
      <c r="A12">
        <v>8</v>
      </c>
      <c r="B12" t="s">
        <v>18</v>
      </c>
      <c r="C12" t="s">
        <v>19</v>
      </c>
      <c r="D12" t="str">
        <f t="shared" si="1"/>
        <v>8. V20053</v>
      </c>
      <c r="E12" s="5" t="str">
        <f t="shared" ca="1" si="0"/>
        <v>Asahi Kasei Chemicals Corporation</v>
      </c>
      <c r="F12" t="str">
        <f>IFERROR(VLOOKUP(Table1[[#This Row],[Tên đối tượng]],'DANH MỤC ĐỐI TƯỢNG'!A:E,5,0),"")</f>
        <v>1-105 Kanda Jinbocho, Chiyoda-ku, Tokyo 101-8101, Japan</v>
      </c>
      <c r="G12">
        <f>_xlfn.IFNA(VLOOKUP(Table1[[#This Row],[Tên đối tượng]],'DANH MỤC ĐỐI TƯỢNG'!A:F,6,0),"")</f>
        <v>0</v>
      </c>
      <c r="H12" t="str">
        <f>_xlfn.IFNA(VLOOKUP(Table1[[#This Row],[Tên đối tượng]],'DANH MỤC ĐỐI TƯỢNG'!A:I,9,0),"")</f>
        <v>Mizuho Bank, Limited.  Uchisaiwaicho Corporate Banking Division</v>
      </c>
      <c r="I12" t="str">
        <f>_xlfn.IFNA(VLOOKUP(Table1[[#This Row],[Tên đối tượng]],'DANH MỤC ĐỐI TƯỢNG'!A:J,10,0),"")</f>
        <v>1457667</v>
      </c>
    </row>
    <row r="13" spans="1:9" x14ac:dyDescent="0.3">
      <c r="A13">
        <v>9</v>
      </c>
      <c r="B13" t="s">
        <v>20</v>
      </c>
      <c r="C13" t="s">
        <v>21</v>
      </c>
      <c r="D13" t="str">
        <f t="shared" si="1"/>
        <v>9. V20122</v>
      </c>
      <c r="E13" s="5" t="str">
        <f t="shared" ca="1" si="0"/>
        <v>ASAHI KASEI CORPORATION</v>
      </c>
      <c r="F13" t="str">
        <f>IFERROR(VLOOKUP(Table1[[#This Row],[Tên đối tượng]],'DANH MỤC ĐỐI TƯỢNG'!A:E,5,0),"")</f>
        <v>1-1-2 Yurakucho, Chiyoda-ku,Tokyo 100-0006 Japan</v>
      </c>
      <c r="G13">
        <f>_xlfn.IFNA(VLOOKUP(Table1[[#This Row],[Tên đối tượng]],'DANH MỤC ĐỐI TƯỢNG'!A:F,6,0),"")</f>
        <v>0</v>
      </c>
      <c r="H13" t="str">
        <f>_xlfn.IFNA(VLOOKUP(Table1[[#This Row],[Tên đối tượng]],'DANH MỤC ĐỐI TƯỢNG'!A:I,9,0),"")</f>
        <v>MIZUHO BANK , LTD / UCHISAIWAICHO CORPORATE DEPARTMENT</v>
      </c>
      <c r="I13" t="str">
        <f>_xlfn.IFNA(VLOOKUP(Table1[[#This Row],[Tên đối tượng]],'DANH MỤC ĐỐI TƯỢNG'!A:J,10,0),"")</f>
        <v>1457667</v>
      </c>
    </row>
    <row r="14" spans="1:9" x14ac:dyDescent="0.3">
      <c r="A14">
        <v>10</v>
      </c>
      <c r="B14" t="s">
        <v>22</v>
      </c>
      <c r="C14" t="s">
        <v>23</v>
      </c>
      <c r="D14" t="str">
        <f t="shared" si="1"/>
        <v>10. V20121</v>
      </c>
      <c r="E14" s="5" t="str">
        <f t="shared" ca="1" si="0"/>
        <v>Balai Besar Bahan Dan Barang Teknik</v>
      </c>
      <c r="F14" t="str">
        <f>IFERROR(VLOOKUP(Table1[[#This Row],[Tên đối tượng]],'DANH MỤC ĐỐI TƯỢNG'!A:E,5,0),"")</f>
        <v>Jl.Sangkuriang No.14 Bandung 40135 JAWA BARAT - INDONESIA</v>
      </c>
      <c r="G14">
        <f>_xlfn.IFNA(VLOOKUP(Table1[[#This Row],[Tên đối tượng]],'DANH MỤC ĐỐI TƯỢNG'!A:F,6,0),"")</f>
        <v>0</v>
      </c>
      <c r="H14" t="str">
        <f>_xlfn.IFNA(VLOOKUP(Table1[[#This Row],[Tên đối tượng]],'DANH MỤC ĐỐI TƯỢNG'!A:I,9,0),"")</f>
        <v>Bank Negara Indonesia Perguruan Tinggi Bandung</v>
      </c>
      <c r="I14" t="str">
        <f>_xlfn.IFNA(VLOOKUP(Table1[[#This Row],[Tên đối tượng]],'DANH MỤC ĐỐI TƯỢNG'!A:J,10,0),"")</f>
        <v>00.28673883</v>
      </c>
    </row>
    <row r="15" spans="1:9" x14ac:dyDescent="0.3">
      <c r="A15">
        <v>11</v>
      </c>
      <c r="B15" t="s">
        <v>24</v>
      </c>
      <c r="C15" t="s">
        <v>25</v>
      </c>
      <c r="D15" t="str">
        <f t="shared" si="1"/>
        <v>11. V10262</v>
      </c>
      <c r="E15" s="5" t="str">
        <f t="shared" ca="1" si="0"/>
        <v>Ban khách hàng Tổ chức - Doanh nghiệp- CN Tổng công ty Dịch vụ Viễn thông</v>
      </c>
      <c r="F15" t="str">
        <f>IFERROR(VLOOKUP(Table1[[#This Row],[Tên đối tượng]],'DANH MỤC ĐỐI TƯỢNG'!A:E,5,0),"")</f>
        <v>Số 216 Trần Duy Hưng, P.Trung Hòa, Q.Cầu giấy, Hà nội</v>
      </c>
      <c r="G15" t="str">
        <f>_xlfn.IFNA(VLOOKUP(Table1[[#This Row],[Tên đối tượng]],'DANH MỤC ĐỐI TƯỢNG'!A:F,6,0),"")</f>
        <v>0106869738-004</v>
      </c>
      <c r="H15" t="str">
        <f>_xlfn.IFNA(VLOOKUP(Table1[[#This Row],[Tên đối tượng]],'DANH MỤC ĐỐI TƯỢNG'!A:I,9,0),"")</f>
        <v>Ngân hàng NN &amp; PT nông thôn Việt Nam - CN Long Biên</v>
      </c>
      <c r="I15" t="str">
        <f>_xlfn.IFNA(VLOOKUP(Table1[[#This Row],[Tên đối tượng]],'DANH MỤC ĐỐI TƯỢNG'!A:J,10,0),"")</f>
        <v>1220202011555</v>
      </c>
    </row>
    <row r="16" spans="1:9" x14ac:dyDescent="0.3">
      <c r="A16">
        <v>12</v>
      </c>
      <c r="B16" t="s">
        <v>26</v>
      </c>
      <c r="C16" t="s">
        <v>27</v>
      </c>
      <c r="D16" t="str">
        <f t="shared" si="1"/>
        <v>12. V10243</v>
      </c>
      <c r="E16" s="5" t="str">
        <f t="shared" ca="1" si="0"/>
        <v>Báo Hải Phòng</v>
      </c>
      <c r="F16" t="str">
        <f>IFERROR(VLOOKUP(Table1[[#This Row],[Tên đối tượng]],'DANH MỤC ĐỐI TƯỢNG'!A:E,5,0),"")</f>
        <v>Số 8 Đà Nẵng, Ngô Quyền, Hải Phòng</v>
      </c>
      <c r="G16" t="str">
        <f>_xlfn.IFNA(VLOOKUP(Table1[[#This Row],[Tên đối tượng]],'DANH MỤC ĐỐI TƯỢNG'!A:F,6,0),"")</f>
        <v>0200125302</v>
      </c>
      <c r="H16" t="str">
        <f>_xlfn.IFNA(VLOOKUP(Table1[[#This Row],[Tên đối tượng]],'DANH MỤC ĐỐI TƯỢNG'!A:I,9,0),"")</f>
        <v>TMCP Công Thương Việt Nam - CN Ngô Quyền</v>
      </c>
      <c r="I16" t="str">
        <f>_xlfn.IFNA(VLOOKUP(Table1[[#This Row],[Tên đối tượng]],'DANH MỤC ĐỐI TƯỢNG'!A:J,10,0),"")</f>
        <v>102010001396249</v>
      </c>
    </row>
    <row r="17" spans="1:9" x14ac:dyDescent="0.3">
      <c r="A17">
        <v>13</v>
      </c>
      <c r="B17" t="s">
        <v>28</v>
      </c>
      <c r="C17" t="s">
        <v>29</v>
      </c>
      <c r="D17" t="str">
        <f t="shared" si="1"/>
        <v>13. V20055</v>
      </c>
      <c r="E17" s="5" t="str">
        <f t="shared" ca="1" si="0"/>
        <v>Bekaert (Huizhou) Steel Cord Co.,Ltd</v>
      </c>
      <c r="F17" t="str">
        <f>IFERROR(VLOOKUP(Table1[[#This Row],[Tên đối tượng]],'DANH MỤC ĐỐI TƯỢNG'!A:E,5,0),"")</f>
        <v>No.3, Taixiang Road, Sandong Digital Ind.Park, Huicheng Area 516025 Huizhou city,P.R.CHINA</v>
      </c>
      <c r="G17">
        <f>_xlfn.IFNA(VLOOKUP(Table1[[#This Row],[Tên đối tượng]],'DANH MỤC ĐỐI TƯỢNG'!A:F,6,0),"")</f>
        <v>0</v>
      </c>
      <c r="H17" t="str">
        <f>_xlfn.IFNA(VLOOKUP(Table1[[#This Row],[Tên đối tượng]],'DANH MỤC ĐỐI TƯỢNG'!A:I,9,0),"")</f>
        <v>INDUSTRIAL &amp; COMMERCIAL BANK OF CHINA HUIZHOU CITY JIANGNAN BR.</v>
      </c>
      <c r="I17" t="str">
        <f>_xlfn.IFNA(VLOOKUP(Table1[[#This Row],[Tên đối tượng]],'DANH MỤC ĐỐI TƯỢNG'!A:J,10,0),"")</f>
        <v>2008021619200241111</v>
      </c>
    </row>
    <row r="18" spans="1:9" x14ac:dyDescent="0.3">
      <c r="A18">
        <v>14</v>
      </c>
      <c r="B18" t="s">
        <v>30</v>
      </c>
      <c r="C18" t="s">
        <v>31</v>
      </c>
      <c r="D18" t="str">
        <f t="shared" si="1"/>
        <v>14. V10263</v>
      </c>
      <c r="E18" s="5" t="str">
        <f t="shared" ca="1" si="0"/>
        <v>Bệnh viện Đại học Y Hải Phòng</v>
      </c>
      <c r="F18" t="str">
        <f>IFERROR(VLOOKUP(Table1[[#This Row],[Tên đối tượng]],'DANH MỤC ĐỐI TƯỢNG'!A:E,5,0),"")</f>
        <v>Số 225C đường Lạch Tray, quận Ngô Quyền, TP. Hải Phòng</v>
      </c>
      <c r="G18" t="str">
        <f>_xlfn.IFNA(VLOOKUP(Table1[[#This Row],[Tên đối tượng]],'DANH MỤC ĐỐI TƯỢNG'!A:F,6,0),"")</f>
        <v>0200926486-001</v>
      </c>
      <c r="H18" t="str">
        <f>_xlfn.IFNA(VLOOKUP(Table1[[#This Row],[Tên đối tượng]],'DANH MỤC ĐỐI TƯỢNG'!A:I,9,0),"")</f>
        <v>Ngân hàng TMCP Công thương, chi nhánh Tô Hiệu - Hải Phòng</v>
      </c>
      <c r="I18" t="str">
        <f>_xlfn.IFNA(VLOOKUP(Table1[[#This Row],[Tên đối tượng]],'DANH MỤC ĐỐI TƯỢNG'!A:J,10,0),"")</f>
        <v>102010001109315</v>
      </c>
    </row>
    <row r="19" spans="1:9" x14ac:dyDescent="0.3">
      <c r="A19">
        <v>15</v>
      </c>
      <c r="B19" t="s">
        <v>32</v>
      </c>
      <c r="C19" t="s">
        <v>33</v>
      </c>
      <c r="D19" t="str">
        <f t="shared" si="1"/>
        <v>15. 353600</v>
      </c>
      <c r="E19" s="5" t="str">
        <f t="shared" ca="1" si="0"/>
        <v>Bridgestone (Hui Zhou) Tire Co., ltd</v>
      </c>
      <c r="F19" t="str">
        <f>IFERROR(VLOOKUP(Table1[[#This Row],[Tên đối tượng]],'DANH MỤC ĐỐI TƯỢNG'!A:E,5,0),"")</f>
        <v>No. 1 Huitai Road Huinan High-Tech Industrial Park, HuiZhou Guangdong, China</v>
      </c>
      <c r="G19">
        <f>_xlfn.IFNA(VLOOKUP(Table1[[#This Row],[Tên đối tượng]],'DANH MỤC ĐỐI TƯỢNG'!A:F,6,0),"")</f>
        <v>0</v>
      </c>
      <c r="H19">
        <f>_xlfn.IFNA(VLOOKUP(Table1[[#This Row],[Tên đối tượng]],'DANH MỤC ĐỐI TƯỢNG'!A:I,9,0),"")</f>
        <v>0</v>
      </c>
      <c r="I19">
        <f>_xlfn.IFNA(VLOOKUP(Table1[[#This Row],[Tên đối tượng]],'DANH MỤC ĐỐI TƯỢNG'!A:J,10,0),"")</f>
        <v>0</v>
      </c>
    </row>
    <row r="20" spans="1:9" x14ac:dyDescent="0.3">
      <c r="A20">
        <v>16</v>
      </c>
      <c r="B20" t="s">
        <v>34</v>
      </c>
      <c r="C20" t="s">
        <v>35</v>
      </c>
      <c r="D20" t="str">
        <f t="shared" si="1"/>
        <v>16. 355000</v>
      </c>
      <c r="E20" s="5" t="str">
        <f t="shared" ca="1" si="0"/>
        <v>BRIDGESTONE ASIA PACIFIC PTE LTD</v>
      </c>
      <c r="F20" t="str">
        <f>IFERROR(VLOOKUP(Table1[[#This Row],[Tên đối tượng]],'DANH MỤC ĐỐI TƯỢNG'!A:E,5,0),"")</f>
        <v>83 Clemenceau Avenue #08-01/08 UE Square Singapore 239920</v>
      </c>
      <c r="G20">
        <f>_xlfn.IFNA(VLOOKUP(Table1[[#This Row],[Tên đối tượng]],'DANH MỤC ĐỐI TƯỢNG'!A:F,6,0),"")</f>
        <v>0</v>
      </c>
      <c r="H20" t="str">
        <f>_xlfn.IFNA(VLOOKUP(Table1[[#This Row],[Tên đối tượng]],'DANH MỤC ĐỐI TƯỢNG'!A:I,9,0),"")</f>
        <v>MUFG Bank, Ltd</v>
      </c>
      <c r="I20" t="str">
        <f>_xlfn.IFNA(VLOOKUP(Table1[[#This Row],[Tên đối tượng]],'DANH MỤC ĐỐI TƯỢNG'!A:J,10,0),"")</f>
        <v>198353</v>
      </c>
    </row>
    <row r="21" spans="1:9" x14ac:dyDescent="0.3">
      <c r="A21">
        <v>17</v>
      </c>
      <c r="B21">
        <v>355002</v>
      </c>
      <c r="C21" t="s">
        <v>36</v>
      </c>
      <c r="D21" t="str">
        <f t="shared" si="1"/>
        <v>17. 355002</v>
      </c>
      <c r="E21" s="5" t="str">
        <f t="shared" ca="1" si="0"/>
        <v>Bridgestone Asia Pacific Technology Center Co., Ltd.</v>
      </c>
      <c r="F21" t="str">
        <f>IFERROR(VLOOKUP(Table1[[#This Row],[Tên đối tượng]],'DANH MỤC ĐỐI TƯỢNG'!A:E,5,0),"")</f>
        <v>No. 113, Moo 18, Klong Nueng, Klong Luang, Pathumthani Province, Thailand</v>
      </c>
      <c r="G21">
        <f>_xlfn.IFNA(VLOOKUP(Table1[[#This Row],[Tên đối tượng]],'DANH MỤC ĐỐI TƯỢNG'!A:F,6,0),"")</f>
        <v>0</v>
      </c>
      <c r="H21">
        <f>_xlfn.IFNA(VLOOKUP(Table1[[#This Row],[Tên đối tượng]],'DANH MỤC ĐỐI TƯỢNG'!A:I,9,0),"")</f>
        <v>0</v>
      </c>
      <c r="I21">
        <f>_xlfn.IFNA(VLOOKUP(Table1[[#This Row],[Tên đối tượng]],'DANH MỤC ĐỐI TƯỢNG'!A:J,10,0),"")</f>
        <v>0</v>
      </c>
    </row>
    <row r="22" spans="1:9" x14ac:dyDescent="0.3">
      <c r="A22">
        <v>18</v>
      </c>
      <c r="B22" t="s">
        <v>37</v>
      </c>
      <c r="C22" t="s">
        <v>38</v>
      </c>
      <c r="D22" t="str">
        <f t="shared" si="1"/>
        <v>18. 100000</v>
      </c>
      <c r="E22" s="5" t="str">
        <f t="shared" ca="1" si="0"/>
        <v>Bridgestone Corporation</v>
      </c>
      <c r="F22" t="str">
        <f>IFERROR(VLOOKUP(Table1[[#This Row],[Tên đối tượng]],'DANH MỤC ĐỐI TƯỢNG'!A:E,5,0),"")</f>
        <v>1-1 Kyobashi, 3-Chome, Chuo-ku, Tokyo 104-8340, Japan</v>
      </c>
      <c r="G22">
        <f>_xlfn.IFNA(VLOOKUP(Table1[[#This Row],[Tên đối tượng]],'DANH MỤC ĐỐI TƯỢNG'!A:F,6,0),"")</f>
        <v>0</v>
      </c>
      <c r="H22" t="str">
        <f>_xlfn.IFNA(VLOOKUP(Table1[[#This Row],[Tên đối tượng]],'DANH MỤC ĐỐI TƯỢNG'!A:I,9,0),"")</f>
        <v>The bank of Tokyo-Mitsubishi UFJ, Ltd - Head Office</v>
      </c>
      <c r="I22" t="str">
        <f>_xlfn.IFNA(VLOOKUP(Table1[[#This Row],[Tên đối tượng]],'DANH MỤC ĐỐI TƯỢNG'!A:J,10,0),"")</f>
        <v>0150490</v>
      </c>
    </row>
    <row r="23" spans="1:9" x14ac:dyDescent="0.3">
      <c r="A23">
        <v>19</v>
      </c>
      <c r="B23" t="s">
        <v>39</v>
      </c>
      <c r="C23" t="s">
        <v>40</v>
      </c>
      <c r="D23" t="str">
        <f t="shared" si="1"/>
        <v>19. 316800</v>
      </c>
      <c r="E23" s="5" t="str">
        <f t="shared" ca="1" si="0"/>
        <v>Bridgestone Engineered Products of Asia Sdn. Bhd.</v>
      </c>
      <c r="F23" t="str">
        <f>IFERROR(VLOOKUP(Table1[[#This Row],[Tên đối tượng]],'DANH MỤC ĐỐI TƯỢNG'!A:E,5,0),"")</f>
        <v>L2-E-9, Enterprise 4, Technology Park Malaysia, Lebuhraya Puchong-Sg. Besi, Bukit Jalil, 57000 Kuala Lumpur, Malaysia</v>
      </c>
      <c r="G23">
        <f>_xlfn.IFNA(VLOOKUP(Table1[[#This Row],[Tên đối tượng]],'DANH MỤC ĐỐI TƯỢNG'!A:F,6,0),"")</f>
        <v>0</v>
      </c>
      <c r="H23" t="str">
        <f>_xlfn.IFNA(VLOOKUP(Table1[[#This Row],[Tên đối tượng]],'DANH MỤC ĐỐI TƯỢNG'!A:I,9,0),"")</f>
        <v>Sumitomo Mitsui Banking Corporation Malaysia Berhad</v>
      </c>
      <c r="I23" t="str">
        <f>_xlfn.IFNA(VLOOKUP(Table1[[#This Row],[Tên đối tượng]],'DANH MỤC ĐỐI TƯỢNG'!A:J,10,0),"")</f>
        <v>10004001</v>
      </c>
    </row>
    <row r="24" spans="1:9" x14ac:dyDescent="0.3">
      <c r="A24">
        <v>20</v>
      </c>
      <c r="B24" t="s">
        <v>41</v>
      </c>
      <c r="C24" t="s">
        <v>42</v>
      </c>
      <c r="D24" t="str">
        <f t="shared" si="1"/>
        <v>20. 350700</v>
      </c>
      <c r="E24" s="5" t="str">
        <f t="shared" ca="1" si="0"/>
        <v>Bridgestone India Private Limited</v>
      </c>
      <c r="F24" t="str">
        <f>IFERROR(VLOOKUP(Table1[[#This Row],[Tên đối tượng]],'DANH MỤC ĐỐI TƯỢNG'!A:E,5,0),"")</f>
        <v>Chakan, Village Sawardari,  Plot No.A-43, Phase II, MIDC,  Pune, India</v>
      </c>
      <c r="G24">
        <f>_xlfn.IFNA(VLOOKUP(Table1[[#This Row],[Tên đối tượng]],'DANH MỤC ĐỐI TƯỢNG'!A:F,6,0),"")</f>
        <v>0</v>
      </c>
      <c r="H24" t="str">
        <f>_xlfn.IFNA(VLOOKUP(Table1[[#This Row],[Tên đối tượng]],'DANH MỤC ĐỐI TƯỢNG'!A:I,9,0),"")</f>
        <v>IDBI Bank Limited-Corporate Banking Group-Trade Finance dept</v>
      </c>
      <c r="I24" t="str">
        <f>_xlfn.IFNA(VLOOKUP(Table1[[#This Row],[Tên đối tượng]],'DANH MỤC ĐỐI TƯỢNG'!A:J,10,0),"")</f>
        <v>0163502019100</v>
      </c>
    </row>
    <row r="25" spans="1:9" x14ac:dyDescent="0.3">
      <c r="A25">
        <v>21</v>
      </c>
      <c r="B25" t="s">
        <v>43</v>
      </c>
      <c r="C25" t="s">
        <v>44</v>
      </c>
      <c r="D25" t="str">
        <f t="shared" si="1"/>
        <v>21. 971081</v>
      </c>
      <c r="E25" s="5" t="str">
        <f t="shared" ca="1" si="0"/>
        <v>Bridgestone Logistics Co., Ltd</v>
      </c>
      <c r="F25" t="str">
        <f>IFERROR(VLOOKUP(Table1[[#This Row],[Tên đối tượng]],'DANH MỤC ĐỐI TƯỢNG'!A:E,5,0),"")</f>
        <v>2XXTOMAKOMAI</v>
      </c>
      <c r="G25">
        <f>_xlfn.IFNA(VLOOKUP(Table1[[#This Row],[Tên đối tượng]],'DANH MỤC ĐỐI TƯỢNG'!A:F,6,0),"")</f>
        <v>0</v>
      </c>
      <c r="H25">
        <f>_xlfn.IFNA(VLOOKUP(Table1[[#This Row],[Tên đối tượng]],'DANH MỤC ĐỐI TƯỢNG'!A:I,9,0),"")</f>
        <v>0</v>
      </c>
      <c r="I25">
        <f>_xlfn.IFNA(VLOOKUP(Table1[[#This Row],[Tên đối tượng]],'DANH MỤC ĐỐI TƯỢNG'!A:J,10,0),"")</f>
        <v>0</v>
      </c>
    </row>
    <row r="26" spans="1:9" x14ac:dyDescent="0.3">
      <c r="A26">
        <v>22</v>
      </c>
      <c r="B26" t="s">
        <v>45</v>
      </c>
      <c r="C26" t="s">
        <v>46</v>
      </c>
      <c r="D26" t="str">
        <f t="shared" si="1"/>
        <v>22. 520200</v>
      </c>
      <c r="E26" s="5" t="str">
        <f t="shared" ca="1" si="0"/>
        <v>Bridgestone Plant Engineering Co.,LTD</v>
      </c>
      <c r="F26" t="str">
        <f>IFERROR(VLOOKUP(Table1[[#This Row],[Tên đối tượng]],'DANH MỤC ĐỐI TƯỢNG'!A:E,5,0),"")</f>
        <v>1913, Nagayatsu, Yoshimi-machi Hiki-gun Saitama-prefecture -355-0156 Japan</v>
      </c>
      <c r="G26">
        <f>_xlfn.IFNA(VLOOKUP(Table1[[#This Row],[Tên đối tượng]],'DANH MỤC ĐỐI TƯỢNG'!A:F,6,0),"")</f>
        <v>0</v>
      </c>
      <c r="H26" t="str">
        <f>_xlfn.IFNA(VLOOKUP(Table1[[#This Row],[Tên đối tượng]],'DANH MỤC ĐỐI TƯỢNG'!A:I,9,0),"")</f>
        <v>Mizuho bank, Ltd.,- Tokorozawa Branch</v>
      </c>
      <c r="I26" t="str">
        <f>_xlfn.IFNA(VLOOKUP(Table1[[#This Row],[Tên đối tượng]],'DANH MỤC ĐỐI TƯỢNG'!A:J,10,0),"")</f>
        <v>558-0100122</v>
      </c>
    </row>
    <row r="27" spans="1:9" x14ac:dyDescent="0.3">
      <c r="A27">
        <v>23</v>
      </c>
      <c r="B27" t="s">
        <v>47</v>
      </c>
      <c r="C27" t="s">
        <v>48</v>
      </c>
      <c r="D27" t="str">
        <f t="shared" si="1"/>
        <v>23. 101463</v>
      </c>
      <c r="E27" s="5" t="str">
        <f t="shared" ca="1" si="0"/>
        <v>Bridgestone Singapore Pte Ltd.</v>
      </c>
      <c r="F27" t="str">
        <f>IFERROR(VLOOKUP(Table1[[#This Row],[Tên đối tượng]],'DANH MỤC ĐỐI TƯỢNG'!A:E,5,0),"")</f>
        <v>16 Raffles Quay #32-01 Hong Leong Building Singapore 048581</v>
      </c>
      <c r="G27">
        <f>_xlfn.IFNA(VLOOKUP(Table1[[#This Row],[Tên đối tượng]],'DANH MỤC ĐỐI TƯỢNG'!A:F,6,0),"")</f>
        <v>0</v>
      </c>
      <c r="H27" t="str">
        <f>_xlfn.IFNA(VLOOKUP(Table1[[#This Row],[Tên đối tượng]],'DANH MỤC ĐỐI TƯỢNG'!A:I,9,0),"")</f>
        <v>The Bank of Tokyo - Mitsubishi UFJ, Ltd. Singapore</v>
      </c>
      <c r="I27" t="str">
        <f>_xlfn.IFNA(VLOOKUP(Table1[[#This Row],[Tên đối tượng]],'DANH MỤC ĐỐI TƯỢNG'!A:J,10,0),"")</f>
        <v>033054</v>
      </c>
    </row>
    <row r="28" spans="1:9" x14ac:dyDescent="0.3">
      <c r="A28">
        <v>24</v>
      </c>
      <c r="B28" t="s">
        <v>49</v>
      </c>
      <c r="C28" t="s">
        <v>50</v>
      </c>
      <c r="D28" t="str">
        <f t="shared" si="1"/>
        <v>24. 310300</v>
      </c>
      <c r="E28" s="5" t="str">
        <f t="shared" ca="1" si="0"/>
        <v>Bridgestone Sports Co., Ltd</v>
      </c>
      <c r="F28" t="str">
        <f>IFERROR(VLOOKUP(Table1[[#This Row],[Tên đối tượng]],'DANH MỤC ĐỐI TƯỢNG'!A:E,5,0),"")</f>
        <v>World Trade Center Building 2-1-1 Hamamatsu-cho, Minato-ku, Tokyo 105-6127, Japan</v>
      </c>
      <c r="G28">
        <f>_xlfn.IFNA(VLOOKUP(Table1[[#This Row],[Tên đối tượng]],'DANH MỤC ĐỐI TƯỢNG'!A:F,6,0),"")</f>
        <v>0</v>
      </c>
      <c r="H28" t="str">
        <f>_xlfn.IFNA(VLOOKUP(Table1[[#This Row],[Tên đối tượng]],'DANH MỤC ĐỐI TƯỢNG'!A:I,9,0),"")</f>
        <v>Mizuho Bank,Ltd. Otemachi Corporate Banking Division-Tokyo,Japan</v>
      </c>
      <c r="I28" t="str">
        <f>_xlfn.IFNA(VLOOKUP(Table1[[#This Row],[Tên đối tượng]],'DANH MỤC ĐỐI TƯỢNG'!A:J,10,0),"")</f>
        <v>24302</v>
      </c>
    </row>
    <row r="29" spans="1:9" x14ac:dyDescent="0.3">
      <c r="A29">
        <v>25</v>
      </c>
      <c r="B29" t="s">
        <v>51</v>
      </c>
      <c r="C29" t="s">
        <v>52</v>
      </c>
      <c r="D29" t="str">
        <f t="shared" si="1"/>
        <v>25. 350300</v>
      </c>
      <c r="E29" s="5" t="str">
        <f t="shared" ca="1" si="0"/>
        <v>Bridgestone Taiwan Co., Ltd</v>
      </c>
      <c r="F29" t="str">
        <f>IFERROR(VLOOKUP(Table1[[#This Row],[Tên đối tượng]],'DANH MỤC ĐỐI TƯỢNG'!A:E,5,0),"")</f>
        <v>No 1, Chuang Ching Road, Hsin-Chu Ind Zone, Hsin-Chu, Taiwan</v>
      </c>
      <c r="G29">
        <f>_xlfn.IFNA(VLOOKUP(Table1[[#This Row],[Tên đối tượng]],'DANH MỤC ĐỐI TƯỢNG'!A:F,6,0),"")</f>
        <v>0</v>
      </c>
      <c r="H29" t="str">
        <f>_xlfn.IFNA(VLOOKUP(Table1[[#This Row],[Tên đối tượng]],'DANH MỤC ĐỐI TƯỢNG'!A:I,9,0),"")</f>
        <v>Mizuho Corporate Bank, Ltd, Taipei Branch</v>
      </c>
      <c r="I29" t="str">
        <f>_xlfn.IFNA(VLOOKUP(Table1[[#This Row],[Tên đối tượng]],'DANH MỤC ĐỐI TƯỢNG'!A:J,10,0),"")</f>
        <v>001-001-0150285-3</v>
      </c>
    </row>
    <row r="30" spans="1:9" x14ac:dyDescent="0.3">
      <c r="A30">
        <v>26</v>
      </c>
      <c r="B30" t="s">
        <v>53</v>
      </c>
      <c r="C30" t="s">
        <v>54</v>
      </c>
      <c r="D30" t="str">
        <f t="shared" si="1"/>
        <v>26. 351700</v>
      </c>
      <c r="E30" s="5" t="str">
        <f t="shared" ca="1" si="0"/>
        <v>Bridgestone Tire Manufacturing Thailand Co.,Ltd</v>
      </c>
      <c r="F30" t="str">
        <f>IFERROR(VLOOKUP(Table1[[#This Row],[Tên đối tượng]],'DANH MỤC ĐỐI TƯỢNG'!A:E,5,0),"")</f>
        <v>700/622 Moo 4 Tambon Bankao Amphur Panthong, Chonburi 20160</v>
      </c>
      <c r="G30">
        <f>_xlfn.IFNA(VLOOKUP(Table1[[#This Row],[Tên đối tượng]],'DANH MỤC ĐỐI TƯỢNG'!A:F,6,0),"")</f>
        <v>0</v>
      </c>
      <c r="H30" t="str">
        <f>_xlfn.IFNA(VLOOKUP(Table1[[#This Row],[Tên đối tượng]],'DANH MỤC ĐỐI TƯỢNG'!A:I,9,0),"")</f>
        <v>The Bank of Tokyo-Mitsubishi UFJ, Ltd - Bangkok Branch</v>
      </c>
      <c r="I30" t="str">
        <f>_xlfn.IFNA(VLOOKUP(Table1[[#This Row],[Tên đối tượng]],'DANH MỤC ĐỐI TƯỢNG'!A:J,10,0),"")</f>
        <v>2100818534</v>
      </c>
    </row>
    <row r="31" spans="1:9" x14ac:dyDescent="0.3">
      <c r="A31">
        <v>27</v>
      </c>
      <c r="B31" t="s">
        <v>55</v>
      </c>
      <c r="C31" t="s">
        <v>56</v>
      </c>
      <c r="D31" t="str">
        <f t="shared" si="1"/>
        <v>27. 353400</v>
      </c>
      <c r="E31" s="5" t="str">
        <f t="shared" ca="1" si="0"/>
        <v>Bridgestone(Wuxi) Tire Co.,Ltd</v>
      </c>
      <c r="F31" t="str">
        <f>IFERROR(VLOOKUP(Table1[[#This Row],[Tên đối tượng]],'DANH MỤC ĐỐI TƯỢNG'!A:E,5,0),"")</f>
        <v>No.119A,Wuxi National High &amp; New Tech Industrial Development zone,Wuxi,Jiangsu,China</v>
      </c>
      <c r="G31">
        <f>_xlfn.IFNA(VLOOKUP(Table1[[#This Row],[Tên đối tượng]],'DANH MỤC ĐỐI TƯỢNG'!A:F,6,0),"")</f>
        <v>0</v>
      </c>
      <c r="H31" t="str">
        <f>_xlfn.IFNA(VLOOKUP(Table1[[#This Row],[Tên đối tượng]],'DANH MỤC ĐỐI TƯỢNG'!A:I,9,0),"")</f>
        <v>Mizuho Bank.,Ltd</v>
      </c>
      <c r="I31">
        <f>_xlfn.IFNA(VLOOKUP(Table1[[#This Row],[Tên đối tượng]],'DANH MỤC ĐỐI TƯỢNG'!A:J,10,0),"")</f>
        <v>0</v>
      </c>
    </row>
    <row r="32" spans="1:9" x14ac:dyDescent="0.3">
      <c r="A32">
        <v>28</v>
      </c>
      <c r="B32" t="s">
        <v>57</v>
      </c>
      <c r="C32" t="s">
        <v>58</v>
      </c>
      <c r="D32" t="str">
        <f t="shared" si="1"/>
        <v>28. V20026</v>
      </c>
      <c r="E32" s="5" t="str">
        <f t="shared" ca="1" si="0"/>
        <v>BST Elastomers Co.,Ltd</v>
      </c>
      <c r="F32" t="str">
        <f>IFERROR(VLOOKUP(Table1[[#This Row],[Tên đối tượng]],'DANH MỤC ĐỐI TƯỢNG'!A:E,5,0),"")</f>
        <v>22nd FL.,Sathorn City Tower, 175 South Sathorn RD., Tungmahamek. Bangkok 10120, Thailand</v>
      </c>
      <c r="G32" t="str">
        <f>_xlfn.IFNA(VLOOKUP(Table1[[#This Row],[Tên đối tượng]],'DANH MỤC ĐỐI TƯỢNG'!A:F,6,0),"")</f>
        <v>S.code:KASITHBK</v>
      </c>
      <c r="H32" t="str">
        <f>_xlfn.IFNA(VLOOKUP(Table1[[#This Row],[Tên đối tượng]],'DANH MỤC ĐỐI TƯỢNG'!A:I,9,0),"")</f>
        <v>Kasikornbank Public Co.,Ltd-Thanon Sathorn Branch</v>
      </c>
      <c r="I32" t="str">
        <f>_xlfn.IFNA(VLOOKUP(Table1[[#This Row],[Tên đối tượng]],'DANH MỤC ĐỐI TƯỢNG'!A:J,10,0),"")</f>
        <v>038-2-79954-2</v>
      </c>
    </row>
    <row r="33" spans="1:9" x14ac:dyDescent="0.3">
      <c r="A33">
        <v>29</v>
      </c>
      <c r="B33" t="s">
        <v>59</v>
      </c>
      <c r="C33" t="s">
        <v>60</v>
      </c>
      <c r="D33" t="str">
        <f t="shared" si="1"/>
        <v>29. V10180</v>
      </c>
      <c r="E33" s="5" t="str">
        <f t="shared" ca="1" si="0"/>
        <v>Công ty Nippon Express Co.,LTD-Thầu chính thực hiện gói thầu lắp đặt TB cho nhà máy sx lốp xe Bridgestone</v>
      </c>
      <c r="F33" t="str">
        <f>IFERROR(VLOOKUP(Table1[[#This Row],[Tên đối tượng]],'DANH MỤC ĐỐI TƯỢNG'!A:E,5,0),"")</f>
        <v>Lô CN3.6-CN4.1, khu công nghiệp Đình Vũ, phường Đông Hải 2, Hải An, Hải Phòng</v>
      </c>
      <c r="G33" t="str">
        <f>_xlfn.IFNA(VLOOKUP(Table1[[#This Row],[Tên đối tượng]],'DANH MỤC ĐỐI TƯỢNG'!A:F,6,0),"")</f>
        <v>0201289078</v>
      </c>
      <c r="H33" t="str">
        <f>_xlfn.IFNA(VLOOKUP(Table1[[#This Row],[Tên đối tượng]],'DANH MỤC ĐỐI TƯỢNG'!A:I,9,0),"")</f>
        <v>Sumitomo Mitsui Banking Corporation - Hanoi Branch</v>
      </c>
      <c r="I33" t="str">
        <f>_xlfn.IFNA(VLOOKUP(Table1[[#This Row],[Tên đối tượng]],'DANH MỤC ĐỐI TƯỢNG'!A:J,10,0),"")</f>
        <v>100 412 00</v>
      </c>
    </row>
    <row r="34" spans="1:9" x14ac:dyDescent="0.3">
      <c r="A34">
        <v>30</v>
      </c>
      <c r="B34" t="s">
        <v>61</v>
      </c>
      <c r="C34" t="s">
        <v>62</v>
      </c>
      <c r="D34" t="str">
        <f t="shared" si="1"/>
        <v>30. V20070</v>
      </c>
      <c r="E34" s="5" t="str">
        <f t="shared" ca="1" si="0"/>
        <v>CG Engineering Ltd.,Part</v>
      </c>
      <c r="F34" t="str">
        <f>IFERROR(VLOOKUP(Table1[[#This Row],[Tên đối tượng]],'DANH MỤC ĐỐI TƯỢNG'!A:E,5,0),"")</f>
        <v>109/58 Soi Lardprao 18 Lardprao Road Jompol Chatuchak Bangkok 10900 Thailand</v>
      </c>
      <c r="G34">
        <f>_xlfn.IFNA(VLOOKUP(Table1[[#This Row],[Tên đối tượng]],'DANH MỤC ĐỐI TƯỢNG'!A:F,6,0),"")</f>
        <v>0</v>
      </c>
      <c r="H34" t="str">
        <f>_xlfn.IFNA(VLOOKUP(Table1[[#This Row],[Tên đối tượng]],'DANH MỤC ĐỐI TƯỢNG'!A:I,9,0),"")</f>
        <v>United Overseas Bank (Thai) Public Company Limited</v>
      </c>
      <c r="I34" t="str">
        <f>_xlfn.IFNA(VLOOKUP(Table1[[#This Row],[Tên đối tượng]],'DANH MỤC ĐỐI TƯỢNG'!A:J,10,0),"")</f>
        <v>7981638836</v>
      </c>
    </row>
    <row r="35" spans="1:9" x14ac:dyDescent="0.3">
      <c r="A35">
        <v>31</v>
      </c>
      <c r="B35" t="s">
        <v>63</v>
      </c>
      <c r="C35" t="s">
        <v>64</v>
      </c>
      <c r="D35" t="str">
        <f t="shared" si="1"/>
        <v>31. V10289</v>
      </c>
      <c r="E35" s="5" t="str">
        <f t="shared" ca="1" si="0"/>
        <v>Chi nhánh công ty cổ phần bệnh viện Tâm Phúc - Trung tâm dịch vụ y tế Hải Phòng</v>
      </c>
      <c r="F35" t="str">
        <f>IFERROR(VLOOKUP(Table1[[#This Row],[Tên đối tượng]],'DANH MỤC ĐỐI TƯỢNG'!A:E,5,0),"")</f>
        <v>Số 33 Kỳ Đồng, Phường Quang Trung Quận Hồng Bàng thành phố Hải Phòng, Việt Nam</v>
      </c>
      <c r="G35">
        <f>_xlfn.IFNA(VLOOKUP(Table1[[#This Row],[Tên đối tượng]],'DANH MỤC ĐỐI TƯỢNG'!A:F,6,0),"")</f>
        <v>0</v>
      </c>
      <c r="H35">
        <f>_xlfn.IFNA(VLOOKUP(Table1[[#This Row],[Tên đối tượng]],'DANH MỤC ĐỐI TƯỢNG'!A:I,9,0),"")</f>
        <v>0</v>
      </c>
      <c r="I35">
        <f>_xlfn.IFNA(VLOOKUP(Table1[[#This Row],[Tên đối tượng]],'DANH MỤC ĐỐI TƯỢNG'!A:J,10,0),"")</f>
        <v>0</v>
      </c>
    </row>
    <row r="36" spans="1:9" x14ac:dyDescent="0.3">
      <c r="A36">
        <v>32</v>
      </c>
      <c r="B36" t="s">
        <v>65</v>
      </c>
      <c r="C36" t="s">
        <v>66</v>
      </c>
      <c r="D36" t="str">
        <f t="shared" si="1"/>
        <v>32. V10016</v>
      </c>
      <c r="E36" s="5" t="str">
        <f t="shared" ca="1" si="0"/>
        <v>Công ty cổ phần Nippon Sanso Việt Nam- Chi nhánh Hà Nội</v>
      </c>
      <c r="F36" t="str">
        <f>IFERROR(VLOOKUP(Table1[[#This Row],[Tên đối tượng]],'DANH MỤC ĐỐI TƯỢNG'!A:E,5,0),"")</f>
        <v>Tầng 11, Tòa nhà Prime Centre, 53 đường Quang Trung, Phường Nguyễn Du,Quận Hai Bà Trưng,Thành phố Hà Nội, Việt Nam</v>
      </c>
      <c r="G36" t="str">
        <f>_xlfn.IFNA(VLOOKUP(Table1[[#This Row],[Tên đối tượng]],'DANH MỤC ĐỐI TƯỢNG'!A:F,6,0),"")</f>
        <v>3600258422-002</v>
      </c>
      <c r="H36" t="str">
        <f>_xlfn.IFNA(VLOOKUP(Table1[[#This Row],[Tên đối tượng]],'DANH MỤC ĐỐI TƯỢNG'!A:I,9,0),"")</f>
        <v>Ngân hàng Mizuho bank Ltd, Chi nhánh TP Hà Nội</v>
      </c>
      <c r="I36" t="str">
        <f>_xlfn.IFNA(VLOOKUP(Table1[[#This Row],[Tên đối tượng]],'DANH MỤC ĐỐI TƯỢNG'!A:J,10,0),"")</f>
        <v>F15-795-005447 (USD)/H15-795-005455 (VND)</v>
      </c>
    </row>
    <row r="37" spans="1:9" x14ac:dyDescent="0.3">
      <c r="A37">
        <v>33</v>
      </c>
      <c r="B37" t="s">
        <v>67</v>
      </c>
      <c r="C37" t="s">
        <v>68</v>
      </c>
      <c r="D37" t="str">
        <f t="shared" si="1"/>
        <v>33. V10352</v>
      </c>
      <c r="E37" s="5" t="str">
        <f t="shared" ca="1" si="0"/>
        <v>Chi nhánh công ty TNHH Bosch Việt Nam tại thành phố Hồ Chí Minh</v>
      </c>
      <c r="F37" t="str">
        <f>IFERROR(VLOOKUP(Table1[[#This Row],[Tên đối tượng]],'DANH MỤC ĐỐI TƯỢNG'!A:E,5,0),"")</f>
        <v>Tầng 10- Tòa nhà 194 Golden Building, số 473 đường Điện Biên Phủ, phường 25, Quận Bình Thạnh, TP. HCM</v>
      </c>
      <c r="G37">
        <f>_xlfn.IFNA(VLOOKUP(Table1[[#This Row],[Tên đối tượng]],'DANH MỤC ĐỐI TƯỢNG'!A:F,6,0),"")</f>
        <v>0</v>
      </c>
      <c r="H37" t="str">
        <f>_xlfn.IFNA(VLOOKUP(Table1[[#This Row],[Tên đối tượng]],'DANH MỤC ĐỐI TƯỢNG'!A:I,9,0),"")</f>
        <v>Deutsche Bank AG,CN Hồ Chí Minh</v>
      </c>
      <c r="I37" t="str">
        <f>_xlfn.IFNA(VLOOKUP(Table1[[#This Row],[Tên đối tượng]],'DANH MỤC ĐỐI TƯỢNG'!A:J,10,0),"")</f>
        <v>1012178051</v>
      </c>
    </row>
    <row r="38" spans="1:9" x14ac:dyDescent="0.3">
      <c r="A38">
        <v>34</v>
      </c>
      <c r="B38" t="s">
        <v>69</v>
      </c>
      <c r="C38" t="s">
        <v>70</v>
      </c>
      <c r="D38" t="str">
        <f t="shared" si="1"/>
        <v>34. V10089</v>
      </c>
      <c r="E38" s="5" t="str">
        <f t="shared" ca="1" si="0"/>
        <v>Chi nhánh Công Ty TNHH Công Nghệ Và Thiết Bị Hàn tại Hải Phòng</v>
      </c>
      <c r="F38" t="str">
        <f>IFERROR(VLOOKUP(Table1[[#This Row],[Tên đối tượng]],'DANH MỤC ĐỐI TƯỢNG'!A:E,5,0),"")</f>
        <v>Số 1027 đường Nguyễn Văn Linh, xã An Đồng, huyện An Dương, Tp Hải Phòng</v>
      </c>
      <c r="G38" t="str">
        <f>_xlfn.IFNA(VLOOKUP(Table1[[#This Row],[Tên đối tượng]],'DANH MỤC ĐỐI TƯỢNG'!A:F,6,0),"")</f>
        <v>0101001715-005</v>
      </c>
      <c r="H38" t="str">
        <f>_xlfn.IFNA(VLOOKUP(Table1[[#This Row],[Tên đối tượng]],'DANH MỤC ĐỐI TƯỢNG'!A:I,9,0),"")</f>
        <v>Ngân hàng Vietcombank-Hải Phòng</v>
      </c>
      <c r="I38" t="str">
        <f>_xlfn.IFNA(VLOOKUP(Table1[[#This Row],[Tên đối tượng]],'DANH MỤC ĐỐI TƯỢNG'!A:J,10,0),"")</f>
        <v>0031000222617</v>
      </c>
    </row>
    <row r="39" spans="1:9" x14ac:dyDescent="0.3">
      <c r="A39">
        <v>35</v>
      </c>
      <c r="B39" t="s">
        <v>71</v>
      </c>
      <c r="C39" t="s">
        <v>72</v>
      </c>
      <c r="D39" t="str">
        <f t="shared" si="1"/>
        <v>35. V10373</v>
      </c>
      <c r="E39" s="5" t="str">
        <f t="shared" ca="1" si="0"/>
        <v>Chi nhánh công ty TNHH MTV dịch vụ lữ hành Saigontourist tại Hải Phòng</v>
      </c>
      <c r="F39" t="str">
        <f>IFERROR(VLOOKUP(Table1[[#This Row],[Tên đối tượng]],'DANH MỤC ĐỐI TƯỢNG'!A:E,5,0),"")</f>
        <v>Số 34, Minh Khai. Phường Hoàng Văn Thụ, Quận Hồng Bàng, Hải Phòng</v>
      </c>
      <c r="G39" t="str">
        <f>_xlfn.IFNA(VLOOKUP(Table1[[#This Row],[Tên đối tượng]],'DANH MỤC ĐỐI TƯỢNG'!A:F,6,0),"")</f>
        <v>0310891532-009</v>
      </c>
      <c r="H39" t="str">
        <f>_xlfn.IFNA(VLOOKUP(Table1[[#This Row],[Tên đối tượng]],'DANH MỤC ĐỐI TƯỢNG'!A:I,9,0),"")</f>
        <v>Vietcombank Hải Phòng</v>
      </c>
      <c r="I39" t="str">
        <f>_xlfn.IFNA(VLOOKUP(Table1[[#This Row],[Tên đối tượng]],'DANH MỤC ĐỐI TƯỢNG'!A:J,10,0),"")</f>
        <v>0031000155131</v>
      </c>
    </row>
    <row r="40" spans="1:9" x14ac:dyDescent="0.3">
      <c r="A40">
        <v>36</v>
      </c>
      <c r="B40" t="s">
        <v>73</v>
      </c>
      <c r="C40" t="s">
        <v>74</v>
      </c>
      <c r="D40" t="str">
        <f t="shared" si="1"/>
        <v>36. V10359</v>
      </c>
      <c r="E40" s="5" t="str">
        <f t="shared" ca="1" si="0"/>
        <v>Chi nhánh Công ty TNHH MTV Điện Lực Hải Phòng - Xí Nghiệp Quản lý lưới điện Cao</v>
      </c>
      <c r="F40" t="str">
        <f>IFERROR(VLOOKUP(Table1[[#This Row],[Tên đối tượng]],'DANH MỤC ĐỐI TƯỢNG'!A:E,5,0),"")</f>
        <v>Khu An Lạc, Phường Hùng Vương, Quận Hồng Bàng, Thành Phố Hải Phòng</v>
      </c>
      <c r="G40">
        <f>_xlfn.IFNA(VLOOKUP(Table1[[#This Row],[Tên đối tượng]],'DANH MỤC ĐỐI TƯỢNG'!A:F,6,0),"")</f>
        <v>0</v>
      </c>
      <c r="H40" t="str">
        <f>_xlfn.IFNA(VLOOKUP(Table1[[#This Row],[Tên đối tượng]],'DANH MỤC ĐỐI TƯỢNG'!A:I,9,0),"")</f>
        <v>An Binh Commercial Joint Stock Bank / Hải Phòng, Hải Phòng</v>
      </c>
      <c r="I40" t="str">
        <f>_xlfn.IFNA(VLOOKUP(Table1[[#This Row],[Tên đối tượng]],'DANH MỤC ĐỐI TƯỢNG'!A:J,10,0),"")</f>
        <v>0751018528032</v>
      </c>
    </row>
    <row r="41" spans="1:9" x14ac:dyDescent="0.3">
      <c r="A41">
        <v>37</v>
      </c>
      <c r="B41" t="s">
        <v>75</v>
      </c>
      <c r="C41" t="s">
        <v>76</v>
      </c>
      <c r="D41" t="str">
        <f t="shared" si="1"/>
        <v>37. V10217</v>
      </c>
      <c r="E41" s="5" t="str">
        <f t="shared" ca="1" si="0"/>
        <v>Chi nhánh Công ty TNHH MTV du lịch SMI-VN tại Hà nội</v>
      </c>
      <c r="F41" t="str">
        <f>IFERROR(VLOOKUP(Table1[[#This Row],[Tên đối tượng]],'DANH MỤC ĐỐI TƯỢNG'!A:E,5,0),"")</f>
        <v>Tầng 3, Tòa nhà Grand 30-32 Hòa Mã, P.Phạm Đình Hổ, Q.Hai Bà Trưng, TP.Hà nội</v>
      </c>
      <c r="G41" t="str">
        <f>_xlfn.IFNA(VLOOKUP(Table1[[#This Row],[Tên đối tượng]],'DANH MỤC ĐỐI TƯỢNG'!A:F,6,0),"")</f>
        <v>0311420568-001</v>
      </c>
      <c r="H41" t="str">
        <f>_xlfn.IFNA(VLOOKUP(Table1[[#This Row],[Tên đối tượng]],'DANH MỤC ĐỐI TƯỢNG'!A:I,9,0),"")</f>
        <v>Vietcombank - CN Hoàn Kiếm</v>
      </c>
      <c r="I41" t="str">
        <f>_xlfn.IFNA(VLOOKUP(Table1[[#This Row],[Tên đối tượng]],'DANH MỤC ĐỐI TƯỢNG'!A:J,10,0),"")</f>
        <v>0301000126789</v>
      </c>
    </row>
    <row r="42" spans="1:9" x14ac:dyDescent="0.3">
      <c r="A42">
        <v>38</v>
      </c>
      <c r="B42" t="s">
        <v>77</v>
      </c>
      <c r="C42" t="s">
        <v>78</v>
      </c>
      <c r="D42" t="str">
        <f t="shared" si="1"/>
        <v>38. V10326</v>
      </c>
      <c r="E42" s="5" t="str">
        <f t="shared" ca="1" si="0"/>
        <v>CHI NHÁNH CÔNG TY TNHH SAGAWA EXPRESS VIỆT NAM TẠI HÀ NỘI</v>
      </c>
      <c r="F42" t="str">
        <f>IFERROR(VLOOKUP(Table1[[#This Row],[Tên đối tượng]],'DANH MỤC ĐỐI TƯỢNG'!A:E,5,0),"")</f>
        <v>Ô số 22, KHU B1, Khu đấu giá quyền sử dụng đất (ven đường Lê Đức Thọ) Phường Mỹ Đình 2, Quận Nam Từ Liêm, thành phố Hà Nội</v>
      </c>
      <c r="G42">
        <f>_xlfn.IFNA(VLOOKUP(Table1[[#This Row],[Tên đối tượng]],'DANH MỤC ĐỐI TƯỢNG'!A:F,6,0),"")</f>
        <v>0</v>
      </c>
      <c r="H42" t="str">
        <f>_xlfn.IFNA(VLOOKUP(Table1[[#This Row],[Tên đối tượng]],'DANH MỤC ĐỐI TƯỢNG'!A:I,9,0),"")</f>
        <v>Vietcombank / Sở Giao Dịch, Hà Nội</v>
      </c>
      <c r="I42" t="str">
        <f>_xlfn.IFNA(VLOOKUP(Table1[[#This Row],[Tên đối tượng]],'DANH MỤC ĐỐI TƯỢNG'!A:J,10,0),"")</f>
        <v>11004284058</v>
      </c>
    </row>
    <row r="43" spans="1:9" x14ac:dyDescent="0.3">
      <c r="A43">
        <v>39</v>
      </c>
      <c r="B43" t="s">
        <v>79</v>
      </c>
      <c r="C43" t="s">
        <v>80</v>
      </c>
      <c r="D43" t="str">
        <f t="shared" si="1"/>
        <v>39. V10228</v>
      </c>
      <c r="E43" s="5" t="str">
        <f t="shared" ca="1" si="0"/>
        <v>Chi nhánh công ty TNHH thiết bị công nghiệp N.A.G.O.Y.A (Thành phố Hà Nội)</v>
      </c>
      <c r="F43" t="str">
        <f>IFERROR(VLOOKUP(Table1[[#This Row],[Tên đối tượng]],'DANH MỤC ĐỐI TƯỢNG'!A:E,5,0),"")</f>
        <v>Tầng 8, tòa nhà Nikko, 27 Nguyễn Trường Tộ, Quận Ba Đình, Tp.Hà Nội</v>
      </c>
      <c r="G43" t="str">
        <f>_xlfn.IFNA(VLOOKUP(Table1[[#This Row],[Tên đối tượng]],'DANH MỤC ĐỐI TƯỢNG'!A:F,6,0),"")</f>
        <v>0303135503-001</v>
      </c>
      <c r="H43" t="str">
        <f>_xlfn.IFNA(VLOOKUP(Table1[[#This Row],[Tên đối tượng]],'DANH MỤC ĐỐI TƯỢNG'!A:I,9,0),"")</f>
        <v>TMCP Á Châu - chi nhánh Hà Nội</v>
      </c>
      <c r="I43" t="str">
        <f>_xlfn.IFNA(VLOOKUP(Table1[[#This Row],[Tên đối tượng]],'DANH MỤC ĐỐI TƯỢNG'!A:J,10,0),"")</f>
        <v>174772939</v>
      </c>
    </row>
    <row r="44" spans="1:9" x14ac:dyDescent="0.3">
      <c r="A44">
        <v>40</v>
      </c>
      <c r="B44" t="s">
        <v>81</v>
      </c>
      <c r="C44" t="s">
        <v>82</v>
      </c>
      <c r="D44" t="str">
        <f t="shared" si="1"/>
        <v>40. V10205</v>
      </c>
      <c r="E44" s="5" t="str">
        <f t="shared" ca="1" si="0"/>
        <v>Chi nhánh Công ty TNHH thời trang và mỹ phẩm Âu Châu tại Hải Phòng</v>
      </c>
      <c r="F44" t="str">
        <f>IFERROR(VLOOKUP(Table1[[#This Row],[Tên đối tượng]],'DANH MỤC ĐỐI TƯỢNG'!A:E,5,0),"")</f>
        <v>Tầng 2, tòa nhà Thùy Dương, khu đô thị Ngã Năm - sân bay Cát Bi, Q.Ngô Quyền, Tp.Hải Phòng</v>
      </c>
      <c r="G44" t="str">
        <f>_xlfn.IFNA(VLOOKUP(Table1[[#This Row],[Tên đối tượng]],'DANH MỤC ĐỐI TƯỢNG'!A:F,6,0),"")</f>
        <v>0309300048-012</v>
      </c>
      <c r="H44" t="str">
        <f>_xlfn.IFNA(VLOOKUP(Table1[[#This Row],[Tên đối tượng]],'DANH MỤC ĐỐI TƯỢNG'!A:I,9,0),"")</f>
        <v>Techcombank - CN HCM</v>
      </c>
      <c r="I44" t="str">
        <f>_xlfn.IFNA(VLOOKUP(Table1[[#This Row],[Tên đối tượng]],'DANH MỤC ĐỐI TƯỢNG'!A:J,10,0),"")</f>
        <v>19128223101019</v>
      </c>
    </row>
    <row r="45" spans="1:9" x14ac:dyDescent="0.3">
      <c r="A45">
        <v>41</v>
      </c>
      <c r="B45" t="s">
        <v>83</v>
      </c>
      <c r="C45" t="s">
        <v>84</v>
      </c>
      <c r="D45" t="str">
        <f t="shared" si="1"/>
        <v>41. V10123</v>
      </c>
      <c r="E45" s="5" t="str">
        <f t="shared" ca="1" si="0"/>
        <v>Chi nhánh công ty TNHH thương mại và dịch vụ Song Bình-Trung tâm chuyển phát nhanh phía Bắc</v>
      </c>
      <c r="F45" t="str">
        <f>IFERROR(VLOOKUP(Table1[[#This Row],[Tên đối tượng]],'DANH MỤC ĐỐI TƯỢNG'!A:E,5,0),"")</f>
        <v>35 C Nguyễn Huy Tưởng, Thanh Xuân, Hà Nội</v>
      </c>
      <c r="G45" t="str">
        <f>_xlfn.IFNA(VLOOKUP(Table1[[#This Row],[Tên đối tượng]],'DANH MỤC ĐỐI TƯỢNG'!A:F,6,0),"")</f>
        <v>0301446415-007</v>
      </c>
      <c r="H45" t="str">
        <f>_xlfn.IFNA(VLOOKUP(Table1[[#This Row],[Tên đối tượng]],'DANH MỤC ĐỐI TƯỢNG'!A:I,9,0),"")</f>
        <v>Ngân hàng Eximbank - Chi nhánh TP Hồ Chí Minh</v>
      </c>
      <c r="I45" t="str">
        <f>_xlfn.IFNA(VLOOKUP(Table1[[#This Row],[Tên đối tượng]],'DANH MỤC ĐỐI TƯỢNG'!A:J,10,0),"")</f>
        <v>200014851040424</v>
      </c>
    </row>
    <row r="46" spans="1:9" x14ac:dyDescent="0.3">
      <c r="A46">
        <v>42</v>
      </c>
      <c r="B46" t="s">
        <v>85</v>
      </c>
      <c r="C46" t="s">
        <v>86</v>
      </c>
      <c r="D46" t="str">
        <f t="shared" si="1"/>
        <v>42. V10329</v>
      </c>
      <c r="E46" s="5" t="str">
        <f t="shared" ca="1" si="0"/>
        <v>Chi nhánh Công ty TNHH Valqua Việt Nam Tại Hà Nội</v>
      </c>
      <c r="F46" t="str">
        <f>IFERROR(VLOOKUP(Table1[[#This Row],[Tên đối tượng]],'DANH MỤC ĐỐI TƯỢNG'!A:E,5,0),"")</f>
        <v>Số 188 đường Trường Chinh, Tầng 9, Tòa nhà 188 Trường Chinh, P. Khương Thượng, Q. Đống Đa,TP Hà Nội</v>
      </c>
      <c r="G46">
        <f>_xlfn.IFNA(VLOOKUP(Table1[[#This Row],[Tên đối tượng]],'DANH MỤC ĐỐI TƯỢNG'!A:F,6,0),"")</f>
        <v>0</v>
      </c>
      <c r="H46" t="str">
        <f>_xlfn.IFNA(VLOOKUP(Table1[[#This Row],[Tên đối tượng]],'DANH MỤC ĐỐI TƯỢNG'!A:I,9,0),"")</f>
        <v>Ngân Hàng Sumitomo Mitsui Banking Corporation - CN Hà Nội</v>
      </c>
      <c r="I46" t="str">
        <f>_xlfn.IFNA(VLOOKUP(Table1[[#This Row],[Tên đối tượng]],'DANH MỤC ĐỐI TƯỢNG'!A:J,10,0),"")</f>
        <v>10060701</v>
      </c>
    </row>
    <row r="47" spans="1:9" x14ac:dyDescent="0.3">
      <c r="A47">
        <v>43</v>
      </c>
      <c r="B47" t="s">
        <v>87</v>
      </c>
      <c r="C47" t="s">
        <v>88</v>
      </c>
      <c r="D47" t="str">
        <f t="shared" si="1"/>
        <v>43. V10354</v>
      </c>
      <c r="E47" s="5" t="str">
        <f t="shared" ca="1" si="0"/>
        <v>Chi nhánh Nagashima Ohno &amp; Tsunematsu tại Hà Nội</v>
      </c>
      <c r="F47" t="str">
        <f>IFERROR(VLOOKUP(Table1[[#This Row],[Tên đối tượng]],'DANH MỤC ĐỐI TƯỢNG'!A:E,5,0),"")</f>
        <v>Ô 10.04 tòa nhà Cornerstone, 16 Phan Chu Trinh, Phường Phan Chu Trinh, Quận Hoàn Kiếm, Thành phố Hà Nội</v>
      </c>
      <c r="G47">
        <f>_xlfn.IFNA(VLOOKUP(Table1[[#This Row],[Tên đối tượng]],'DANH MỤC ĐỐI TƯỢNG'!A:F,6,0),"")</f>
        <v>0</v>
      </c>
      <c r="H47" t="str">
        <f>_xlfn.IFNA(VLOOKUP(Table1[[#This Row],[Tên đối tượng]],'DANH MỤC ĐỐI TƯỢNG'!A:I,9,0),"")</f>
        <v>The Bank of Tokyo-Mitsubishi UFJ, Ltd. / Hà Nội</v>
      </c>
      <c r="I47" t="str">
        <f>_xlfn.IFNA(VLOOKUP(Table1[[#This Row],[Tên đối tượng]],'DANH MỤC ĐỐI TƯỢNG'!A:J,10,0),"")</f>
        <v>245054</v>
      </c>
    </row>
    <row r="48" spans="1:9" x14ac:dyDescent="0.3">
      <c r="A48">
        <v>44</v>
      </c>
      <c r="B48" t="s">
        <v>89</v>
      </c>
      <c r="C48" t="s">
        <v>90</v>
      </c>
      <c r="D48" t="str">
        <f t="shared" si="1"/>
        <v>44. V20075</v>
      </c>
      <c r="E48" s="5" t="str">
        <f t="shared" ca="1" si="0"/>
        <v>China Bekaert Steel Cord Co.,Ltd</v>
      </c>
      <c r="F48" t="str">
        <f>IFERROR(VLOOKUP(Table1[[#This Row],[Tên đối tượng]],'DANH MỤC ĐỐI TƯỢNG'!A:E,5,0),"")</f>
        <v>No.151, Chengjiang Middle Road 214434 Jiangyin, Jiangsu Province, China</v>
      </c>
      <c r="G48">
        <f>_xlfn.IFNA(VLOOKUP(Table1[[#This Row],[Tên đối tượng]],'DANH MỤC ĐỐI TƯỢNG'!A:F,6,0),"")</f>
        <v>0</v>
      </c>
      <c r="H48" t="str">
        <f>_xlfn.IFNA(VLOOKUP(Table1[[#This Row],[Tên đối tượng]],'DANH MỤC ĐỐI TƯỢNG'!A:I,9,0),"")</f>
        <v>Citibank (China) Co.,Ltd-Shanghai branch</v>
      </c>
      <c r="I48" t="str">
        <f>_xlfn.IFNA(VLOOKUP(Table1[[#This Row],[Tên đối tượng]],'DANH MỤC ĐỐI TƯỢNG'!A:J,10,0),"")</f>
        <v>1881227033</v>
      </c>
    </row>
    <row r="49" spans="1:9" x14ac:dyDescent="0.3">
      <c r="A49">
        <v>45</v>
      </c>
      <c r="B49" t="s">
        <v>91</v>
      </c>
      <c r="C49" t="s">
        <v>92</v>
      </c>
      <c r="D49" t="str">
        <f t="shared" si="1"/>
        <v>45. V20136</v>
      </c>
      <c r="E49" s="5" t="str">
        <f t="shared" ca="1" si="0"/>
        <v>China Inspection Co.,Ltd</v>
      </c>
      <c r="F49" t="str">
        <f>IFERROR(VLOOKUP(Table1[[#This Row],[Tên đối tượng]],'DANH MỤC ĐỐI TƯỢNG'!A:E,5,0),"")</f>
        <v>Shun Tak Centre, 29F,East Tower, No.168-200 Connaught Road Central, 168200</v>
      </c>
      <c r="G49">
        <f>_xlfn.IFNA(VLOOKUP(Table1[[#This Row],[Tên đối tượng]],'DANH MỤC ĐỐI TƯỢNG'!A:F,6,0),"")</f>
        <v>0</v>
      </c>
      <c r="H49" t="str">
        <f>_xlfn.IFNA(VLOOKUP(Table1[[#This Row],[Tên đối tượng]],'DANH MỤC ĐỐI TƯỢNG'!A:I,9,0),"")</f>
        <v>Bank of Communications - Hong Kong Branch</v>
      </c>
      <c r="I49" t="str">
        <f>_xlfn.IFNA(VLOOKUP(Table1[[#This Row],[Tên đối tượng]],'DANH MỤC ĐỐI TƯỢNG'!A:J,10,0),"")</f>
        <v>02753692107608</v>
      </c>
    </row>
    <row r="50" spans="1:9" x14ac:dyDescent="0.3">
      <c r="A50">
        <v>46</v>
      </c>
      <c r="B50" t="s">
        <v>93</v>
      </c>
      <c r="C50" t="s">
        <v>94</v>
      </c>
      <c r="D50" t="str">
        <f t="shared" si="1"/>
        <v>46. V10147</v>
      </c>
      <c r="E50" s="5" t="str">
        <f t="shared" ca="1" si="0"/>
        <v>CN Công ty Cổ phần CPN Quốc Tế Hợp Nhất tại Hà Nội</v>
      </c>
      <c r="F50" t="str">
        <f>IFERROR(VLOOKUP(Table1[[#This Row],[Tên đối tượng]],'DANH MỤC ĐỐI TƯỢNG'!A:E,5,0),"")</f>
        <v>Tầng 10, Tòa Nhà Việt Hải, Lô C2 H Cụm SX TTCN và CNN Cầu Giấy, Duy Tân, Dịch Vọng Hậu, Cầu Giấy, Hà Nội</v>
      </c>
      <c r="G50" t="str">
        <f>_xlfn.IFNA(VLOOKUP(Table1[[#This Row],[Tên đối tượng]],'DANH MỤC ĐỐI TƯỢNG'!A:F,6,0),"")</f>
        <v>0305141894-001</v>
      </c>
      <c r="H50" t="str">
        <f>_xlfn.IFNA(VLOOKUP(Table1[[#This Row],[Tên đối tượng]],'DANH MỤC ĐỐI TƯỢNG'!A:I,9,0),"")</f>
        <v>Techcombank - CN Hoàng Quốc Việt</v>
      </c>
      <c r="I50" t="str">
        <f>_xlfn.IFNA(VLOOKUP(Table1[[#This Row],[Tên đối tượng]],'DANH MỤC ĐỐI TƯỢNG'!A:J,10,0),"")</f>
        <v>1112 1161 1970 10</v>
      </c>
    </row>
    <row r="51" spans="1:9" x14ac:dyDescent="0.3">
      <c r="A51">
        <v>47</v>
      </c>
      <c r="B51" t="s">
        <v>95</v>
      </c>
      <c r="C51" t="s">
        <v>8245</v>
      </c>
      <c r="D51" t="str">
        <f t="shared" si="1"/>
        <v>47. V10232</v>
      </c>
      <c r="E51" s="5" t="str">
        <f t="shared" ca="1" si="0"/>
        <v>Chi nhánh Công ty Cổ phần Thương mại và dịch vụ Ngọc Hà tại Hải Phòng</v>
      </c>
      <c r="F51" t="str">
        <f>IFERROR(VLOOKUP(Table1[[#This Row],[Tên đối tượng]],'DANH MỤC ĐỐI TƯỢNG'!A:E,5,0),"")</f>
        <v>Km 87+600, Thông Cách Thượng, xã Nam Sơn, huyện An Dương, thành phố Hải Phòng, Việt Nam</v>
      </c>
      <c r="G51" t="str">
        <f>_xlfn.IFNA(VLOOKUP(Table1[[#This Row],[Tên đối tượng]],'DANH MỤC ĐỐI TƯỢNG'!A:F,6,0),"")</f>
        <v>0101394777-006</v>
      </c>
      <c r="H51" t="str">
        <f>_xlfn.IFNA(VLOOKUP(Table1[[#This Row],[Tên đối tượng]],'DANH MỤC ĐỐI TƯỢNG'!A:I,9,0),"")</f>
        <v>Vietcombank - CN Hải Dương</v>
      </c>
      <c r="I51" t="str">
        <f>_xlfn.IFNA(VLOOKUP(Table1[[#This Row],[Tên đối tượng]],'DANH MỤC ĐỐI TƯỢNG'!A:J,10,0),"")</f>
        <v>0341007037106</v>
      </c>
    </row>
    <row r="52" spans="1:9" x14ac:dyDescent="0.3">
      <c r="A52">
        <v>48</v>
      </c>
      <c r="B52" t="s">
        <v>96</v>
      </c>
      <c r="C52" t="s">
        <v>97</v>
      </c>
      <c r="D52" t="str">
        <f t="shared" si="1"/>
        <v>48. V10179</v>
      </c>
      <c r="E52" s="5" t="str">
        <f t="shared" ca="1" si="0"/>
        <v>CN Công ty LD TNHH Nippon Express (Việt Nam) tại Hà Nội</v>
      </c>
      <c r="F52" t="str">
        <f>IFERROR(VLOOKUP(Table1[[#This Row],[Tên đối tượng]],'DANH MỤC ĐỐI TƯỢNG'!A:E,5,0),"")</f>
        <v>Tháp Hòa Bình, 106 Hoàng Quốc việt, Phường Nghĩa Tân, Quận Cầu Giấy, Hà Nội</v>
      </c>
      <c r="G52" t="str">
        <f>_xlfn.IFNA(VLOOKUP(Table1[[#This Row],[Tên đối tượng]],'DANH MỤC ĐỐI TƯỢNG'!A:F,6,0),"")</f>
        <v>0302065148</v>
      </c>
      <c r="H52" t="str">
        <f>_xlfn.IFNA(VLOOKUP(Table1[[#This Row],[Tên đối tượng]],'DANH MỤC ĐỐI TƯỢNG'!A:I,9,0),"")</f>
        <v>Mizuho Bank., Ltd - Hanoi Branch</v>
      </c>
      <c r="I52" t="str">
        <f>_xlfn.IFNA(VLOOKUP(Table1[[#This Row],[Tên đối tượng]],'DANH MỤC ĐỐI TƯỢNG'!A:J,10,0),"")</f>
        <v>H15-795-007782</v>
      </c>
    </row>
    <row r="53" spans="1:9" x14ac:dyDescent="0.3">
      <c r="A53">
        <v>49</v>
      </c>
      <c r="B53" t="s">
        <v>98</v>
      </c>
      <c r="C53" t="s">
        <v>99</v>
      </c>
      <c r="D53" t="str">
        <f t="shared" si="1"/>
        <v>49. V10185</v>
      </c>
      <c r="E53" s="5" t="str">
        <f t="shared" ca="1" si="0"/>
        <v>CN Công ty TNHH MTV Điện lực Hải Phòng - Điện lực Hải An</v>
      </c>
      <c r="F53" t="str">
        <f>IFERROR(VLOOKUP(Table1[[#This Row],[Tên đối tượng]],'DANH MỤC ĐỐI TƯỢNG'!A:E,5,0),"")</f>
        <v>Số 7 Nguyễn Văn Hới, quận Hải An, thành phố Hải Phòng</v>
      </c>
      <c r="G53" t="str">
        <f>_xlfn.IFNA(VLOOKUP(Table1[[#This Row],[Tên đối tượng]],'DANH MỤC ĐỐI TƯỢNG'!A:F,6,0),"")</f>
        <v>0200340211-030</v>
      </c>
      <c r="H53" t="str">
        <f>_xlfn.IFNA(VLOOKUP(Table1[[#This Row],[Tên đối tượng]],'DANH MỤC ĐỐI TƯỢNG'!A:I,9,0),"")</f>
        <v>Ngân hàng Vietcombank - CN Hải Phòng</v>
      </c>
      <c r="I53" t="str">
        <f>_xlfn.IFNA(VLOOKUP(Table1[[#This Row],[Tên đối tượng]],'DANH MỤC ĐỐI TƯỢNG'!A:J,10,0),"")</f>
        <v>0031000250368</v>
      </c>
    </row>
    <row r="54" spans="1:9" x14ac:dyDescent="0.3">
      <c r="A54">
        <v>50</v>
      </c>
      <c r="B54" t="s">
        <v>100</v>
      </c>
      <c r="C54" t="s">
        <v>101</v>
      </c>
      <c r="D54" t="str">
        <f t="shared" si="1"/>
        <v>50. V10327</v>
      </c>
      <c r="E54" s="5" t="str">
        <f t="shared" ca="1" si="0"/>
        <v>CN Công ty TNHH SG Sagawa Việt Nam tại Hà Nội</v>
      </c>
      <c r="F54" t="str">
        <f>IFERROR(VLOOKUP(Table1[[#This Row],[Tên đối tượng]],'DANH MỤC ĐỐI TƯỢNG'!A:E,5,0),"")</f>
        <v>Ô số 22, khu B1, khu đấu giá QSDĐ, P Mỹ Đình 2, Q. Nam Từ Liêm, Tp Hà Nội</v>
      </c>
      <c r="G54" t="str">
        <f>_xlfn.IFNA(VLOOKUP(Table1[[#This Row],[Tên đối tượng]],'DANH MỤC ĐỐI TƯỢNG'!A:F,6,0),"")</f>
        <v>0313166148002</v>
      </c>
      <c r="H54" t="str">
        <f>_xlfn.IFNA(VLOOKUP(Table1[[#This Row],[Tên đối tượng]],'DANH MỤC ĐỐI TƯỢNG'!A:I,9,0),"")</f>
        <v>Ngân hàng TMCP Ngoại thương Việt Nam-Sở giao dịch</v>
      </c>
      <c r="I54" t="str">
        <f>_xlfn.IFNA(VLOOKUP(Table1[[#This Row],[Tên đối tượng]],'DANH MỤC ĐỐI TƯỢNG'!A:J,10,0),"")</f>
        <v>0011.00.4284.058</v>
      </c>
    </row>
    <row r="55" spans="1:9" x14ac:dyDescent="0.3">
      <c r="A55">
        <v>51</v>
      </c>
      <c r="B55" t="s">
        <v>102</v>
      </c>
      <c r="C55" t="s">
        <v>8122</v>
      </c>
      <c r="D55" t="str">
        <f t="shared" si="1"/>
        <v>51. V10008</v>
      </c>
      <c r="E55" s="5" t="str">
        <f t="shared" ca="1" si="0"/>
        <v>Chi nhánh Công ty TNHH Thông tin NTT (Việt Nam)</v>
      </c>
      <c r="F55" t="str">
        <f>IFERROR(VLOOKUP(Table1[[#This Row],[Tên đối tượng]],'DANH MỤC ĐỐI TƯỢNG'!A:E,5,0),"")</f>
        <v>Phòng 201, Tầng 2,tòa nhà HITC,số 239 Xuân Thủy,P.Dịch Vọng Hậu,Q.Cầu giấy,Hà Nội</v>
      </c>
      <c r="G55" t="str">
        <f>_xlfn.IFNA(VLOOKUP(Table1[[#This Row],[Tên đối tượng]],'DANH MỤC ĐỐI TƯỢNG'!A:F,6,0),"")</f>
        <v>0302534921-001</v>
      </c>
      <c r="H55" t="str">
        <f>_xlfn.IFNA(VLOOKUP(Table1[[#This Row],[Tên đối tượng]],'DANH MỤC ĐỐI TƯỢNG'!A:I,9,0),"")</f>
        <v>Mizuho Bank, Ltd., - Hanoi Branch</v>
      </c>
      <c r="I55" t="str">
        <f>_xlfn.IFNA(VLOOKUP(Table1[[#This Row],[Tên đối tượng]],'DANH MỤC ĐỐI TƯỢNG'!A:J,10,0),"")</f>
        <v>H15 795 008754</v>
      </c>
    </row>
    <row r="56" spans="1:9" x14ac:dyDescent="0.3">
      <c r="A56">
        <v>52</v>
      </c>
      <c r="B56" t="s">
        <v>103</v>
      </c>
      <c r="C56" t="s">
        <v>104</v>
      </c>
      <c r="D56" t="str">
        <f t="shared" si="1"/>
        <v>52. V20067</v>
      </c>
      <c r="E56" s="5" t="str">
        <f t="shared" ca="1" si="0"/>
        <v>Comm Bangkok Co.,Ltd</v>
      </c>
      <c r="F56" t="str">
        <f>IFERROR(VLOOKUP(Table1[[#This Row],[Tên đối tượng]],'DANH MỤC ĐỐI TƯỢNG'!A:E,5,0),"")</f>
        <v>410/120-121, The Executive House Bldg., 11Fl., Surawongse Road., Siphraya Bangrak, Bangkok 10500</v>
      </c>
      <c r="G56">
        <f>_xlfn.IFNA(VLOOKUP(Table1[[#This Row],[Tên đối tượng]],'DANH MỤC ĐỐI TƯỢNG'!A:F,6,0),"")</f>
        <v>0</v>
      </c>
      <c r="H56" t="str">
        <f>_xlfn.IFNA(VLOOKUP(Table1[[#This Row],[Tên đối tượng]],'DANH MỤC ĐỐI TƯỢNG'!A:I,9,0),"")</f>
        <v>The bank of Tokyo- Mitsubishi UFJ, Ltd (Bangkok Branch)</v>
      </c>
      <c r="I56" t="str">
        <f>_xlfn.IFNA(VLOOKUP(Table1[[#This Row],[Tên đối tượng]],'DANH MỤC ĐỐI TƯỢNG'!A:J,10,0),"")</f>
        <v>1100259829</v>
      </c>
    </row>
    <row r="57" spans="1:9" x14ac:dyDescent="0.3">
      <c r="A57">
        <v>53</v>
      </c>
      <c r="B57" t="s">
        <v>105</v>
      </c>
      <c r="C57" t="s">
        <v>106</v>
      </c>
      <c r="D57" t="str">
        <f t="shared" si="1"/>
        <v>53. V10012</v>
      </c>
      <c r="E57" s="5" t="str">
        <f t="shared" ca="1" si="0"/>
        <v>Công ty Cổ phần Bắc Hải Thành</v>
      </c>
      <c r="F57" t="str">
        <f>IFERROR(VLOOKUP(Table1[[#This Row],[Tên đối tượng]],'DANH MỤC ĐỐI TƯỢNG'!A:E,5,0),"")</f>
        <v>Số 77 Tô Hiệu, Lê Chân, Hải Phòng</v>
      </c>
      <c r="G57" t="str">
        <f>_xlfn.IFNA(VLOOKUP(Table1[[#This Row],[Tên đối tượng]],'DANH MỤC ĐỐI TƯỢNG'!A:F,6,0),"")</f>
        <v>0200654578</v>
      </c>
      <c r="H57" t="str">
        <f>_xlfn.IFNA(VLOOKUP(Table1[[#This Row],[Tên đối tượng]],'DANH MỤC ĐỐI TƯỢNG'!A:I,9,0),"")</f>
        <v>Ngân hàng TMCP Quốc tế Việt Nam - CN Hồng Bàng, Hải Phòng</v>
      </c>
      <c r="I57" t="str">
        <f>_xlfn.IFNA(VLOOKUP(Table1[[#This Row],[Tên đối tượng]],'DANH MỤC ĐỐI TƯỢNG'!A:J,10,0),"")</f>
        <v>012704060004681</v>
      </c>
    </row>
    <row r="58" spans="1:9" x14ac:dyDescent="0.3">
      <c r="A58">
        <v>54</v>
      </c>
      <c r="B58" t="s">
        <v>107</v>
      </c>
      <c r="C58" t="s">
        <v>108</v>
      </c>
      <c r="D58" t="str">
        <f t="shared" si="1"/>
        <v>54. V10166</v>
      </c>
      <c r="E58" s="5" t="str">
        <f t="shared" ca="1" si="0"/>
        <v>Công Ty Cổ Phần Cây Xanh Hải Phòng</v>
      </c>
      <c r="F58" t="str">
        <f>IFERROR(VLOOKUP(Table1[[#This Row],[Tên đối tượng]],'DANH MỤC ĐỐI TƯỢNG'!A:E,5,0),"")</f>
        <v>Số 340 đường Thiên Lôi, quận Lê Chân, Hải Phòng</v>
      </c>
      <c r="G58" t="str">
        <f>_xlfn.IFNA(VLOOKUP(Table1[[#This Row],[Tên đối tượng]],'DANH MỤC ĐỐI TƯỢNG'!A:F,6,0),"")</f>
        <v>0200674782</v>
      </c>
      <c r="H58" t="str">
        <f>_xlfn.IFNA(VLOOKUP(Table1[[#This Row],[Tên đối tượng]],'DANH MỤC ĐỐI TƯỢNG'!A:I,9,0),"")</f>
        <v>Ngân hàng NN &amp; PTNT Việt Nam - CN Ngô Quyền</v>
      </c>
      <c r="I58" t="str">
        <f>_xlfn.IFNA(VLOOKUP(Table1[[#This Row],[Tên đối tượng]],'DANH MỤC ĐỐI TƯỢNG'!A:J,10,0),"")</f>
        <v>2101201004732</v>
      </c>
    </row>
    <row r="59" spans="1:9" x14ac:dyDescent="0.3">
      <c r="A59">
        <v>55</v>
      </c>
      <c r="B59" t="s">
        <v>109</v>
      </c>
      <c r="C59" t="s">
        <v>110</v>
      </c>
      <c r="D59" t="str">
        <f t="shared" si="1"/>
        <v>55. V10132</v>
      </c>
      <c r="E59" s="5" t="str">
        <f t="shared" ca="1" si="0"/>
        <v>Công ty cổ phần cơ điện, năng lượng và môi trường Alpha</v>
      </c>
      <c r="F59" t="str">
        <f>IFERROR(VLOOKUP(Table1[[#This Row],[Tên đối tượng]],'DANH MỤC ĐỐI TƯỢNG'!A:E,5,0),"")</f>
        <v>Số 105 Hoàng Văn Thái, phường Khương Trung, quận Thanh Xuân, thành phố Hà Nội</v>
      </c>
      <c r="G59" t="str">
        <f>_xlfn.IFNA(VLOOKUP(Table1[[#This Row],[Tên đối tượng]],'DANH MỤC ĐỐI TƯỢNG'!A:F,6,0),"")</f>
        <v>0104594397</v>
      </c>
      <c r="H59" t="str">
        <f>_xlfn.IFNA(VLOOKUP(Table1[[#This Row],[Tên đối tượng]],'DANH MỤC ĐỐI TƯỢNG'!A:I,9,0),"")</f>
        <v>VPBank - CN Thăng Long</v>
      </c>
      <c r="I59" t="str">
        <f>_xlfn.IFNA(VLOOKUP(Table1[[#This Row],[Tên đối tượng]],'DANH MỤC ĐỐI TƯỢNG'!A:J,10,0),"")</f>
        <v>34901422</v>
      </c>
    </row>
    <row r="60" spans="1:9" x14ac:dyDescent="0.3">
      <c r="A60">
        <v>56</v>
      </c>
      <c r="B60" t="s">
        <v>111</v>
      </c>
      <c r="C60" t="s">
        <v>112</v>
      </c>
      <c r="D60" t="str">
        <f t="shared" si="1"/>
        <v>56. V10039</v>
      </c>
      <c r="E60" s="5" t="str">
        <f t="shared" ca="1" si="0"/>
        <v>Công ty cổ phần cơ khí tháng Tám</v>
      </c>
      <c r="F60" t="str">
        <f>IFERROR(VLOOKUP(Table1[[#This Row],[Tên đối tượng]],'DANH MỤC ĐỐI TƯỢNG'!A:E,5,0),"")</f>
        <v>Số 34/47 Phạm Hữu Điều, quận Lê Chân, Hải Phòng</v>
      </c>
      <c r="G60" t="str">
        <f>_xlfn.IFNA(VLOOKUP(Table1[[#This Row],[Tên đối tượng]],'DANH MỤC ĐỐI TƯỢNG'!A:F,6,0),"")</f>
        <v>0200962068</v>
      </c>
      <c r="H60" t="str">
        <f>_xlfn.IFNA(VLOOKUP(Table1[[#This Row],[Tên đối tượng]],'DANH MỤC ĐỐI TƯỢNG'!A:I,9,0),"")</f>
        <v>Ngân hàng TMCP Xuất nhập khẩu Việt Nam - CN Hải Phòng</v>
      </c>
      <c r="I60" t="str">
        <f>_xlfn.IFNA(VLOOKUP(Table1[[#This Row],[Tên đối tượng]],'DANH MỤC ĐỐI TƯỢNG'!A:J,10,0),"")</f>
        <v>160314851007042</v>
      </c>
    </row>
    <row r="61" spans="1:9" x14ac:dyDescent="0.3">
      <c r="A61">
        <v>57</v>
      </c>
      <c r="B61" t="s">
        <v>113</v>
      </c>
      <c r="C61" t="s">
        <v>114</v>
      </c>
      <c r="D61" t="str">
        <f t="shared" si="1"/>
        <v>57. V10148</v>
      </c>
      <c r="E61" s="5" t="str">
        <f t="shared" ca="1" si="0"/>
        <v>Công ty cổ phần cơ khí thương mại Hoàng Minh</v>
      </c>
      <c r="F61" t="str">
        <f>IFERROR(VLOOKUP(Table1[[#This Row],[Tên đối tượng]],'DANH MỤC ĐỐI TƯỢNG'!A:E,5,0),"")</f>
        <v>Số 27 An Thái, Khu 2, Phường Bình Hàn, TP.Hải Dương, Tỉnh Hải Dương</v>
      </c>
      <c r="G61" t="str">
        <f>_xlfn.IFNA(VLOOKUP(Table1[[#This Row],[Tên đối tượng]],'DANH MỤC ĐỐI TƯỢNG'!A:F,6,0),"")</f>
        <v>0800379690</v>
      </c>
      <c r="H61" t="str">
        <f>_xlfn.IFNA(VLOOKUP(Table1[[#This Row],[Tên đối tượng]],'DANH MỤC ĐỐI TƯỢNG'!A:I,9,0),"")</f>
        <v>Ngân hàng TMCP Đầu tư và phát triển Việt Nam, CN Đông Đô</v>
      </c>
      <c r="I61" t="str">
        <f>_xlfn.IFNA(VLOOKUP(Table1[[#This Row],[Tên đối tượng]],'DANH MỤC ĐỐI TƯỢNG'!A:J,10,0),"")</f>
        <v>1251-0000-496-671</v>
      </c>
    </row>
    <row r="62" spans="1:9" x14ac:dyDescent="0.3">
      <c r="A62">
        <v>58</v>
      </c>
      <c r="B62" t="s">
        <v>115</v>
      </c>
      <c r="C62" t="s">
        <v>116</v>
      </c>
      <c r="D62" t="str">
        <f t="shared" si="1"/>
        <v>58. V10174</v>
      </c>
      <c r="E62" s="5" t="str">
        <f t="shared" ca="1" si="0"/>
        <v>Công ty cổ phần cơ khí và xây dựng Việt Nhật</v>
      </c>
      <c r="F62" t="str">
        <f>IFERROR(VLOOKUP(Table1[[#This Row],[Tên đối tượng]],'DANH MỤC ĐỐI TƯỢNG'!A:E,5,0),"")</f>
        <v>Phòng 501 nhà số 1 ngõ 329,đường Cầu Giấy, phường Dịch Vọng, quận Cầu Giấy,Thành phố Hà Nội, Việt Nam</v>
      </c>
      <c r="G62" t="str">
        <f>_xlfn.IFNA(VLOOKUP(Table1[[#This Row],[Tên đối tượng]],'DANH MỤC ĐỐI TƯỢNG'!A:F,6,0),"")</f>
        <v>0102683570</v>
      </c>
      <c r="H62" t="str">
        <f>_xlfn.IFNA(VLOOKUP(Table1[[#This Row],[Tên đối tượng]],'DANH MỤC ĐỐI TƯỢNG'!A:I,9,0),"")</f>
        <v>Sacombank - PGD Đồng Xuân</v>
      </c>
      <c r="I62" t="str">
        <f>_xlfn.IFNA(VLOOKUP(Table1[[#This Row],[Tên đối tượng]],'DANH MỤC ĐỐI TƯỢNG'!A:J,10,0),"")</f>
        <v>020002045010</v>
      </c>
    </row>
    <row r="63" spans="1:9" x14ac:dyDescent="0.3">
      <c r="A63">
        <v>59</v>
      </c>
      <c r="B63" t="s">
        <v>117</v>
      </c>
      <c r="C63" t="s">
        <v>118</v>
      </c>
      <c r="D63" t="str">
        <f t="shared" si="1"/>
        <v>59. V10084</v>
      </c>
      <c r="E63" s="5" t="str">
        <f t="shared" ca="1" si="0"/>
        <v>Công Ty Cổ Phần Công Nghệ Điều Hòa Sao Việt</v>
      </c>
      <c r="F63" t="str">
        <f>IFERROR(VLOOKUP(Table1[[#This Row],[Tên đối tượng]],'DANH MỤC ĐỐI TƯỢNG'!A:E,5,0),"")</f>
        <v>59/528 Đà Nẵng, Ngô Quyền, Hải Phòng</v>
      </c>
      <c r="G63" t="str">
        <f>_xlfn.IFNA(VLOOKUP(Table1[[#This Row],[Tên đối tượng]],'DANH MỤC ĐỐI TƯỢNG'!A:F,6,0),"")</f>
        <v>0200680899</v>
      </c>
      <c r="H63" t="str">
        <f>_xlfn.IFNA(VLOOKUP(Table1[[#This Row],[Tên đối tượng]],'DANH MỤC ĐỐI TƯỢNG'!A:I,9,0),"")</f>
        <v>Nông nghiệp và phát triển nông thôn- CN Hải Phòng</v>
      </c>
      <c r="I63" t="str">
        <f>_xlfn.IFNA(VLOOKUP(Table1[[#This Row],[Tên đối tượng]],'DANH MỤC ĐỐI TƯỢNG'!A:J,10,0),"")</f>
        <v>2100201323580</v>
      </c>
    </row>
    <row r="64" spans="1:9" x14ac:dyDescent="0.3">
      <c r="A64">
        <v>60</v>
      </c>
      <c r="B64" t="s">
        <v>119</v>
      </c>
      <c r="C64" t="s">
        <v>120</v>
      </c>
      <c r="D64" t="str">
        <f t="shared" si="1"/>
        <v>60. V10188</v>
      </c>
      <c r="E64" s="5" t="str">
        <f t="shared" ca="1" si="0"/>
        <v>Công ty cổ phần công nghệ Minh Hòa</v>
      </c>
      <c r="F64" t="str">
        <f>IFERROR(VLOOKUP(Table1[[#This Row],[Tên đối tượng]],'DANH MỤC ĐỐI TƯỢNG'!A:E,5,0),"")</f>
        <v>Số 142 đường Lê Duẩn, Phường Khâm Thiên, Quận Đống Đa, TP.Hà Nội, Việt Nam</v>
      </c>
      <c r="G64" t="str">
        <f>_xlfn.IFNA(VLOOKUP(Table1[[#This Row],[Tên đối tượng]],'DANH MỤC ĐỐI TƯỢNG'!A:F,6,0),"")</f>
        <v>0103671095</v>
      </c>
      <c r="H64" t="str">
        <f>_xlfn.IFNA(VLOOKUP(Table1[[#This Row],[Tên đối tượng]],'DANH MỤC ĐỐI TƯỢNG'!A:I,9,0),"")</f>
        <v>TMCP Công Thương Việt Nam - CN Đống Đa, Hà Nội</v>
      </c>
      <c r="I64" t="str">
        <f>_xlfn.IFNA(VLOOKUP(Table1[[#This Row],[Tên đối tượng]],'DANH MỤC ĐỐI TƯỢNG'!A:J,10,0),"")</f>
        <v>102010001434639</v>
      </c>
    </row>
    <row r="65" spans="1:9" x14ac:dyDescent="0.3">
      <c r="A65">
        <v>61</v>
      </c>
      <c r="B65" t="s">
        <v>121</v>
      </c>
      <c r="C65" t="s">
        <v>122</v>
      </c>
      <c r="D65" t="str">
        <f t="shared" si="1"/>
        <v>61. V10198</v>
      </c>
      <c r="E65" s="5" t="str">
        <f t="shared" ca="1" si="0"/>
        <v>Công ty cổ phần công nghệ Quang Trung - QTC</v>
      </c>
      <c r="F65" t="str">
        <f>IFERROR(VLOOKUP(Table1[[#This Row],[Tên đối tượng]],'DANH MỤC ĐỐI TƯỢNG'!A:E,5,0),"")</f>
        <v>Số 55 Đinh Nhu, P.Lam Sơn, Q.Lê Chân, TP.Hải Phòng</v>
      </c>
      <c r="G65" t="str">
        <f>_xlfn.IFNA(VLOOKUP(Table1[[#This Row],[Tên đối tượng]],'DANH MỤC ĐỐI TƯỢNG'!A:F,6,0),"")</f>
        <v>0200677462</v>
      </c>
      <c r="H65" t="str">
        <f>_xlfn.IFNA(VLOOKUP(Table1[[#This Row],[Tên đối tượng]],'DANH MỤC ĐỐI TƯỢNG'!A:I,9,0),"")</f>
        <v>Công Thương Lê Chân Hải Phòng</v>
      </c>
      <c r="I65" t="str">
        <f>_xlfn.IFNA(VLOOKUP(Table1[[#This Row],[Tên đối tượng]],'DANH MỤC ĐỐI TƯỢNG'!A:J,10,0),"")</f>
        <v>102010000459208</v>
      </c>
    </row>
    <row r="66" spans="1:9" x14ac:dyDescent="0.3">
      <c r="A66">
        <v>62</v>
      </c>
      <c r="B66" t="s">
        <v>123</v>
      </c>
      <c r="C66" t="s">
        <v>124</v>
      </c>
      <c r="D66" t="str">
        <f t="shared" si="1"/>
        <v>62. V10095</v>
      </c>
      <c r="E66" s="5" t="str">
        <f t="shared" ca="1" si="0"/>
        <v>Công ty Cổ phần Công nghệ T.M.T</v>
      </c>
      <c r="F66" t="str">
        <f>IFERROR(VLOOKUP(Table1[[#This Row],[Tên đối tượng]],'DANH MỤC ĐỐI TƯỢNG'!A:E,5,0),"")</f>
        <v>Số 96 Ngô Gia Tự, Phường Cát Bi, Quận Hải An, Thành phố Hải Phòng</v>
      </c>
      <c r="G66" t="str">
        <f>_xlfn.IFNA(VLOOKUP(Table1[[#This Row],[Tên đối tượng]],'DANH MỤC ĐỐI TƯỢNG'!A:F,6,0),"")</f>
        <v>0200885078</v>
      </c>
      <c r="H66" t="str">
        <f>_xlfn.IFNA(VLOOKUP(Table1[[#This Row],[Tên đối tượng]],'DANH MỤC ĐỐI TƯỢNG'!A:I,9,0),"")</f>
        <v>Agribank- CN Hải Phòng</v>
      </c>
      <c r="I66" t="str">
        <f>_xlfn.IFNA(VLOOKUP(Table1[[#This Row],[Tên đối tượng]],'DANH MỤC ĐỐI TƯỢNG'!A:J,10,0),"")</f>
        <v>2100201330750</v>
      </c>
    </row>
    <row r="67" spans="1:9" x14ac:dyDescent="0.3">
      <c r="A67">
        <v>63</v>
      </c>
      <c r="B67" t="s">
        <v>125</v>
      </c>
      <c r="C67" t="s">
        <v>126</v>
      </c>
      <c r="D67" t="str">
        <f t="shared" si="1"/>
        <v>63. V10071</v>
      </c>
      <c r="E67" s="5" t="str">
        <f t="shared" ca="1" si="0"/>
        <v>Công ty Cổ phần công nghệ thiết bị Việt Nam</v>
      </c>
      <c r="F67" t="str">
        <f>IFERROR(VLOOKUP(Table1[[#This Row],[Tên đối tượng]],'DANH MỤC ĐỐI TƯỢNG'!A:E,5,0),"")</f>
        <v>Phòng 1205, Nhà A, Nhân Mỹ, Mỹ Đình, Từ Liêm, Hà Nội</v>
      </c>
      <c r="G67" t="str">
        <f>_xlfn.IFNA(VLOOKUP(Table1[[#This Row],[Tên đối tượng]],'DANH MỤC ĐỐI TƯỢNG'!A:F,6,0),"")</f>
        <v>0103921073</v>
      </c>
      <c r="H67" t="str">
        <f>_xlfn.IFNA(VLOOKUP(Table1[[#This Row],[Tên đối tượng]],'DANH MỤC ĐỐI TƯỢNG'!A:I,9,0),"")</f>
        <v>Ngân hàng TM Cổ phần Á Châu - Chi nhánh Hà Nội</v>
      </c>
      <c r="I67" t="str">
        <f>_xlfn.IFNA(VLOOKUP(Table1[[#This Row],[Tên đối tượng]],'DANH MỤC ĐỐI TƯỢNG'!A:J,10,0),"")</f>
        <v>131330059</v>
      </c>
    </row>
    <row r="68" spans="1:9" x14ac:dyDescent="0.3">
      <c r="A68">
        <v>64</v>
      </c>
      <c r="B68" t="s">
        <v>127</v>
      </c>
      <c r="C68" t="s">
        <v>128</v>
      </c>
      <c r="D68" t="str">
        <f t="shared" si="1"/>
        <v>64. V10163</v>
      </c>
      <c r="E68" s="5" t="str">
        <f t="shared" ca="1" si="0"/>
        <v>Công ty cổ phần công nghệ và giải pháp Hà Nội</v>
      </c>
      <c r="F68" t="str">
        <f>IFERROR(VLOOKUP(Table1[[#This Row],[Tên đối tượng]],'DANH MỤC ĐỐI TƯỢNG'!A:E,5,0),"")</f>
        <v>Số 09, tổ 02, Bằng A, Phường Hoàng Liệt, Quận Hoàng Mai, Thành phố Hà Nội, Việt Nam</v>
      </c>
      <c r="G68" t="str">
        <f>_xlfn.IFNA(VLOOKUP(Table1[[#This Row],[Tên đối tượng]],'DANH MỤC ĐỐI TƯỢNG'!A:F,6,0),"")</f>
        <v>0106037810</v>
      </c>
      <c r="H68" t="str">
        <f>_xlfn.IFNA(VLOOKUP(Table1[[#This Row],[Tên đối tượng]],'DANH MỤC ĐỐI TƯỢNG'!A:I,9,0),"")</f>
        <v>Vietcombank - CN Thành Công</v>
      </c>
      <c r="I68" t="str">
        <f>_xlfn.IFNA(VLOOKUP(Table1[[#This Row],[Tên đối tượng]],'DANH MỤC ĐỐI TƯỢNG'!A:J,10,0),"")</f>
        <v>0451000244283</v>
      </c>
    </row>
    <row r="69" spans="1:9" x14ac:dyDescent="0.3">
      <c r="A69">
        <v>65</v>
      </c>
      <c r="B69" t="s">
        <v>129</v>
      </c>
      <c r="C69" t="s">
        <v>130</v>
      </c>
      <c r="D69" t="str">
        <f t="shared" ref="D69:D132" si="2">A69&amp;". "&amp;B69</f>
        <v>65. V10087</v>
      </c>
      <c r="E69" s="5" t="str">
        <f t="shared" ref="E69:E132" ca="1" si="3">IF(B69&lt;&gt;"",HYPERLINK($A$2&amp;D69,C69),"")</f>
        <v>Công ty cổ phần công nghệ và thương mại SYSTECH</v>
      </c>
      <c r="F69" t="str">
        <f>IFERROR(VLOOKUP(Table1[[#This Row],[Tên đối tượng]],'DANH MỤC ĐỐI TƯỢNG'!A:E,5,0),"")</f>
        <v>Số 119, Phố Hồ Đắc Di, Phường Nam Đồng, Quận Đống Đa, TP. Hà Nội</v>
      </c>
      <c r="G69" t="str">
        <f>_xlfn.IFNA(VLOOKUP(Table1[[#This Row],[Tên đối tượng]],'DANH MỤC ĐỐI TƯỢNG'!A:F,6,0),"")</f>
        <v>0102159423</v>
      </c>
      <c r="H69" t="str">
        <f>_xlfn.IFNA(VLOOKUP(Table1[[#This Row],[Tên đối tượng]],'DANH MỤC ĐỐI TƯỢNG'!A:I,9,0),"")</f>
        <v>Ngân hàng BIDV - CN Thăng Long</v>
      </c>
      <c r="I69" t="str">
        <f>_xlfn.IFNA(VLOOKUP(Table1[[#This Row],[Tên đối tượng]],'DANH MỤC ĐỐI TƯỢNG'!A:J,10,0),"")</f>
        <v>22010000209925</v>
      </c>
    </row>
    <row r="70" spans="1:9" x14ac:dyDescent="0.3">
      <c r="A70">
        <v>66</v>
      </c>
      <c r="B70" t="s">
        <v>131</v>
      </c>
      <c r="C70" t="s">
        <v>132</v>
      </c>
      <c r="D70" t="str">
        <f t="shared" si="2"/>
        <v>66. V10100</v>
      </c>
      <c r="E70" s="5" t="str">
        <f t="shared" ca="1" si="3"/>
        <v>Công Ty Cổ Phần Đ&amp;T</v>
      </c>
      <c r="F70" t="str">
        <f>IFERROR(VLOOKUP(Table1[[#This Row],[Tên đối tượng]],'DANH MỤC ĐỐI TƯỢNG'!A:E,5,0),"")</f>
        <v>Số 12/174 Văn Cao, Đằng Giang, Ngô Quyền, Hải Phòng</v>
      </c>
      <c r="G70" t="str">
        <f>_xlfn.IFNA(VLOOKUP(Table1[[#This Row],[Tên đối tượng]],'DANH MỤC ĐỐI TƯỢNG'!A:F,6,0),"")</f>
        <v>0200994711</v>
      </c>
      <c r="H70" t="str">
        <f>_xlfn.IFNA(VLOOKUP(Table1[[#This Row],[Tên đối tượng]],'DANH MỤC ĐỐI TƯỢNG'!A:I,9,0),"")</f>
        <v>VP Bank - Hải Phòng</v>
      </c>
      <c r="I70" t="str">
        <f>_xlfn.IFNA(VLOOKUP(Table1[[#This Row],[Tên đối tượng]],'DANH MỤC ĐỐI TƯỢNG'!A:J,10,0),"")</f>
        <v>15471999</v>
      </c>
    </row>
    <row r="71" spans="1:9" x14ac:dyDescent="0.3">
      <c r="A71">
        <v>67</v>
      </c>
      <c r="B71" t="s">
        <v>133</v>
      </c>
      <c r="C71" t="s">
        <v>134</v>
      </c>
      <c r="D71" t="str">
        <f t="shared" si="2"/>
        <v>67. V10110</v>
      </c>
      <c r="E71" s="5" t="str">
        <f t="shared" ca="1" si="3"/>
        <v>Công ty cổ phần Đăng Phong</v>
      </c>
      <c r="F71" t="str">
        <f>IFERROR(VLOOKUP(Table1[[#This Row],[Tên đối tượng]],'DANH MỤC ĐỐI TƯỢNG'!A:E,5,0),"")</f>
        <v>Số 276-277 Trần Hưng Đạo, phường Đông Hải 2, quận Hải An, Tp.Hải Phòng</v>
      </c>
      <c r="G71" t="str">
        <f>_xlfn.IFNA(VLOOKUP(Table1[[#This Row],[Tên đối tượng]],'DANH MỤC ĐỐI TƯỢNG'!A:F,6,0),"")</f>
        <v>0200820507</v>
      </c>
      <c r="H71" t="str">
        <f>_xlfn.IFNA(VLOOKUP(Table1[[#This Row],[Tên đối tượng]],'DANH MỤC ĐỐI TƯỢNG'!A:I,9,0),"")</f>
        <v>TMCP Á Châu - PGD TD Plaza</v>
      </c>
      <c r="I71" t="str">
        <f>_xlfn.IFNA(VLOOKUP(Table1[[#This Row],[Tên đối tượng]],'DANH MỤC ĐỐI TƯỢNG'!A:J,10,0),"")</f>
        <v>166203369</v>
      </c>
    </row>
    <row r="72" spans="1:9" x14ac:dyDescent="0.3">
      <c r="A72">
        <v>68</v>
      </c>
      <c r="B72" t="s">
        <v>135</v>
      </c>
      <c r="C72" t="s">
        <v>136</v>
      </c>
      <c r="D72" t="str">
        <f t="shared" si="2"/>
        <v>68. V10336</v>
      </c>
      <c r="E72" s="5" t="str">
        <f t="shared" ca="1" si="3"/>
        <v>Công ty Cổ Phần Đầu Tư Dịch Vụ Và Thương Mại Việt Đức</v>
      </c>
      <c r="F72" t="str">
        <f>IFERROR(VLOOKUP(Table1[[#This Row],[Tên đối tượng]],'DANH MỤC ĐỐI TƯỢNG'!A:E,5,0),"")</f>
        <v>Số 58/50/286 Lê Lai,Phường Máy Chai, Quận Ngô Quyền,Hải Phòng</v>
      </c>
      <c r="G72">
        <f>_xlfn.IFNA(VLOOKUP(Table1[[#This Row],[Tên đối tượng]],'DANH MỤC ĐỐI TƯỢNG'!A:F,6,0),"")</f>
        <v>0</v>
      </c>
      <c r="H72" t="str">
        <f>_xlfn.IFNA(VLOOKUP(Table1[[#This Row],[Tên đối tượng]],'DANH MỤC ĐỐI TƯỢNG'!A:I,9,0),"")</f>
        <v>Techcombank / Hải Phòng</v>
      </c>
      <c r="I72" t="str">
        <f>_xlfn.IFNA(VLOOKUP(Table1[[#This Row],[Tên đối tượng]],'DANH MỤC ĐỐI TƯỢNG'!A:J,10,0),"")</f>
        <v>10923273367666</v>
      </c>
    </row>
    <row r="73" spans="1:9" x14ac:dyDescent="0.3">
      <c r="A73">
        <v>69</v>
      </c>
      <c r="B73" t="s">
        <v>137</v>
      </c>
      <c r="C73" t="s">
        <v>138</v>
      </c>
      <c r="D73" t="str">
        <f t="shared" si="2"/>
        <v>69. V10178</v>
      </c>
      <c r="E73" s="5" t="str">
        <f t="shared" ca="1" si="3"/>
        <v>Công ty cổ phần đầu tư thiết bị điện chiếu sáng HBH</v>
      </c>
      <c r="F73" t="str">
        <f>IFERROR(VLOOKUP(Table1[[#This Row],[Tên đối tượng]],'DANH MỤC ĐỐI TƯỢNG'!A:E,5,0),"")</f>
        <v>Số 324 Hồ Tùng Mậu, phường Phú Diễn, Quận Bắc Từ Liêm, thành phố Hà Nội, Việt Nam</v>
      </c>
      <c r="G73" t="str">
        <f>_xlfn.IFNA(VLOOKUP(Table1[[#This Row],[Tên đối tượng]],'DANH MỤC ĐỐI TƯỢNG'!A:F,6,0),"")</f>
        <v>0105895196</v>
      </c>
      <c r="H73" t="str">
        <f>_xlfn.IFNA(VLOOKUP(Table1[[#This Row],[Tên đối tượng]],'DANH MỤC ĐỐI TƯỢNG'!A:I,9,0),"")</f>
        <v>BIDV Thăng Long, Hà Nội</v>
      </c>
      <c r="I73" t="str">
        <f>_xlfn.IFNA(VLOOKUP(Table1[[#This Row],[Tên đối tượng]],'DANH MỤC ĐỐI TƯỢNG'!A:J,10,0),"")</f>
        <v>22010000432651</v>
      </c>
    </row>
    <row r="74" spans="1:9" x14ac:dyDescent="0.3">
      <c r="A74">
        <v>70</v>
      </c>
      <c r="B74" t="s">
        <v>139</v>
      </c>
      <c r="C74" t="s">
        <v>140</v>
      </c>
      <c r="D74" t="str">
        <f t="shared" si="2"/>
        <v>70. V10216</v>
      </c>
      <c r="E74" s="5" t="str">
        <f t="shared" ca="1" si="3"/>
        <v>Công ty cổ phần đầu tư thương mại DG</v>
      </c>
      <c r="F74" t="str">
        <f>IFERROR(VLOOKUP(Table1[[#This Row],[Tên đối tượng]],'DANH MỤC ĐỐI TƯỢNG'!A:E,5,0),"")</f>
        <v>15 Trần Phú, Ngô Quyền, Hải phòng</v>
      </c>
      <c r="G74" t="str">
        <f>_xlfn.IFNA(VLOOKUP(Table1[[#This Row],[Tên đối tượng]],'DANH MỤC ĐỐI TƯỢNG'!A:F,6,0),"")</f>
        <v>0200421460</v>
      </c>
      <c r="H74" t="str">
        <f>_xlfn.IFNA(VLOOKUP(Table1[[#This Row],[Tên đối tượng]],'DANH MỤC ĐỐI TƯỢNG'!A:I,9,0),"")</f>
        <v>TMCP Sài Gòn - Hà Nội, CN Hải Phòng</v>
      </c>
      <c r="I74" t="str">
        <f>_xlfn.IFNA(VLOOKUP(Table1[[#This Row],[Tên đối tượng]],'DANH MỤC ĐỐI TƯỢNG'!A:J,10,0),"")</f>
        <v>1 0000 35697</v>
      </c>
    </row>
    <row r="75" spans="1:9" x14ac:dyDescent="0.3">
      <c r="A75">
        <v>71</v>
      </c>
      <c r="B75" t="s">
        <v>141</v>
      </c>
      <c r="C75" t="s">
        <v>142</v>
      </c>
      <c r="D75" t="str">
        <f t="shared" si="2"/>
        <v>71. V10261</v>
      </c>
      <c r="E75" s="5" t="str">
        <f t="shared" ca="1" si="3"/>
        <v>Công ty cổ phần dịch vụ an toàn dầu khí Việt Nam</v>
      </c>
      <c r="F75" t="str">
        <f>IFERROR(VLOOKUP(Table1[[#This Row],[Tên đối tượng]],'DANH MỤC ĐỐI TƯỢNG'!A:E,5,0),"")</f>
        <v>Lầu 2, tòa nhà Coalimex, 29-31 Đinh Bộ Lĩnh, Phường 24, Quận Bình Thạnh, TP Hồ Chí Minh</v>
      </c>
      <c r="G75" t="str">
        <f>_xlfn.IFNA(VLOOKUP(Table1[[#This Row],[Tên đối tượng]],'DANH MỤC ĐỐI TƯỢNG'!A:F,6,0),"")</f>
        <v>0311834569</v>
      </c>
      <c r="H75" t="str">
        <f>_xlfn.IFNA(VLOOKUP(Table1[[#This Row],[Tên đối tượng]],'DANH MỤC ĐỐI TƯỢNG'!A:I,9,0),"")</f>
        <v>Ngân hàng Sacombank - Sở giao dịch</v>
      </c>
      <c r="I75" t="str">
        <f>_xlfn.IFNA(VLOOKUP(Table1[[#This Row],[Tên đối tượng]],'DANH MỤC ĐỐI TƯỢNG'!A:J,10,0),"")</f>
        <v>060051140535</v>
      </c>
    </row>
    <row r="76" spans="1:9" x14ac:dyDescent="0.3">
      <c r="A76">
        <v>72</v>
      </c>
      <c r="B76" t="s">
        <v>143</v>
      </c>
      <c r="C76" t="s">
        <v>144</v>
      </c>
      <c r="D76" t="str">
        <f t="shared" si="2"/>
        <v>72. V10350</v>
      </c>
      <c r="E76" s="5" t="str">
        <f t="shared" ca="1" si="3"/>
        <v>Công ty cổ phần dịch vụ bảo vệ Alsok Việt Nam</v>
      </c>
      <c r="F76" t="str">
        <f>IFERROR(VLOOKUP(Table1[[#This Row],[Tên đối tượng]],'DANH MỤC ĐỐI TƯỢNG'!A:E,5,0),"")</f>
        <v>Km 92 Quốc lộ 5 mới, Phường Hùng Vương,Quận Hồng Bàng,Thành phố Hải Phòng, Việt Nam</v>
      </c>
      <c r="G76">
        <f>_xlfn.IFNA(VLOOKUP(Table1[[#This Row],[Tên đối tượng]],'DANH MỤC ĐỐI TƯỢNG'!A:F,6,0),"")</f>
        <v>0</v>
      </c>
      <c r="H76" t="str">
        <f>_xlfn.IFNA(VLOOKUP(Table1[[#This Row],[Tên đối tượng]],'DANH MỤC ĐỐI TƯỢNG'!A:I,9,0),"")</f>
        <v>Ngân hàng thương mại cổ phần Á Châu-Chi nhánh Hải Phòng</v>
      </c>
      <c r="I76" t="str">
        <f>_xlfn.IFNA(VLOOKUP(Table1[[#This Row],[Tên đối tượng]],'DANH MỤC ĐỐI TƯỢNG'!A:J,10,0),"")</f>
        <v>212168888</v>
      </c>
    </row>
    <row r="77" spans="1:9" x14ac:dyDescent="0.3">
      <c r="A77">
        <v>73</v>
      </c>
      <c r="B77" t="s">
        <v>145</v>
      </c>
      <c r="C77" t="s">
        <v>146</v>
      </c>
      <c r="D77" t="str">
        <f t="shared" si="2"/>
        <v>73. V10022</v>
      </c>
      <c r="E77" s="5" t="str">
        <f t="shared" ca="1" si="3"/>
        <v>Công ty Cổ phần Dịch vụ Kỹ thuật Bảo An</v>
      </c>
      <c r="F77" t="str">
        <f>IFERROR(VLOOKUP(Table1[[#This Row],[Tên đối tượng]],'DANH MỤC ĐỐI TƯỢNG'!A:E,5,0),"")</f>
        <v>Số 3A Lý Tự Trọng, P.Minh Khai, Q.Hồng Bàng, TP. Hải Phòng</v>
      </c>
      <c r="G77">
        <f>_xlfn.IFNA(VLOOKUP(Table1[[#This Row],[Tên đối tượng]],'DANH MỤC ĐỐI TƯỢNG'!A:F,6,0),"")</f>
        <v>0</v>
      </c>
      <c r="H77">
        <f>_xlfn.IFNA(VLOOKUP(Table1[[#This Row],[Tên đối tượng]],'DANH MỤC ĐỐI TƯỢNG'!A:I,9,0),"")</f>
        <v>0</v>
      </c>
      <c r="I77">
        <f>_xlfn.IFNA(VLOOKUP(Table1[[#This Row],[Tên đối tượng]],'DANH MỤC ĐỐI TƯỢNG'!A:J,10,0),"")</f>
        <v>0</v>
      </c>
    </row>
    <row r="78" spans="1:9" x14ac:dyDescent="0.3">
      <c r="A78">
        <v>74</v>
      </c>
      <c r="B78" t="s">
        <v>147</v>
      </c>
      <c r="C78" t="s">
        <v>148</v>
      </c>
      <c r="D78" t="str">
        <f t="shared" si="2"/>
        <v>74. V10355</v>
      </c>
      <c r="E78" s="5" t="str">
        <f t="shared" ca="1" si="3"/>
        <v>Công ty cổ phần dịch vụ thương mại tổng hợp Vincommerce</v>
      </c>
      <c r="F78" t="str">
        <f>IFERROR(VLOOKUP(Table1[[#This Row],[Tên đối tượng]],'DANH MỤC ĐỐI TƯỢNG'!A:E,5,0),"")</f>
        <v>Số 5, đường Lê Thánh TôngTầng 2, Khu TTTM Vincom Center Hải Phòng, Ngô Quyền, Hải Phòng</v>
      </c>
      <c r="G78">
        <f>_xlfn.IFNA(VLOOKUP(Table1[[#This Row],[Tên đối tượng]],'DANH MỤC ĐỐI TƯỢNG'!A:F,6,0),"")</f>
        <v>0</v>
      </c>
      <c r="H78">
        <f>_xlfn.IFNA(VLOOKUP(Table1[[#This Row],[Tên đối tượng]],'DANH MỤC ĐỐI TƯỢNG'!A:I,9,0),"")</f>
        <v>0</v>
      </c>
      <c r="I78">
        <f>_xlfn.IFNA(VLOOKUP(Table1[[#This Row],[Tên đối tượng]],'DANH MỤC ĐỐI TƯỢNG'!A:J,10,0),"")</f>
        <v>0</v>
      </c>
    </row>
    <row r="79" spans="1:9" x14ac:dyDescent="0.3">
      <c r="A79">
        <v>75</v>
      </c>
      <c r="B79" t="s">
        <v>149</v>
      </c>
      <c r="C79" t="s">
        <v>150</v>
      </c>
      <c r="D79" t="str">
        <f t="shared" si="2"/>
        <v>75. V10146</v>
      </c>
      <c r="E79" s="5" t="str">
        <f t="shared" ca="1" si="3"/>
        <v>Công ty cổ phần Điện Công nghiệp tàu thủy Thái Bình Dương</v>
      </c>
      <c r="F79" t="str">
        <f>IFERROR(VLOOKUP(Table1[[#This Row],[Tên đối tượng]],'DANH MỤC ĐỐI TƯỢNG'!A:E,5,0),"")</f>
        <v>Thôn Cây Đa, xã An Lư, huyện Thủy Nguyên, TP Hải Phòng</v>
      </c>
      <c r="G79" t="str">
        <f>_xlfn.IFNA(VLOOKUP(Table1[[#This Row],[Tên đối tượng]],'DANH MỤC ĐỐI TƯỢNG'!A:F,6,0),"")</f>
        <v>0200742986</v>
      </c>
      <c r="H79" t="str">
        <f>_xlfn.IFNA(VLOOKUP(Table1[[#This Row],[Tên đối tượng]],'DANH MỤC ĐỐI TƯỢNG'!A:I,9,0),"")</f>
        <v>Ngân hàng TMCP Á Châu</v>
      </c>
      <c r="I79" t="str">
        <f>_xlfn.IFNA(VLOOKUP(Table1[[#This Row],[Tên đối tượng]],'DANH MỤC ĐỐI TƯỢNG'!A:J,10,0),"")</f>
        <v>72242139</v>
      </c>
    </row>
    <row r="80" spans="1:9" x14ac:dyDescent="0.3">
      <c r="A80">
        <v>76</v>
      </c>
      <c r="B80" t="s">
        <v>151</v>
      </c>
      <c r="C80" t="s">
        <v>152</v>
      </c>
      <c r="D80" t="str">
        <f t="shared" si="2"/>
        <v>76. V10201</v>
      </c>
      <c r="E80" s="5" t="str">
        <f t="shared" ca="1" si="3"/>
        <v>Công ty cổ phần điện tử Techmaster</v>
      </c>
      <c r="F80" t="str">
        <f>IFERROR(VLOOKUP(Table1[[#This Row],[Tên đối tượng]],'DANH MỤC ĐỐI TƯỢNG'!A:E,5,0),"")</f>
        <v>169/1/5 Đường Lương Định Của, Khu phố 3, Phường An Khánh, Thành phố Thủ Đức, Thành phố Hồ Chí Minh, Việt Nam</v>
      </c>
      <c r="G80">
        <f>_xlfn.IFNA(VLOOKUP(Table1[[#This Row],[Tên đối tượng]],'DANH MỤC ĐỐI TƯỢNG'!A:F,6,0),"")</f>
        <v>0</v>
      </c>
      <c r="H80" t="str">
        <f>_xlfn.IFNA(VLOOKUP(Table1[[#This Row],[Tên đối tượng]],'DANH MỤC ĐỐI TƯỢNG'!A:I,9,0),"")</f>
        <v>Thương mại cổ phần Á Châu -CN Tân Bình</v>
      </c>
      <c r="I80" t="str">
        <f>_xlfn.IFNA(VLOOKUP(Table1[[#This Row],[Tên đối tượng]],'DANH MỤC ĐỐI TƯỢNG'!A:J,10,0),"")</f>
        <v>175511269</v>
      </c>
    </row>
    <row r="81" spans="1:9" x14ac:dyDescent="0.3">
      <c r="A81">
        <v>77</v>
      </c>
      <c r="B81" t="s">
        <v>153</v>
      </c>
      <c r="C81" t="s">
        <v>154</v>
      </c>
      <c r="D81" t="str">
        <f t="shared" si="2"/>
        <v>77. V10120</v>
      </c>
      <c r="E81" s="5" t="str">
        <f t="shared" ca="1" si="3"/>
        <v>Công ty Cổ phần Du lịch Khách sạn Hải Đăng</v>
      </c>
      <c r="F81" t="str">
        <f>IFERROR(VLOOKUP(Table1[[#This Row],[Tên đối tượng]],'DANH MỤC ĐỐI TƯỢNG'!A:E,5,0),"")</f>
        <v>Số 19 Trần Khánh Dư, P. Máy Tơ, Q. Ngô Quyền, TP.Hải Phòng</v>
      </c>
      <c r="G81" t="str">
        <f>_xlfn.IFNA(VLOOKUP(Table1[[#This Row],[Tên đối tượng]],'DANH MỤC ĐỐI TƯỢNG'!A:F,6,0),"")</f>
        <v>0200783809</v>
      </c>
      <c r="H81" t="str">
        <f>_xlfn.IFNA(VLOOKUP(Table1[[#This Row],[Tên đối tượng]],'DANH MỤC ĐỐI TƯỢNG'!A:I,9,0),"")</f>
        <v>NH TMCP Quân Đội - CN Nam Hải Phòng</v>
      </c>
      <c r="I81" t="str">
        <f>_xlfn.IFNA(VLOOKUP(Table1[[#This Row],[Tên đối tượng]],'DANH MỤC ĐỐI TƯỢNG'!A:J,10,0),"")</f>
        <v>2531138668668</v>
      </c>
    </row>
    <row r="82" spans="1:9" x14ac:dyDescent="0.3">
      <c r="A82">
        <v>78</v>
      </c>
      <c r="B82" t="s">
        <v>155</v>
      </c>
      <c r="C82" t="s">
        <v>156</v>
      </c>
      <c r="D82" t="str">
        <f t="shared" si="2"/>
        <v>78. V10277</v>
      </c>
      <c r="E82" s="5" t="str">
        <f t="shared" ca="1" si="3"/>
        <v>Công ty cổ phần EEI</v>
      </c>
      <c r="F82" t="str">
        <f>IFERROR(VLOOKUP(Table1[[#This Row],[Tên đối tượng]],'DANH MỤC ĐỐI TƯỢNG'!A:E,5,0),"")</f>
        <v>Số nhà 23A, ngõ 160, đường 208, X.An Đồng, H.An Dương, TP. Hải Phòng</v>
      </c>
      <c r="G82" t="str">
        <f>_xlfn.IFNA(VLOOKUP(Table1[[#This Row],[Tên đối tượng]],'DANH MỤC ĐỐI TƯỢNG'!A:F,6,0),"")</f>
        <v>0201632496</v>
      </c>
      <c r="H82" t="str">
        <f>_xlfn.IFNA(VLOOKUP(Table1[[#This Row],[Tên đối tượng]],'DANH MỤC ĐỐI TƯỢNG'!A:I,9,0),"")</f>
        <v>Ngân hàng TMCP Công Thương - CN Kiến An</v>
      </c>
      <c r="I82" t="str">
        <f>_xlfn.IFNA(VLOOKUP(Table1[[#This Row],[Tên đối tượng]],'DANH MỤC ĐỐI TƯỢNG'!A:J,10,0),"")</f>
        <v>102010002218458</v>
      </c>
    </row>
    <row r="83" spans="1:9" x14ac:dyDescent="0.3">
      <c r="A83">
        <v>79</v>
      </c>
      <c r="B83" t="s">
        <v>157</v>
      </c>
      <c r="C83" t="s">
        <v>158</v>
      </c>
      <c r="D83" t="str">
        <f t="shared" si="2"/>
        <v>79. V10307</v>
      </c>
      <c r="E83" s="5" t="str">
        <f t="shared" ca="1" si="3"/>
        <v>Công ty Cổ phần Giải pháp Công nghệ Việt Nam</v>
      </c>
      <c r="F83" t="str">
        <f>IFERROR(VLOOKUP(Table1[[#This Row],[Tên đối tượng]],'DANH MỤC ĐỐI TƯỢNG'!A:E,5,0),"")</f>
        <v>Tầng 1, Tòa nhà Sông Đà 9, số 2 đường Nguyễn Hoàng, Phường Mỹ Đình 2, Quận Nam Từ Liêm, Thành phố Hà Nội, Việt Nam</v>
      </c>
      <c r="G83" t="str">
        <f>_xlfn.IFNA(VLOOKUP(Table1[[#This Row],[Tên đối tượng]],'DANH MỤC ĐỐI TƯỢNG'!A:F,6,0),"")</f>
        <v>0102185180</v>
      </c>
      <c r="H83" t="str">
        <f>_xlfn.IFNA(VLOOKUP(Table1[[#This Row],[Tên đối tượng]],'DANH MỤC ĐỐI TƯỢNG'!A:I,9,0),"")</f>
        <v>Ngân hàng TMCP Á Châu - Chi nhánh Hà Nội- PGD Kim Đồng</v>
      </c>
      <c r="I83" t="str">
        <f>_xlfn.IFNA(VLOOKUP(Table1[[#This Row],[Tên đối tượng]],'DANH MỤC ĐỐI TƯỢNG'!A:J,10,0),"")</f>
        <v>9040984898</v>
      </c>
    </row>
    <row r="84" spans="1:9" x14ac:dyDescent="0.3">
      <c r="A84">
        <v>80</v>
      </c>
      <c r="B84" t="s">
        <v>159</v>
      </c>
      <c r="C84" t="s">
        <v>160</v>
      </c>
      <c r="D84" t="str">
        <f t="shared" si="2"/>
        <v>80. V10125</v>
      </c>
      <c r="E84" s="5" t="str">
        <f t="shared" ca="1" si="3"/>
        <v>Công ty cổ phần giải pháp VNT Việt Nam</v>
      </c>
      <c r="F84" t="str">
        <f>IFERROR(VLOOKUP(Table1[[#This Row],[Tên đối tượng]],'DANH MỤC ĐỐI TƯỢNG'!A:E,5,0),"")</f>
        <v>Số 8, ngõ 286 Giáp Bát, phường Thịnh Liệt, quận Hoàng Mai, Hà Nội</v>
      </c>
      <c r="G84" t="str">
        <f>_xlfn.IFNA(VLOOKUP(Table1[[#This Row],[Tên đối tượng]],'DANH MỤC ĐỐI TƯỢNG'!A:F,6,0),"")</f>
        <v>0105740724</v>
      </c>
      <c r="H84" t="str">
        <f>_xlfn.IFNA(VLOOKUP(Table1[[#This Row],[Tên đối tượng]],'DANH MỤC ĐỐI TƯỢNG'!A:I,9,0),"")</f>
        <v>TMCP Á Châu - PGD Ngọc Hà</v>
      </c>
      <c r="I84" t="str">
        <f>_xlfn.IFNA(VLOOKUP(Table1[[#This Row],[Tên đối tượng]],'DANH MỤC ĐỐI TƯỢNG'!A:J,10,0),"")</f>
        <v>124747189</v>
      </c>
    </row>
    <row r="85" spans="1:9" x14ac:dyDescent="0.3">
      <c r="A85">
        <v>81</v>
      </c>
      <c r="B85" t="s">
        <v>161</v>
      </c>
      <c r="C85" t="s">
        <v>162</v>
      </c>
      <c r="D85" t="str">
        <f t="shared" si="2"/>
        <v>81. V10312</v>
      </c>
      <c r="E85" s="5" t="str">
        <f t="shared" ca="1" si="3"/>
        <v>CÔNG TY CỔ PHẦN GIÁO DỤC VÀ ĐÀO TẠO QUỐC TẾ HÀNG HẢI</v>
      </c>
      <c r="F85" t="str">
        <f>IFERROR(VLOOKUP(Table1[[#This Row],[Tên đối tượng]],'DANH MỤC ĐỐI TƯỢNG'!A:E,5,0),"")</f>
        <v>Số 484 Lạch Tray , Phường Đổng Quốc Bình, Quận Ngô Quyền, Thành phố Hải Phòng, Việt Nam</v>
      </c>
      <c r="G85">
        <f>_xlfn.IFNA(VLOOKUP(Table1[[#This Row],[Tên đối tượng]],'DANH MỤC ĐỐI TƯỢNG'!A:F,6,0),"")</f>
        <v>0</v>
      </c>
      <c r="H85" t="str">
        <f>_xlfn.IFNA(VLOOKUP(Table1[[#This Row],[Tên đối tượng]],'DANH MỤC ĐỐI TƯỢNG'!A:I,9,0),"")</f>
        <v>Vietin bank CN Hải Phòng</v>
      </c>
      <c r="I85" t="str">
        <f>_xlfn.IFNA(VLOOKUP(Table1[[#This Row],[Tên đối tượng]],'DANH MỤC ĐỐI TƯỢNG'!A:J,10,0),"")</f>
        <v>102010001812017</v>
      </c>
    </row>
    <row r="86" spans="1:9" x14ac:dyDescent="0.3">
      <c r="A86">
        <v>82</v>
      </c>
      <c r="B86" t="s">
        <v>163</v>
      </c>
      <c r="C86" t="s">
        <v>164</v>
      </c>
      <c r="D86" t="str">
        <f t="shared" si="2"/>
        <v>82. V10270</v>
      </c>
      <c r="E86" s="5" t="str">
        <f ca="1">IF(B86&lt;&gt;"",HYPERLINK($A$2&amp;D86,C86),"")</f>
        <v>Công ty cổ phần Hoa Phượng</v>
      </c>
      <c r="F86" t="str">
        <f>IFERROR(VLOOKUP(Table1[[#This Row],[Tên đối tượng]],'DANH MỤC ĐỐI TƯỢNG'!A:E,5,0),"")</f>
        <v>Số 40, Trần Quang Khải, Hoàng Văn Thụ, Hồng bàng, Hải phòng</v>
      </c>
      <c r="G86" t="str">
        <f>_xlfn.IFNA(VLOOKUP(Table1[[#This Row],[Tên đối tượng]],'DANH MỤC ĐỐI TƯỢNG'!A:F,6,0),"")</f>
        <v>0200491387</v>
      </c>
      <c r="H86" t="str">
        <f>_xlfn.IFNA(VLOOKUP(Table1[[#This Row],[Tên đối tượng]],'DANH MỤC ĐỐI TƯỢNG'!A:I,9,0),"")</f>
        <v>Ngân hàng NN &amp; PTNT Việt Nam - CN Bắc Hải Phòng</v>
      </c>
      <c r="I86" t="str">
        <f>_xlfn.IFNA(VLOOKUP(Table1[[#This Row],[Tên đối tượng]],'DANH MỤC ĐỐI TƯỢNG'!A:J,10,0),"")</f>
        <v>2111211002152</v>
      </c>
    </row>
    <row r="87" spans="1:9" x14ac:dyDescent="0.3">
      <c r="A87">
        <v>83</v>
      </c>
      <c r="B87" t="s">
        <v>165</v>
      </c>
      <c r="C87" t="s">
        <v>166</v>
      </c>
      <c r="D87" t="str">
        <f t="shared" si="2"/>
        <v>83. V10340</v>
      </c>
      <c r="E87" s="5" t="str">
        <f t="shared" ca="1" si="3"/>
        <v>Công ty Cổ phần Hợp Nhất Quốc tế</v>
      </c>
      <c r="F87" t="str">
        <f>IFERROR(VLOOKUP(Table1[[#This Row],[Tên đối tượng]],'DANH MỤC ĐỐI TƯỢNG'!A:E,5,0),"")</f>
        <v>Số 3, tầng 1 Tòa nhà 3D, phố Duy Tân, Phường Dịch Vọng Hậu, Quận Cầu Giấy, Hà Nội</v>
      </c>
      <c r="G87">
        <f>_xlfn.IFNA(VLOOKUP(Table1[[#This Row],[Tên đối tượng]],'DANH MỤC ĐỐI TƯỢNG'!A:F,6,0),"")</f>
        <v>0</v>
      </c>
      <c r="H87" t="str">
        <f>_xlfn.IFNA(VLOOKUP(Table1[[#This Row],[Tên đối tượng]],'DANH MỤC ĐỐI TƯỢNG'!A:I,9,0),"")</f>
        <v>Techcombank - CN Hoàng Quốc Việt</v>
      </c>
      <c r="I87" t="str">
        <f>_xlfn.IFNA(VLOOKUP(Table1[[#This Row],[Tên đối tượng]],'DANH MỤC ĐỐI TƯỢNG'!A:J,10,0),"")</f>
        <v>19121133567111</v>
      </c>
    </row>
    <row r="88" spans="1:9" x14ac:dyDescent="0.3">
      <c r="A88">
        <v>84</v>
      </c>
      <c r="B88" t="s">
        <v>167</v>
      </c>
      <c r="C88" t="s">
        <v>168</v>
      </c>
      <c r="D88" t="str">
        <f t="shared" si="2"/>
        <v>84. V10113</v>
      </c>
      <c r="E88" s="5" t="str">
        <f t="shared" ca="1" si="3"/>
        <v>Công ty cổ phần Hưng Phát container</v>
      </c>
      <c r="F88" t="str">
        <f>IFERROR(VLOOKUP(Table1[[#This Row],[Tên đối tượng]],'DANH MỤC ĐỐI TƯỢNG'!A:E,5,0),"")</f>
        <v>175 Trường Chinh- Phường Lãm Hà, Kiến An, Hải Phòng</v>
      </c>
      <c r="G88" t="str">
        <f>_xlfn.IFNA(VLOOKUP(Table1[[#This Row],[Tên đối tượng]],'DANH MỤC ĐỐI TƯỢNG'!A:F,6,0),"")</f>
        <v>0201300437</v>
      </c>
      <c r="H88" t="str">
        <f>_xlfn.IFNA(VLOOKUP(Table1[[#This Row],[Tên đối tượng]],'DANH MỤC ĐỐI TƯỢNG'!A:I,9,0),"")</f>
        <v>Techcombank- Phòng giao dịch Kiến An</v>
      </c>
      <c r="I88" t="str">
        <f>_xlfn.IFNA(VLOOKUP(Table1[[#This Row],[Tên đối tượng]],'DANH MỤC ĐỐI TƯỢNG'!A:J,10,0),"")</f>
        <v>19027292035019</v>
      </c>
    </row>
    <row r="89" spans="1:9" x14ac:dyDescent="0.3">
      <c r="A89">
        <v>85</v>
      </c>
      <c r="B89" t="s">
        <v>169</v>
      </c>
      <c r="C89" t="s">
        <v>170</v>
      </c>
      <c r="D89" t="str">
        <f t="shared" si="2"/>
        <v>85. V10347</v>
      </c>
      <c r="E89" s="5" t="str">
        <f t="shared" ca="1" si="3"/>
        <v>Công ty cổ phần Kansai Việt Nam</v>
      </c>
      <c r="F89" t="str">
        <f>IFERROR(VLOOKUP(Table1[[#This Row],[Tên đối tượng]],'DANH MỤC ĐỐI TƯỢNG'!A:E,5,0),"")</f>
        <v>Số 308C phố Minh Khai, Phường Minh Khai, Quận Hai Bà Trưng, Hà nội</v>
      </c>
      <c r="G89">
        <f>_xlfn.IFNA(VLOOKUP(Table1[[#This Row],[Tên đối tượng]],'DANH MỤC ĐỐI TƯỢNG'!A:F,6,0),"")</f>
        <v>0</v>
      </c>
      <c r="H89">
        <f>_xlfn.IFNA(VLOOKUP(Table1[[#This Row],[Tên đối tượng]],'DANH MỤC ĐỐI TƯỢNG'!A:I,9,0),"")</f>
        <v>0</v>
      </c>
      <c r="I89">
        <f>_xlfn.IFNA(VLOOKUP(Table1[[#This Row],[Tên đối tượng]],'DANH MỤC ĐỐI TƯỢNG'!A:J,10,0),"")</f>
        <v>0</v>
      </c>
    </row>
    <row r="90" spans="1:9" x14ac:dyDescent="0.3">
      <c r="A90">
        <v>86</v>
      </c>
      <c r="B90" t="s">
        <v>171</v>
      </c>
      <c r="C90" t="s">
        <v>172</v>
      </c>
      <c r="D90" t="str">
        <f t="shared" si="2"/>
        <v>86. V10031</v>
      </c>
      <c r="E90" s="5" t="str">
        <f t="shared" ca="1" si="3"/>
        <v>Công ty Cổ Phần Khu Công nghiệp Đình Vũ</v>
      </c>
      <c r="F90" t="str">
        <f>IFERROR(VLOOKUP(Table1[[#This Row],[Tên đối tượng]],'DANH MỤC ĐỐI TƯỢNG'!A:E,5,0),"")</f>
        <v>Tầng 5, Tòa nhà Habour View, Số 12 Trần Phú, Ngô Quyền, Hải Phòng</v>
      </c>
      <c r="G90" t="str">
        <f>_xlfn.IFNA(VLOOKUP(Table1[[#This Row],[Tên đối tượng]],'DANH MỤC ĐỐI TƯỢNG'!A:F,6,0),"")</f>
        <v>0200116717</v>
      </c>
      <c r="H90" t="str">
        <f>_xlfn.IFNA(VLOOKUP(Table1[[#This Row],[Tên đối tượng]],'DANH MỤC ĐỐI TƯỢNG'!A:I,9,0),"")</f>
        <v>NH TMCP Ngoại thương Việt Nam - CN Hải Phòng</v>
      </c>
      <c r="I90" t="str">
        <f>_xlfn.IFNA(VLOOKUP(Table1[[#This Row],[Tên đối tượng]],'DANH MỤC ĐỐI TƯỢNG'!A:J,10,0),"")</f>
        <v>0031 00000 3058</v>
      </c>
    </row>
    <row r="91" spans="1:9" x14ac:dyDescent="0.3">
      <c r="A91">
        <v>87</v>
      </c>
      <c r="B91" t="s">
        <v>173</v>
      </c>
      <c r="C91" t="s">
        <v>174</v>
      </c>
      <c r="D91" t="str">
        <f t="shared" si="2"/>
        <v>87. V10314</v>
      </c>
      <c r="E91" s="5" t="str">
        <f t="shared" ca="1" si="3"/>
        <v>Công ty cổ phần KSMC Việt Nam</v>
      </c>
      <c r="F91" t="str">
        <f>IFERROR(VLOOKUP(Table1[[#This Row],[Tên đối tượng]],'DANH MỤC ĐỐI TƯỢNG'!A:E,5,0),"")</f>
        <v>1706 tầng 17, tòa nhà DMC, số 535 Kim Mã, phường Ngọc Khánh, quận Ba Đình, Tp. Hà Nội</v>
      </c>
      <c r="G91">
        <f>_xlfn.IFNA(VLOOKUP(Table1[[#This Row],[Tên đối tượng]],'DANH MỤC ĐỐI TƯỢNG'!A:F,6,0),"")</f>
        <v>0</v>
      </c>
      <c r="H91" t="str">
        <f>_xlfn.IFNA(VLOOKUP(Table1[[#This Row],[Tên đối tượng]],'DANH MỤC ĐỐI TƯỢNG'!A:I,9,0),"")</f>
        <v>Ngân hàng TMCP Công thương Việt Nam-CN Ba Đình - Hà Nội</v>
      </c>
      <c r="I91" t="str">
        <f>_xlfn.IFNA(VLOOKUP(Table1[[#This Row],[Tên đối tượng]],'DANH MỤC ĐỐI TƯỢNG'!A:J,10,0),"")</f>
        <v>102010002497053</v>
      </c>
    </row>
    <row r="92" spans="1:9" x14ac:dyDescent="0.3">
      <c r="A92">
        <v>88</v>
      </c>
      <c r="B92" t="s">
        <v>175</v>
      </c>
      <c r="C92" t="s">
        <v>176</v>
      </c>
      <c r="D92" t="str">
        <f t="shared" si="2"/>
        <v>88. V10152</v>
      </c>
      <c r="E92" s="5" t="str">
        <f t="shared" ca="1" si="3"/>
        <v>Công ty cổ phần kỹ thuật nền móng và công trình ngầm FECON</v>
      </c>
      <c r="F92" t="str">
        <f>IFERROR(VLOOKUP(Table1[[#This Row],[Tên đối tượng]],'DANH MỤC ĐỐI TƯỢNG'!A:E,5,0),"")</f>
        <v>Tầng 15 tháp CEO, Lô HH2-1, Khu đô thị Mễ Trì Hạ, đường Phạm Hùng, phường Mễ Trì, quận Nam Từ Liêm, thành phố Hà Nội, Việt Nam</v>
      </c>
      <c r="G92" t="str">
        <f>_xlfn.IFNA(VLOOKUP(Table1[[#This Row],[Tên đối tượng]],'DANH MỤC ĐỐI TƯỢNG'!A:F,6,0),"")</f>
        <v>0101502599</v>
      </c>
      <c r="H92" t="str">
        <f>_xlfn.IFNA(VLOOKUP(Table1[[#This Row],[Tên đối tượng]],'DANH MỤC ĐỐI TƯỢNG'!A:I,9,0),"")</f>
        <v>Vietinbank - Dong Da Branch</v>
      </c>
      <c r="I92" t="str">
        <f>_xlfn.IFNA(VLOOKUP(Table1[[#This Row],[Tên đối tượng]],'DANH MỤC ĐỐI TƯỢNG'!A:J,10,0),"")</f>
        <v>102010001855588</v>
      </c>
    </row>
    <row r="93" spans="1:9" x14ac:dyDescent="0.3">
      <c r="A93">
        <v>89</v>
      </c>
      <c r="B93" t="s">
        <v>177</v>
      </c>
      <c r="C93" t="s">
        <v>178</v>
      </c>
      <c r="D93" t="str">
        <f t="shared" si="2"/>
        <v>89. V10155</v>
      </c>
      <c r="E93" s="5" t="str">
        <f t="shared" ca="1" si="3"/>
        <v>Công ty cổ phần kỹ thuật và thương mại thiết bị công nghiệp NTD</v>
      </c>
      <c r="F93" t="str">
        <f>IFERROR(VLOOKUP(Table1[[#This Row],[Tên đối tượng]],'DANH MỤC ĐỐI TƯỢNG'!A:E,5,0),"")</f>
        <v>Số 24, ngách 195/44 phố Vũ Xuân Thiều, tổ 13, phường Phúc Lợi, Quận Long Biên, Thành phố Hà Nội, Việt Nam</v>
      </c>
      <c r="G93" t="str">
        <f>_xlfn.IFNA(VLOOKUP(Table1[[#This Row],[Tên đối tượng]],'DANH MỤC ĐỐI TƯỢNG'!A:F,6,0),"")</f>
        <v>0105832943</v>
      </c>
      <c r="H93" t="str">
        <f>_xlfn.IFNA(VLOOKUP(Table1[[#This Row],[Tên đối tượng]],'DANH MỤC ĐỐI TƯỢNG'!A:I,9,0),"")</f>
        <v>TMCP Hàng Hải - CN Long Biên</v>
      </c>
      <c r="I93" t="str">
        <f>_xlfn.IFNA(VLOOKUP(Table1[[#This Row],[Tên đối tượng]],'DANH MỤC ĐỐI TƯỢNG'!A:J,10,0),"")</f>
        <v>03401010114308</v>
      </c>
    </row>
    <row r="94" spans="1:9" x14ac:dyDescent="0.3">
      <c r="A94">
        <v>90</v>
      </c>
      <c r="B94" t="s">
        <v>179</v>
      </c>
      <c r="C94" t="s">
        <v>180</v>
      </c>
      <c r="D94" t="str">
        <f t="shared" si="2"/>
        <v>90. V10242</v>
      </c>
      <c r="E94" s="5" t="str">
        <f t="shared" ca="1" si="3"/>
        <v>Công ty cổ phần Lawsoft</v>
      </c>
      <c r="F94" t="str">
        <f>IFERROR(VLOOKUP(Table1[[#This Row],[Tên đối tượng]],'DANH MỤC ĐỐI TƯỢNG'!A:E,5,0),"")</f>
        <v>Số 17, Nguyễn Gia Thiều, Phường 6, Quận 3, TP.HCM</v>
      </c>
      <c r="G94" t="str">
        <f>_xlfn.IFNA(VLOOKUP(Table1[[#This Row],[Tên đối tượng]],'DANH MỤC ĐỐI TƯỢNG'!A:F,6,0),"")</f>
        <v>0304504288</v>
      </c>
      <c r="H94" t="str">
        <f>_xlfn.IFNA(VLOOKUP(Table1[[#This Row],[Tên đối tượng]],'DANH MỤC ĐỐI TƯỢNG'!A:I,9,0),"")</f>
        <v>ACB - CN Nguyễn Văn Trỗi</v>
      </c>
      <c r="I94" t="str">
        <f>_xlfn.IFNA(VLOOKUP(Table1[[#This Row],[Tên đối tượng]],'DANH MỤC ĐỐI TƯỢNG'!A:J,10,0),"")</f>
        <v>40348879</v>
      </c>
    </row>
    <row r="95" spans="1:9" x14ac:dyDescent="0.3">
      <c r="A95">
        <v>91</v>
      </c>
      <c r="B95" t="s">
        <v>181</v>
      </c>
      <c r="C95" t="s">
        <v>182</v>
      </c>
      <c r="D95" t="str">
        <f t="shared" si="2"/>
        <v>91. V10239</v>
      </c>
      <c r="E95" s="5" t="str">
        <f t="shared" ca="1" si="3"/>
        <v>Công ty cổ phần may và in Sao đỏ</v>
      </c>
      <c r="F95" t="str">
        <f>IFERROR(VLOOKUP(Table1[[#This Row],[Tên đối tượng]],'DANH MỤC ĐỐI TƯỢNG'!A:E,5,0),"")</f>
        <v>Số 120, đường Tô Hiệu, P.Nguyễn Trãi, Q.Hà đông, Hà nội</v>
      </c>
      <c r="G95">
        <f>_xlfn.IFNA(VLOOKUP(Table1[[#This Row],[Tên đối tượng]],'DANH MỤC ĐỐI TƯỢNG'!A:F,6,0),"")</f>
        <v>0</v>
      </c>
      <c r="H95" t="str">
        <f>_xlfn.IFNA(VLOOKUP(Table1[[#This Row],[Tên đối tượng]],'DANH MỤC ĐỐI TƯỢNG'!A:I,9,0),"")</f>
        <v>Techcombank - CN Lĩnh Nam</v>
      </c>
      <c r="I95" t="str">
        <f>_xlfn.IFNA(VLOOKUP(Table1[[#This Row],[Tên đối tượng]],'DANH MỤC ĐỐI TƯỢNG'!A:J,10,0),"")</f>
        <v>14022645157016</v>
      </c>
    </row>
    <row r="96" spans="1:9" x14ac:dyDescent="0.3">
      <c r="A96">
        <v>92</v>
      </c>
      <c r="B96" t="s">
        <v>183</v>
      </c>
      <c r="C96" t="s">
        <v>184</v>
      </c>
      <c r="D96" t="str">
        <f t="shared" si="2"/>
        <v>92. V10164</v>
      </c>
      <c r="E96" s="5" t="str">
        <f t="shared" ca="1" si="3"/>
        <v>Công ty cổ phần máy và thiết bị tự động hóa Việt Nhật</v>
      </c>
      <c r="F96" t="str">
        <f>IFERROR(VLOOKUP(Table1[[#This Row],[Tên đối tượng]],'DANH MỤC ĐỐI TƯỢNG'!A:E,5,0),"")</f>
        <v>Số 6 - 230/61, Phố Định Công Thượng, Phường Định Công, Quận Hoàng Mai, TP Hà Nội</v>
      </c>
      <c r="G96" t="str">
        <f>_xlfn.IFNA(VLOOKUP(Table1[[#This Row],[Tên đối tượng]],'DANH MỤC ĐỐI TƯỢNG'!A:F,6,0),"")</f>
        <v>0104813507</v>
      </c>
      <c r="H96" t="str">
        <f>_xlfn.IFNA(VLOOKUP(Table1[[#This Row],[Tên đối tượng]],'DANH MỤC ĐỐI TƯỢNG'!A:I,9,0),"")</f>
        <v>Techcombank - CN Bà Triệu, Hoàn Kiếm, Hà Nội</v>
      </c>
      <c r="I96" t="str">
        <f>_xlfn.IFNA(VLOOKUP(Table1[[#This Row],[Tên đối tượng]],'DANH MỤC ĐỐI TƯỢNG'!A:J,10,0),"")</f>
        <v>13823031918011</v>
      </c>
    </row>
    <row r="97" spans="1:9" x14ac:dyDescent="0.3">
      <c r="A97">
        <v>93</v>
      </c>
      <c r="B97" t="s">
        <v>185</v>
      </c>
      <c r="C97" t="s">
        <v>186</v>
      </c>
      <c r="D97" t="str">
        <f t="shared" si="2"/>
        <v>93. V10308</v>
      </c>
      <c r="E97" s="5" t="str">
        <f t="shared" ca="1" si="3"/>
        <v>Công Ty Cổ Phần Môi Trường Xanh</v>
      </c>
      <c r="F97" t="str">
        <f>IFERROR(VLOOKUP(Table1[[#This Row],[Tên đối tượng]],'DANH MỤC ĐỐI TƯỢNG'!A:E,5,0),"")</f>
        <v>Số 5A Võ Thị Sáu, P.Máy Tơ, Q.Ngô Quyền, TP. Hải Phòng</v>
      </c>
      <c r="G97" t="str">
        <f>_xlfn.IFNA(VLOOKUP(Table1[[#This Row],[Tên đối tượng]],'DANH MỤC ĐỐI TƯỢNG'!A:F,6,0),"")</f>
        <v>0200613028</v>
      </c>
      <c r="H97" t="str">
        <f>_xlfn.IFNA(VLOOKUP(Table1[[#This Row],[Tên đối tượng]],'DANH MỤC ĐỐI TƯỢNG'!A:I,9,0),"")</f>
        <v>Ngân hàng TMCP Đông Nam Á- CN Hải Phòng</v>
      </c>
      <c r="I97" t="str">
        <f>_xlfn.IFNA(VLOOKUP(Table1[[#This Row],[Tên đối tượng]],'DANH MỤC ĐỐI TƯỢNG'!A:J,10,0),"")</f>
        <v>30100000333244</v>
      </c>
    </row>
    <row r="98" spans="1:9" x14ac:dyDescent="0.3">
      <c r="A98">
        <v>94</v>
      </c>
      <c r="B98" t="s">
        <v>187</v>
      </c>
      <c r="C98" t="s">
        <v>188</v>
      </c>
      <c r="D98" t="str">
        <f t="shared" si="2"/>
        <v>94. V10131</v>
      </c>
      <c r="E98" s="5" t="str">
        <f t="shared" ca="1" si="3"/>
        <v>Công ty cổ phần Ngân Lợi</v>
      </c>
      <c r="F98" t="str">
        <f>IFERROR(VLOOKUP(Table1[[#This Row],[Tên đối tượng]],'DANH MỤC ĐỐI TƯỢNG'!A:E,5,0),"")</f>
        <v>Số 1/146 An Dương, Yên Phụ, Tây Hồ, Hà Nội</v>
      </c>
      <c r="G98" t="str">
        <f>_xlfn.IFNA(VLOOKUP(Table1[[#This Row],[Tên đối tượng]],'DANH MỤC ĐỐI TƯỢNG'!A:F,6,0),"")</f>
        <v>0102354738</v>
      </c>
      <c r="H98" t="str">
        <f>_xlfn.IFNA(VLOOKUP(Table1[[#This Row],[Tên đối tượng]],'DANH MỤC ĐỐI TƯỢNG'!A:I,9,0),"")</f>
        <v>Sacombank - CN Đông Đô</v>
      </c>
      <c r="I98" t="str">
        <f>_xlfn.IFNA(VLOOKUP(Table1[[#This Row],[Tên đối tượng]],'DANH MỤC ĐỐI TƯỢNG'!A:J,10,0),"")</f>
        <v>020002079225</v>
      </c>
    </row>
    <row r="99" spans="1:9" x14ac:dyDescent="0.3">
      <c r="A99">
        <v>95</v>
      </c>
      <c r="B99" t="s">
        <v>189</v>
      </c>
      <c r="C99" t="s">
        <v>190</v>
      </c>
      <c r="D99" t="str">
        <f t="shared" si="2"/>
        <v>95. V10001</v>
      </c>
      <c r="E99" s="5" t="str">
        <f t="shared" ca="1" si="3"/>
        <v>Công ty cổ phần nghiên cứu và phát triển Đông Giang Việt Nam</v>
      </c>
      <c r="F99" t="str">
        <f>IFERROR(VLOOKUP(Table1[[#This Row],[Tên đối tượng]],'DANH MỤC ĐỐI TƯỢNG'!A:E,5,0),"")</f>
        <v>Số 2-189/31 Hoàng Hoa Thám, Ba Đình, Hà Nội</v>
      </c>
      <c r="G99" t="str">
        <f>_xlfn.IFNA(VLOOKUP(Table1[[#This Row],[Tên đối tượng]],'DANH MỤC ĐỐI TƯỢNG'!A:F,6,0),"")</f>
        <v>0103982622</v>
      </c>
      <c r="H99" t="str">
        <f>_xlfn.IFNA(VLOOKUP(Table1[[#This Row],[Tên đối tượng]],'DANH MỤC ĐỐI TƯỢNG'!A:I,9,0),"")</f>
        <v>Ngân hàng TMCP Ngoại Thương Việt Nam- CN Hoàn Kiếm</v>
      </c>
      <c r="I99" t="str">
        <f>_xlfn.IFNA(VLOOKUP(Table1[[#This Row],[Tên đối tượng]],'DANH MỤC ĐỐI TƯỢNG'!A:J,10,0),"")</f>
        <v>0301000313410</v>
      </c>
    </row>
    <row r="100" spans="1:9" x14ac:dyDescent="0.3">
      <c r="A100">
        <v>96</v>
      </c>
      <c r="B100" t="s">
        <v>191</v>
      </c>
      <c r="C100" t="s">
        <v>192</v>
      </c>
      <c r="D100" t="str">
        <f t="shared" si="2"/>
        <v>96. V10290</v>
      </c>
      <c r="E100" s="5" t="str">
        <f t="shared" ca="1" si="3"/>
        <v>Công ty cổ phần nguồn nhân lực Siêu Việt-chi nhánh tại Hà Nội</v>
      </c>
      <c r="F100" t="str">
        <f>IFERROR(VLOOKUP(Table1[[#This Row],[Tên đối tượng]],'DANH MỤC ĐỐI TƯỢNG'!A:E,5,0),"")</f>
        <v>Tầng 12A, tòa nhà Center Building, số 1 Nguyễn Huy Tưởng, P. Thanh Xuân Trung, Q. Thanh Xuân, Tp. Hà Nội</v>
      </c>
      <c r="G100">
        <f>_xlfn.IFNA(VLOOKUP(Table1[[#This Row],[Tên đối tượng]],'DANH MỤC ĐỐI TƯỢNG'!A:F,6,0),"")</f>
        <v>0</v>
      </c>
      <c r="H100" t="str">
        <f>_xlfn.IFNA(VLOOKUP(Table1[[#This Row],[Tên đối tượng]],'DANH MỤC ĐỐI TƯỢNG'!A:I,9,0),"")</f>
        <v>Ngân hàng thương mại cổ phần Tiên Phong-CN Hà Nội</v>
      </c>
      <c r="I100" t="str">
        <f>_xlfn.IFNA(VLOOKUP(Table1[[#This Row],[Tên đối tượng]],'DANH MỤC ĐỐI TƯỢNG'!A:J,10,0),"")</f>
        <v>01415452001</v>
      </c>
    </row>
    <row r="101" spans="1:9" x14ac:dyDescent="0.3">
      <c r="A101">
        <v>97</v>
      </c>
      <c r="B101" t="s">
        <v>193</v>
      </c>
      <c r="C101" t="s">
        <v>194</v>
      </c>
      <c r="D101" t="str">
        <f t="shared" si="2"/>
        <v>97. V10365</v>
      </c>
      <c r="E101" s="5" t="str">
        <f t="shared" ca="1" si="3"/>
        <v>Công ty cổ phần Phòng cháy chữa cháy Thăng Long</v>
      </c>
      <c r="F101" t="str">
        <f>IFERROR(VLOOKUP(Table1[[#This Row],[Tên đối tượng]],'DANH MỤC ĐỐI TƯỢNG'!A:E,5,0),"")</f>
        <v>Phường Thanh Xuân Trung, Số 58B Vũ Trọng Phụng, quận Thanh Xuân, thành phố Hà Nội</v>
      </c>
      <c r="G101">
        <f>_xlfn.IFNA(VLOOKUP(Table1[[#This Row],[Tên đối tượng]],'DANH MỤC ĐỐI TƯỢNG'!A:F,6,0),"")</f>
        <v>0</v>
      </c>
      <c r="H101" t="str">
        <f>_xlfn.IFNA(VLOOKUP(Table1[[#This Row],[Tên đối tượng]],'DANH MỤC ĐỐI TƯỢNG'!A:I,9,0),"")</f>
        <v>Sai Gon Thuong Tin Bank /  Hà Nội branch</v>
      </c>
      <c r="I101" t="str">
        <f>_xlfn.IFNA(VLOOKUP(Table1[[#This Row],[Tên đối tượng]],'DANH MỤC ĐỐI TƯỢNG'!A:J,10,0),"")</f>
        <v>020039495555</v>
      </c>
    </row>
    <row r="102" spans="1:9" x14ac:dyDescent="0.3">
      <c r="A102">
        <v>98</v>
      </c>
      <c r="B102" t="s">
        <v>195</v>
      </c>
      <c r="C102" t="s">
        <v>196</v>
      </c>
      <c r="D102" t="str">
        <f t="shared" si="2"/>
        <v>98. V10038</v>
      </c>
      <c r="E102" s="5" t="str">
        <f t="shared" ca="1" si="3"/>
        <v>Công ty cổ phần quốc tế A.S.I.A</v>
      </c>
      <c r="F102" t="str">
        <f>IFERROR(VLOOKUP(Table1[[#This Row],[Tên đối tượng]],'DANH MỤC ĐỐI TƯỢNG'!A:E,5,0),"")</f>
        <v>Số 1/213 Lạch Tray, .Đổng Quốc Bình, Hải Phòng</v>
      </c>
      <c r="G102" t="str">
        <f>_xlfn.IFNA(VLOOKUP(Table1[[#This Row],[Tên đối tượng]],'DANH MỤC ĐỐI TƯỢNG'!A:F,6,0),"")</f>
        <v>0200838656</v>
      </c>
      <c r="H102" t="str">
        <f>_xlfn.IFNA(VLOOKUP(Table1[[#This Row],[Tên đối tượng]],'DANH MỤC ĐỐI TƯỢNG'!A:I,9,0),"")</f>
        <v>Techcombank - Chi nhánh Văn Cao - TP Hải Phòng</v>
      </c>
      <c r="I102" t="str">
        <f>_xlfn.IFNA(VLOOKUP(Table1[[#This Row],[Tên đối tượng]],'DANH MỤC ĐỐI TƯỢNG'!A:J,10,0),"")</f>
        <v>14021218206018</v>
      </c>
    </row>
    <row r="103" spans="1:9" x14ac:dyDescent="0.3">
      <c r="A103">
        <v>99</v>
      </c>
      <c r="B103" t="s">
        <v>197</v>
      </c>
      <c r="C103" t="s">
        <v>198</v>
      </c>
      <c r="D103" t="str">
        <f t="shared" si="2"/>
        <v>99. V10171</v>
      </c>
      <c r="E103" s="5" t="str">
        <f t="shared" ca="1" si="3"/>
        <v>Công Ty Cổ Phần Quốc Tế ALO</v>
      </c>
      <c r="F103" t="str">
        <f>IFERROR(VLOOKUP(Table1[[#This Row],[Tên đối tượng]],'DANH MỤC ĐỐI TƯỢNG'!A:E,5,0),"")</f>
        <v>193 Tôn Đức Thắng - An Dương - Hải Phòng</v>
      </c>
      <c r="G103" t="str">
        <f>_xlfn.IFNA(VLOOKUP(Table1[[#This Row],[Tên đối tượng]],'DANH MỤC ĐỐI TƯỢNG'!A:F,6,0),"")</f>
        <v>0200674398</v>
      </c>
      <c r="H103" t="str">
        <f>_xlfn.IFNA(VLOOKUP(Table1[[#This Row],[Tên đối tượng]],'DANH MỤC ĐỐI TƯỢNG'!A:I,9,0),"")</f>
        <v>Maritime Bank Hải Phòng</v>
      </c>
      <c r="I103" t="str">
        <f>_xlfn.IFNA(VLOOKUP(Table1[[#This Row],[Tên đối tượng]],'DANH MỤC ĐỐI TƯỢNG'!A:J,10,0),"")</f>
        <v>02001010222688</v>
      </c>
    </row>
    <row r="104" spans="1:9" x14ac:dyDescent="0.3">
      <c r="A104">
        <v>100</v>
      </c>
      <c r="B104" t="s">
        <v>199</v>
      </c>
      <c r="C104" t="s">
        <v>200</v>
      </c>
      <c r="D104" t="str">
        <f t="shared" si="2"/>
        <v>100. V10344</v>
      </c>
      <c r="E104" s="5" t="str">
        <f t="shared" ca="1" si="3"/>
        <v>Công ty cổ phần quốc tế MBA</v>
      </c>
      <c r="F104" t="str">
        <f>IFERROR(VLOOKUP(Table1[[#This Row],[Tên đối tượng]],'DANH MỤC ĐỐI TƯỢNG'!A:E,5,0),"")</f>
        <v>204/16 quốc lộ 13, phường 26, quận Bình Thạnh, thành phố Hồ Chí Minh,Việt Nam</v>
      </c>
      <c r="G104" t="str">
        <f>_xlfn.IFNA(VLOOKUP(Table1[[#This Row],[Tên đối tượng]],'DANH MỤC ĐỐI TƯỢNG'!A:F,6,0),"")</f>
        <v>0304184581</v>
      </c>
      <c r="H104" t="str">
        <f>_xlfn.IFNA(VLOOKUP(Table1[[#This Row],[Tên đối tượng]],'DANH MỤC ĐỐI TƯỢNG'!A:I,9,0),"")</f>
        <v>Sở Giao dịch NH Á Châu, 422 Nguyễn Thị Minh Khai, Q3, TPHCM</v>
      </c>
      <c r="I104" t="str">
        <f>_xlfn.IFNA(VLOOKUP(Table1[[#This Row],[Tên đối tượng]],'DANH MỤC ĐỐI TƯỢNG'!A:J,10,0),"")</f>
        <v>17051339</v>
      </c>
    </row>
    <row r="105" spans="1:9" x14ac:dyDescent="0.3">
      <c r="A105">
        <v>101</v>
      </c>
      <c r="B105" t="s">
        <v>201</v>
      </c>
      <c r="C105" t="s">
        <v>202</v>
      </c>
      <c r="D105" t="str">
        <f t="shared" si="2"/>
        <v>101. V10046</v>
      </c>
      <c r="E105" s="5" t="str">
        <f t="shared" ca="1" si="3"/>
        <v>Công ty Cổ phần quốc tế Telehouse Việt Nam</v>
      </c>
      <c r="F105" t="str">
        <f>IFERROR(VLOOKUP(Table1[[#This Row],[Tên đối tượng]],'DANH MỤC ĐỐI TƯỢNG'!A:E,5,0),"")</f>
        <v>Tòa nhà FPT Cầu Giấy , lô B2, cụm sản xuất Tiểu thủ công nghiệp và Công nghiệp nhỏ, đường Phạm Hùng, quận Cầu Giấy , TP. Hà Nội</v>
      </c>
      <c r="G105" t="str">
        <f>_xlfn.IFNA(VLOOKUP(Table1[[#This Row],[Tên đối tượng]],'DANH MỤC ĐỐI TƯỢNG'!A:F,6,0),"")</f>
        <v>0104821995</v>
      </c>
      <c r="H105" t="str">
        <f>_xlfn.IFNA(VLOOKUP(Table1[[#This Row],[Tên đối tượng]],'DANH MỤC ĐỐI TƯỢNG'!A:I,9,0),"")</f>
        <v>TMCP Tiên Phong - Chi nhánh Hoàn Kiếm, Hà Nội</v>
      </c>
      <c r="I105" t="str">
        <f>_xlfn.IFNA(VLOOKUP(Table1[[#This Row],[Tên đối tượng]],'DANH MỤC ĐỐI TƯỢNG'!A:J,10,0),"")</f>
        <v>001.98888888.004</v>
      </c>
    </row>
    <row r="106" spans="1:9" x14ac:dyDescent="0.3">
      <c r="A106">
        <v>102</v>
      </c>
      <c r="B106" t="s">
        <v>203</v>
      </c>
      <c r="C106" t="s">
        <v>204</v>
      </c>
      <c r="D106" t="str">
        <f t="shared" si="2"/>
        <v>102. V10107</v>
      </c>
      <c r="E106" s="5" t="str">
        <f t="shared" ca="1" si="3"/>
        <v>Công Ty Cổ Phần Sản Xuất Kết Cấu Phụ Trợ  Công Nghiệp Hải Phòng</v>
      </c>
      <c r="F106" t="str">
        <f>IFERROR(VLOOKUP(Table1[[#This Row],[Tên đối tượng]],'DANH MỤC ĐỐI TƯỢNG'!A:E,5,0),"")</f>
        <v>Số 21 Mê Linh, phường An Biên, Quận Lê Chân, TP Hải Phòng</v>
      </c>
      <c r="G106" t="str">
        <f>_xlfn.IFNA(VLOOKUP(Table1[[#This Row],[Tên đối tượng]],'DANH MỤC ĐỐI TƯỢNG'!A:F,6,0),"")</f>
        <v>0201288638</v>
      </c>
      <c r="H106" t="str">
        <f>_xlfn.IFNA(VLOOKUP(Table1[[#This Row],[Tên đối tượng]],'DANH MỤC ĐỐI TƯỢNG'!A:I,9,0),"")</f>
        <v>Ngân hàng TMCP Quân Đội - CN Bắc Hải - PGD Lê Chân - Hải Phòng</v>
      </c>
      <c r="I106" t="str">
        <f>_xlfn.IFNA(VLOOKUP(Table1[[#This Row],[Tên đối tượng]],'DANH MỤC ĐỐI TƯỢNG'!A:J,10,0),"")</f>
        <v>2521102228666</v>
      </c>
    </row>
    <row r="107" spans="1:9" x14ac:dyDescent="0.3">
      <c r="A107">
        <v>103</v>
      </c>
      <c r="B107" t="s">
        <v>205</v>
      </c>
      <c r="C107" t="s">
        <v>206</v>
      </c>
      <c r="D107" t="str">
        <f t="shared" si="2"/>
        <v>103. V10266</v>
      </c>
      <c r="E107" s="5" t="str">
        <f t="shared" ca="1" si="3"/>
        <v>Công Ty Cổ Phần Sản Xuất và Kinh Doanh Việt Đức</v>
      </c>
      <c r="F107" t="str">
        <f>IFERROR(VLOOKUP(Table1[[#This Row],[Tên đối tượng]],'DANH MỤC ĐỐI TƯỢNG'!A:E,5,0),"")</f>
        <v>Số 82 An Trang, Xã An Đồng, Huyện An Dương, Thành Phố Hải Phòng, Việt Nam</v>
      </c>
      <c r="G107" t="str">
        <f>_xlfn.IFNA(VLOOKUP(Table1[[#This Row],[Tên đối tượng]],'DANH MỤC ĐỐI TƯỢNG'!A:F,6,0),"")</f>
        <v>0201643836</v>
      </c>
      <c r="H107" t="str">
        <f>_xlfn.IFNA(VLOOKUP(Table1[[#This Row],[Tên đối tượng]],'DANH MỤC ĐỐI TƯỢNG'!A:I,9,0),"")</f>
        <v>Ngân Hàng TMCP Á Châu (ACB) - Chi Nhánh Hải Phòng</v>
      </c>
      <c r="I107" t="str">
        <f>_xlfn.IFNA(VLOOKUP(Table1[[#This Row],[Tên đối tượng]],'DANH MỤC ĐỐI TƯỢNG'!A:J,10,0),"")</f>
        <v>251188</v>
      </c>
    </row>
    <row r="108" spans="1:9" x14ac:dyDescent="0.3">
      <c r="A108">
        <v>104</v>
      </c>
      <c r="B108" t="s">
        <v>207</v>
      </c>
      <c r="C108" t="s">
        <v>208</v>
      </c>
      <c r="D108" t="str">
        <f t="shared" si="2"/>
        <v>104. V10111</v>
      </c>
      <c r="E108" s="5" t="str">
        <f t="shared" ca="1" si="3"/>
        <v>Công ty cổ phần sản xuất và thương mại Đăng Anh</v>
      </c>
      <c r="F108" t="str">
        <f>IFERROR(VLOOKUP(Table1[[#This Row],[Tên đối tượng]],'DANH MỤC ĐỐI TƯỢNG'!A:E,5,0),"")</f>
        <v>Số 43/24 tập thể Xăng dầu-P.Sở Dầu-Q.Hồng Bàng-TP.Hải Phòng</v>
      </c>
      <c r="G108" t="str">
        <f>_xlfn.IFNA(VLOOKUP(Table1[[#This Row],[Tên đối tượng]],'DANH MỤC ĐỐI TƯỢNG'!A:F,6,0),"")</f>
        <v>0201020327</v>
      </c>
      <c r="H108" t="str">
        <f>_xlfn.IFNA(VLOOKUP(Table1[[#This Row],[Tên đối tượng]],'DANH MỤC ĐỐI TƯỢNG'!A:I,9,0),"")</f>
        <v>ACB chi nhánh Duyên Hải</v>
      </c>
      <c r="I108" t="str">
        <f>_xlfn.IFNA(VLOOKUP(Table1[[#This Row],[Tên đối tượng]],'DANH MỤC ĐỐI TƯỢNG'!A:J,10,0),"")</f>
        <v>71251089</v>
      </c>
    </row>
    <row r="109" spans="1:9" x14ac:dyDescent="0.3">
      <c r="A109">
        <v>105</v>
      </c>
      <c r="B109" t="s">
        <v>209</v>
      </c>
      <c r="C109" t="s">
        <v>210</v>
      </c>
      <c r="D109" t="str">
        <f t="shared" si="2"/>
        <v>105. V10249</v>
      </c>
      <c r="E109" s="5" t="str">
        <f t="shared" ca="1" si="3"/>
        <v>Công ty cổ phần sản xuất và thương mại thiết bị Inox Bếp Việt</v>
      </c>
      <c r="F109" t="str">
        <f>IFERROR(VLOOKUP(Table1[[#This Row],[Tên đối tượng]],'DANH MỤC ĐỐI TƯỢNG'!A:E,5,0),"")</f>
        <v>Xóm 1 Bắc, xã kim Nỗ, huyện Đông Anh, Tp Hà Nội</v>
      </c>
      <c r="G109" t="str">
        <f>_xlfn.IFNA(VLOOKUP(Table1[[#This Row],[Tên đối tượng]],'DANH MỤC ĐỐI TƯỢNG'!A:F,6,0),"")</f>
        <v>0104935505</v>
      </c>
      <c r="H109" t="str">
        <f>_xlfn.IFNA(VLOOKUP(Table1[[#This Row],[Tên đối tượng]],'DANH MỤC ĐỐI TƯỢNG'!A:I,9,0),"")</f>
        <v>Ngân hàng Sài Gòn Hà Nội-CN Tây Nam, Hà Nội</v>
      </c>
      <c r="I109" t="str">
        <f>_xlfn.IFNA(VLOOKUP(Table1[[#This Row],[Tên đối tượng]],'DANH MỤC ĐỐI TƯỢNG'!A:J,10,0),"")</f>
        <v>1100120054</v>
      </c>
    </row>
    <row r="110" spans="1:9" x14ac:dyDescent="0.3">
      <c r="A110">
        <v>106</v>
      </c>
      <c r="B110" t="s">
        <v>211</v>
      </c>
      <c r="C110" t="s">
        <v>212</v>
      </c>
      <c r="D110" t="str">
        <f t="shared" si="2"/>
        <v>106. V10349</v>
      </c>
      <c r="E110" s="5" t="str">
        <f t="shared" ca="1" si="3"/>
        <v>Công ty cổ phần Work Station</v>
      </c>
      <c r="F110" t="str">
        <f>IFERROR(VLOOKUP(Table1[[#This Row],[Tên đối tượng]],'DANH MỤC ĐỐI TƯỢNG'!A:E,5,0),"")</f>
        <v>Số 33A, ngõ 66, đường Ngọc Thụy, P.Ngọc Thụy, Q.Long Biên, TP.Hà nội</v>
      </c>
      <c r="G110">
        <f>_xlfn.IFNA(VLOOKUP(Table1[[#This Row],[Tên đối tượng]],'DANH MỤC ĐỐI TƯỢNG'!A:F,6,0),"")</f>
        <v>0</v>
      </c>
      <c r="H110" t="str">
        <f>_xlfn.IFNA(VLOOKUP(Table1[[#This Row],[Tên đối tượng]],'DANH MỤC ĐỐI TƯỢNG'!A:I,9,0),"")</f>
        <v>Ngân hàng TMCP Ngoại thương Việt Nam - CN Hoàn Kiếm</v>
      </c>
      <c r="I110" t="str">
        <f>_xlfn.IFNA(VLOOKUP(Table1[[#This Row],[Tên đối tượng]],'DANH MỤC ĐỐI TƯỢNG'!A:J,10,0),"")</f>
        <v>0301000340920</v>
      </c>
    </row>
    <row r="111" spans="1:9" x14ac:dyDescent="0.3">
      <c r="A111">
        <v>107</v>
      </c>
      <c r="B111" t="s">
        <v>213</v>
      </c>
      <c r="C111" t="s">
        <v>214</v>
      </c>
      <c r="D111" t="str">
        <f t="shared" si="2"/>
        <v>107. V10291</v>
      </c>
      <c r="E111" s="5" t="str">
        <f t="shared" ca="1" si="3"/>
        <v>Công ty cổ phần Tecotec Group</v>
      </c>
      <c r="F111" t="str">
        <f>IFERROR(VLOOKUP(Table1[[#This Row],[Tên đối tượng]],'DANH MỤC ĐỐI TƯỢNG'!A:E,5,0),"")</f>
        <v>Tầng 2, khối đế, tòa nhà CT3A, khhu đô thị Mễ Trì Thượng, Từ Liêm, Hà Nội</v>
      </c>
      <c r="G111" t="str">
        <f>_xlfn.IFNA(VLOOKUP(Table1[[#This Row],[Tên đối tượng]],'DANH MỤC ĐỐI TƯỢNG'!A:F,6,0),"")</f>
        <v>0101038659</v>
      </c>
      <c r="H111" t="str">
        <f>_xlfn.IFNA(VLOOKUP(Table1[[#This Row],[Tên đối tượng]],'DANH MỤC ĐỐI TƯỢNG'!A:I,9,0),"")</f>
        <v>Ngân hàng nông nghiệp và phát triển nông thôn-CN Hoàn Kiếm</v>
      </c>
      <c r="I111" t="str">
        <f>_xlfn.IFNA(VLOOKUP(Table1[[#This Row],[Tên đối tượng]],'DANH MỤC ĐỐI TƯỢNG'!A:J,10,0),"")</f>
        <v>1502201015927 (USD)</v>
      </c>
    </row>
    <row r="112" spans="1:9" x14ac:dyDescent="0.3">
      <c r="A112">
        <v>108</v>
      </c>
      <c r="B112" t="s">
        <v>215</v>
      </c>
      <c r="C112" t="s">
        <v>216</v>
      </c>
      <c r="D112" t="str">
        <f t="shared" si="2"/>
        <v>108. V10103</v>
      </c>
      <c r="E112" s="5" t="str">
        <f t="shared" ca="1" si="3"/>
        <v>Công ty Cổ Phần Thiết Bị - Vật Tư Khoa Học Kỹ Thuật &amp; Du Lịch Trung Sơn T.S.S.E</v>
      </c>
      <c r="F112" t="str">
        <f>IFERROR(VLOOKUP(Table1[[#This Row],[Tên đối tượng]],'DANH MỤC ĐỐI TƯỢNG'!A:E,5,0),"")</f>
        <v>Số 38/16 Nguyễn Văn Trỗi, P.15, Q.Phú Nhuận, TP.HCM</v>
      </c>
      <c r="G112" t="str">
        <f>_xlfn.IFNA(VLOOKUP(Table1[[#This Row],[Tên đối tượng]],'DANH MỤC ĐỐI TƯỢNG'!A:F,6,0),"")</f>
        <v>0303310191</v>
      </c>
      <c r="H112" t="str">
        <f>_xlfn.IFNA(VLOOKUP(Table1[[#This Row],[Tên đối tượng]],'DANH MỤC ĐỐI TƯỢNG'!A:I,9,0),"")</f>
        <v>TMCP Quân Đội - CN TP.HCM</v>
      </c>
      <c r="I112" t="str">
        <f>_xlfn.IFNA(VLOOKUP(Table1[[#This Row],[Tên đối tượng]],'DANH MỤC ĐỐI TƯỢNG'!A:J,10,0),"")</f>
        <v>1011101300008</v>
      </c>
    </row>
    <row r="113" spans="1:9" x14ac:dyDescent="0.3">
      <c r="A113">
        <v>109</v>
      </c>
      <c r="B113" t="s">
        <v>217</v>
      </c>
      <c r="C113" t="s">
        <v>218</v>
      </c>
      <c r="D113" t="str">
        <f t="shared" si="2"/>
        <v>109. V10145</v>
      </c>
      <c r="E113" s="5" t="str">
        <f t="shared" ca="1" si="3"/>
        <v>Công ty cổ phần thương mại dầu khí Hoàng Gia</v>
      </c>
      <c r="F113" t="str">
        <f>IFERROR(VLOOKUP(Table1[[#This Row],[Tên đối tượng]],'DANH MỤC ĐỐI TƯỢNG'!A:E,5,0),"")</f>
        <v>Số 264 Nguyễn Lương Bằng,phường Phù Liễn,Quận Kiến An, TP Hải Phòng</v>
      </c>
      <c r="G113" t="str">
        <f>_xlfn.IFNA(VLOOKUP(Table1[[#This Row],[Tên đối tượng]],'DANH MỤC ĐỐI TƯỢNG'!A:F,6,0),"")</f>
        <v>0201545236</v>
      </c>
      <c r="H113" t="str">
        <f>_xlfn.IFNA(VLOOKUP(Table1[[#This Row],[Tên đối tượng]],'DANH MỤC ĐỐI TƯỢNG'!A:I,9,0),"")</f>
        <v>Ngân hàng Quân đội - CN Hải Phòng</v>
      </c>
      <c r="I113" t="str">
        <f>_xlfn.IFNA(VLOOKUP(Table1[[#This Row],[Tên đối tượng]],'DANH MỤC ĐỐI TƯỢNG'!A:J,10,0),"")</f>
        <v>2511102457007</v>
      </c>
    </row>
    <row r="114" spans="1:9" x14ac:dyDescent="0.3">
      <c r="A114">
        <v>110</v>
      </c>
      <c r="B114" t="s">
        <v>219</v>
      </c>
      <c r="C114" t="s">
        <v>220</v>
      </c>
      <c r="D114" t="str">
        <f t="shared" si="2"/>
        <v>110. V10143</v>
      </c>
      <c r="E114" s="5" t="str">
        <f t="shared" ca="1" si="3"/>
        <v>Công ty cổ phần thương mại đầu tư công nghệ số Việt Nam</v>
      </c>
      <c r="F114" t="str">
        <f>IFERROR(VLOOKUP(Table1[[#This Row],[Tên đối tượng]],'DANH MỤC ĐỐI TƯỢNG'!A:E,5,0),"")</f>
        <v>Số 12B CT2 A1 Đà Nẵng, P.Vạn Mỹ, Q.Ngô Quyền, TP. Hải Phòng</v>
      </c>
      <c r="G114" t="str">
        <f>_xlfn.IFNA(VLOOKUP(Table1[[#This Row],[Tên đối tượng]],'DANH MỤC ĐỐI TƯỢNG'!A:F,6,0),"")</f>
        <v>0201331756</v>
      </c>
      <c r="H114" t="str">
        <f>_xlfn.IFNA(VLOOKUP(Table1[[#This Row],[Tên đối tượng]],'DANH MỤC ĐỐI TƯỢNG'!A:I,9,0),"")</f>
        <v>TMCP Á Châu - CN Duyên Hải</v>
      </c>
      <c r="I114" t="str">
        <f>_xlfn.IFNA(VLOOKUP(Table1[[#This Row],[Tên đối tượng]],'DANH MỤC ĐỐI TƯỢNG'!A:J,10,0),"")</f>
        <v>170603029</v>
      </c>
    </row>
    <row r="115" spans="1:9" x14ac:dyDescent="0.3">
      <c r="A115">
        <v>111</v>
      </c>
      <c r="B115" t="s">
        <v>221</v>
      </c>
      <c r="C115" t="s">
        <v>222</v>
      </c>
      <c r="D115" t="str">
        <f t="shared" si="2"/>
        <v>111. V10265</v>
      </c>
      <c r="E115" s="5" t="str">
        <f t="shared" ca="1" si="3"/>
        <v>Công ty cổ phần thương mại Đông Hưng</v>
      </c>
      <c r="F115" t="str">
        <f>IFERROR(VLOOKUP(Table1[[#This Row],[Tên đối tượng]],'DANH MỤC ĐỐI TƯỢNG'!A:E,5,0),"")</f>
        <v>Số 5 khu chung cư Phương Lưu 1, phường Đông Hải 1, quận Hải An, Hải Phòng</v>
      </c>
      <c r="G115" t="str">
        <f>_xlfn.IFNA(VLOOKUP(Table1[[#This Row],[Tên đối tượng]],'DANH MỤC ĐỐI TƯỢNG'!A:F,6,0),"")</f>
        <v>0200719200</v>
      </c>
      <c r="H115" t="str">
        <f>_xlfn.IFNA(VLOOKUP(Table1[[#This Row],[Tên đối tượng]],'DANH MỤC ĐỐI TƯỢNG'!A:I,9,0),"")</f>
        <v>Ngân hàng ACB - CN Duyên Hải, Hải Phòng</v>
      </c>
      <c r="I115" t="str">
        <f>_xlfn.IFNA(VLOOKUP(Table1[[#This Row],[Tên đối tượng]],'DANH MỤC ĐỐI TƯỢNG'!A:J,10,0),"")</f>
        <v>65939639</v>
      </c>
    </row>
    <row r="116" spans="1:9" x14ac:dyDescent="0.3">
      <c r="A116">
        <v>112</v>
      </c>
      <c r="B116" t="s">
        <v>223</v>
      </c>
      <c r="C116" t="s">
        <v>224</v>
      </c>
      <c r="D116" t="str">
        <f t="shared" si="2"/>
        <v>112. V10099</v>
      </c>
      <c r="E116" s="5" t="str">
        <f t="shared" ca="1" si="3"/>
        <v>Công ty Cổ phần Thương Mại Hướng Nhật</v>
      </c>
      <c r="F116" t="str">
        <f>IFERROR(VLOOKUP(Table1[[#This Row],[Tên đối tượng]],'DANH MỤC ĐỐI TƯỢNG'!A:E,5,0),"")</f>
        <v>Tầng 13, tòa nhà Harec, 4A Láng Hạ, Phường Thành Công, Quận Ba Đình, Thành phố Hà Nội</v>
      </c>
      <c r="G116" t="str">
        <f>_xlfn.IFNA(VLOOKUP(Table1[[#This Row],[Tên đối tượng]],'DANH MỤC ĐỐI TƯỢNG'!A:F,6,0),"")</f>
        <v>0102224489</v>
      </c>
      <c r="H116" t="str">
        <f>_xlfn.IFNA(VLOOKUP(Table1[[#This Row],[Tên đối tượng]],'DANH MỤC ĐỐI TƯỢNG'!A:I,9,0),"")</f>
        <v>Sumitomo Mitsui Banking Corporation, Ha Noi Branch, Viet Nam</v>
      </c>
      <c r="I116" t="str">
        <f>_xlfn.IFNA(VLOOKUP(Table1[[#This Row],[Tên đối tượng]],'DANH MỤC ĐỐI TƯỢNG'!A:J,10,0),"")</f>
        <v>3000042-1 VND</v>
      </c>
    </row>
    <row r="117" spans="1:9" x14ac:dyDescent="0.3">
      <c r="A117">
        <v>113</v>
      </c>
      <c r="B117" t="s">
        <v>225</v>
      </c>
      <c r="C117" t="s">
        <v>226</v>
      </c>
      <c r="D117" t="str">
        <f t="shared" si="2"/>
        <v>113. V10253</v>
      </c>
      <c r="E117" s="5" t="str">
        <f t="shared" ca="1" si="3"/>
        <v>Công ty cổ phần thương mại sinh vật cảnh Cường Đức</v>
      </c>
      <c r="F117" t="str">
        <f>IFERROR(VLOOKUP(Table1[[#This Row],[Tên đối tượng]],'DANH MỤC ĐỐI TƯỢNG'!A:E,5,0),"")</f>
        <v>Thôn Lê Sáng, xã An Hồng, huyện An Dương, thành phố Hải Phòng, Việt Nam</v>
      </c>
      <c r="G117" t="str">
        <f>_xlfn.IFNA(VLOOKUP(Table1[[#This Row],[Tên đối tượng]],'DANH MỤC ĐỐI TƯỢNG'!A:F,6,0),"")</f>
        <v>0200690872</v>
      </c>
      <c r="H117" t="str">
        <f>_xlfn.IFNA(VLOOKUP(Table1[[#This Row],[Tên đối tượng]],'DANH MỤC ĐỐI TƯỢNG'!A:I,9,0),"")</f>
        <v>Ngân hàng ACB-Chi nhánh Quán Toan, Hồng Bàng, Hải Phòng</v>
      </c>
      <c r="I117" t="str">
        <f>_xlfn.IFNA(VLOOKUP(Table1[[#This Row],[Tên đối tượng]],'DANH MỤC ĐỐI TƯỢNG'!A:J,10,0),"")</f>
        <v>133085769</v>
      </c>
    </row>
    <row r="118" spans="1:9" x14ac:dyDescent="0.3">
      <c r="A118">
        <v>114</v>
      </c>
      <c r="B118" t="s">
        <v>227</v>
      </c>
      <c r="C118" t="s">
        <v>228</v>
      </c>
      <c r="D118" t="str">
        <f t="shared" si="2"/>
        <v>114. V10211</v>
      </c>
      <c r="E118" s="5" t="str">
        <f ca="1">IF(B118&lt;&gt;"",HYPERLINK($A$2&amp;D118,C118),"")</f>
        <v>Công ty Cổ phần Thương mại và Công nghệ TST Việt Nam</v>
      </c>
      <c r="F118" t="str">
        <f>IFERROR(VLOOKUP(Table1[[#This Row],[Tên đối tượng]],'DANH MỤC ĐỐI TƯỢNG'!A:E,5,0),"")</f>
        <v>Số 24 dãy E, khu Yên Hòa, Phường Yên Hòa, Quận Cầu Giấy, Thành phố Hà Nội</v>
      </c>
      <c r="G118" t="str">
        <f>_xlfn.IFNA(VLOOKUP(Table1[[#This Row],[Tên đối tượng]],'DANH MỤC ĐỐI TƯỢNG'!A:F,6,0),"")</f>
        <v>0106074788</v>
      </c>
      <c r="H118" t="str">
        <f>_xlfn.IFNA(VLOOKUP(Table1[[#This Row],[Tên đối tượng]],'DANH MỤC ĐỐI TƯỢNG'!A:I,9,0),"")</f>
        <v>Vietcombank - CN Thăng Long</v>
      </c>
      <c r="I118" t="str">
        <f>_xlfn.IFNA(VLOOKUP(Table1[[#This Row],[Tên đối tượng]],'DANH MỤC ĐỐI TƯỢNG'!A:J,10,0),"")</f>
        <v>0491000028719</v>
      </c>
    </row>
    <row r="119" spans="1:9" x14ac:dyDescent="0.3">
      <c r="A119">
        <v>115</v>
      </c>
      <c r="B119" t="s">
        <v>229</v>
      </c>
      <c r="C119" t="s">
        <v>230</v>
      </c>
      <c r="D119" t="str">
        <f t="shared" si="2"/>
        <v>115. V10093</v>
      </c>
      <c r="E119" s="5" t="str">
        <f t="shared" ca="1" si="3"/>
        <v>Công ty Cổ phần Thương mại và Công nghiệp Thùy Minh</v>
      </c>
      <c r="F119" t="str">
        <f>IFERROR(VLOOKUP(Table1[[#This Row],[Tên đối tượng]],'DANH MỤC ĐỐI TƯỢNG'!A:E,5,0),"")</f>
        <v>Số 280 Hai Bà Trưng, Phường Cát Dài, Quận Lê Chân, Thành phố Hải Phòng</v>
      </c>
      <c r="G119" t="str">
        <f>_xlfn.IFNA(VLOOKUP(Table1[[#This Row],[Tên đối tượng]],'DANH MỤC ĐỐI TƯỢNG'!A:F,6,0),"")</f>
        <v>0201041158</v>
      </c>
      <c r="H119" t="str">
        <f>_xlfn.IFNA(VLOOKUP(Table1[[#This Row],[Tên đối tượng]],'DANH MỤC ĐỐI TƯỢNG'!A:I,9,0),"")</f>
        <v>TMCP Dầu khí toàn cầu - CN Hải Phòng</v>
      </c>
      <c r="I119" t="str">
        <f>_xlfn.IFNA(VLOOKUP(Table1[[#This Row],[Tên đối tượng]],'DANH MỤC ĐỐI TƯỢNG'!A:J,10,0),"")</f>
        <v>10090686</v>
      </c>
    </row>
    <row r="120" spans="1:9" x14ac:dyDescent="0.3">
      <c r="A120">
        <v>116</v>
      </c>
      <c r="B120" t="s">
        <v>231</v>
      </c>
      <c r="C120" t="s">
        <v>232</v>
      </c>
      <c r="D120" t="str">
        <f t="shared" si="2"/>
        <v>116. V10267</v>
      </c>
      <c r="E120" s="5" t="str">
        <f t="shared" ca="1" si="3"/>
        <v>Công ty cổ phần thương mại và dịch vụ dầu khí Hải An</v>
      </c>
      <c r="F120" t="str">
        <f>IFERROR(VLOOKUP(Table1[[#This Row],[Tên đối tượng]],'DANH MỤC ĐỐI TƯỢNG'!A:E,5,0),"")</f>
        <v>Thửa đất số 464A, khu Lương Khê 3, phường Tràng Cát, quận Hải An, Tp Hải Phòng, Việt Nam</v>
      </c>
      <c r="G120" t="str">
        <f>_xlfn.IFNA(VLOOKUP(Table1[[#This Row],[Tên đối tượng]],'DANH MỤC ĐỐI TƯỢNG'!A:F,6,0),"")</f>
        <v>0201649115</v>
      </c>
      <c r="H120" t="str">
        <f>_xlfn.IFNA(VLOOKUP(Table1[[#This Row],[Tên đối tượng]],'DANH MỤC ĐỐI TƯỢNG'!A:I,9,0),"")</f>
        <v>Ngân hàng TMCP Quân đội-PGD Hải An, CN Hải Phòng</v>
      </c>
      <c r="I120" t="str">
        <f>_xlfn.IFNA(VLOOKUP(Table1[[#This Row],[Tên đối tượng]],'DANH MỤC ĐỐI TƯỢNG'!A:J,10,0),"")</f>
        <v>2571100296009</v>
      </c>
    </row>
    <row r="121" spans="1:9" x14ac:dyDescent="0.3">
      <c r="A121">
        <v>117</v>
      </c>
      <c r="B121" t="s">
        <v>233</v>
      </c>
      <c r="C121" t="s">
        <v>234</v>
      </c>
      <c r="D121" t="str">
        <f t="shared" si="2"/>
        <v>117. V10129</v>
      </c>
      <c r="E121" s="5" t="str">
        <f t="shared" ca="1" si="3"/>
        <v>Công ty cổ phần Thương mại và Dịch vụ GMAX</v>
      </c>
      <c r="F121" t="str">
        <f>IFERROR(VLOOKUP(Table1[[#This Row],[Tên đối tượng]],'DANH MỤC ĐỐI TƯỢNG'!A:E,5,0),"")</f>
        <v>Thôn Do Nha 5 (tại nhà ông Vũ Văn Giang), Xã Tân Tiến, Huyện An Dương, Thành phố Hải Phòng, Việt Nam</v>
      </c>
      <c r="G121" t="str">
        <f>_xlfn.IFNA(VLOOKUP(Table1[[#This Row],[Tên đối tượng]],'DANH MỤC ĐỐI TƯỢNG'!A:F,6,0),"")</f>
        <v>0201318441</v>
      </c>
      <c r="H121" t="str">
        <f>_xlfn.IFNA(VLOOKUP(Table1[[#This Row],[Tên đối tượng]],'DANH MỤC ĐỐI TƯỢNG'!A:I,9,0),"")</f>
        <v>Ngân hàng thương mại cổ phần Quân đội - Chi nhánh Hải Phòng</v>
      </c>
      <c r="I121" t="str">
        <f>_xlfn.IFNA(VLOOKUP(Table1[[#This Row],[Tên đối tượng]],'DANH MỤC ĐỐI TƯỢNG'!A:J,10,0),"")</f>
        <v>2581189666888</v>
      </c>
    </row>
    <row r="122" spans="1:9" x14ac:dyDescent="0.3">
      <c r="A122">
        <v>118</v>
      </c>
      <c r="B122" t="s">
        <v>235</v>
      </c>
      <c r="C122" t="s">
        <v>236</v>
      </c>
      <c r="D122" t="str">
        <f t="shared" si="2"/>
        <v>118. V10061</v>
      </c>
      <c r="E122" s="5" t="str">
        <f t="shared" ca="1" si="3"/>
        <v>Công ty cổ phần thương mại và dịch vụ I.F.S.C</v>
      </c>
      <c r="F122" t="str">
        <f>IFERROR(VLOOKUP(Table1[[#This Row],[Tên đối tượng]],'DANH MỤC ĐỐI TƯỢNG'!A:E,5,0),"")</f>
        <v>Phòng 1104, nhà B11B, Nam Trung Yên, Trung Hòa, Hà Nội</v>
      </c>
      <c r="G122" t="str">
        <f>_xlfn.IFNA(VLOOKUP(Table1[[#This Row],[Tên đối tượng]],'DANH MỤC ĐỐI TƯỢNG'!A:F,6,0),"")</f>
        <v>0101898710</v>
      </c>
      <c r="H122" t="str">
        <f>_xlfn.IFNA(VLOOKUP(Table1[[#This Row],[Tên đối tượng]],'DANH MỤC ĐỐI TƯỢNG'!A:I,9,0),"")</f>
        <v>TMCP Bưu điện Liên Việt - PDG Triệu Việt Vương - CN Thăng Long</v>
      </c>
      <c r="I122" t="str">
        <f>_xlfn.IFNA(VLOOKUP(Table1[[#This Row],[Tên đối tượng]],'DANH MỤC ĐỐI TƯỢNG'!A:J,10,0),"")</f>
        <v>41121120002867040036</v>
      </c>
    </row>
    <row r="123" spans="1:9" x14ac:dyDescent="0.3">
      <c r="A123">
        <v>119</v>
      </c>
      <c r="B123" t="s">
        <v>237</v>
      </c>
      <c r="C123" t="s">
        <v>238</v>
      </c>
      <c r="D123" t="str">
        <f t="shared" si="2"/>
        <v>119. V10236</v>
      </c>
      <c r="E123" s="5" t="str">
        <f t="shared" ca="1" si="3"/>
        <v>Công ty Cổ phần Thương mại và Dịch vụ KT Thành Đạt</v>
      </c>
      <c r="F123" t="str">
        <f>IFERROR(VLOOKUP(Table1[[#This Row],[Tên đối tượng]],'DANH MỤC ĐỐI TƯỢNG'!A:E,5,0),"")</f>
        <v>Số 71 Đường bờ sông Quan Hoa-Phường Quan Hoa-Cầu Giấy,Hà Nội, Vietnam</v>
      </c>
      <c r="G123">
        <f>_xlfn.IFNA(VLOOKUP(Table1[[#This Row],[Tên đối tượng]],'DANH MỤC ĐỐI TƯỢNG'!A:F,6,0),"")</f>
        <v>0</v>
      </c>
      <c r="H123" t="str">
        <f>_xlfn.IFNA(VLOOKUP(Table1[[#This Row],[Tên đối tượng]],'DANH MỤC ĐỐI TƯỢNG'!A:I,9,0),"")</f>
        <v>Ngân hàng nông nghiệp và phát triển nông thôn, Cầu Giấy, Hà Nội</v>
      </c>
      <c r="I123" t="str">
        <f>_xlfn.IFNA(VLOOKUP(Table1[[#This Row],[Tên đối tượng]],'DANH MỤC ĐỐI TƯỢNG'!A:J,10,0),"")</f>
        <v>1507201014713</v>
      </c>
    </row>
    <row r="124" spans="1:9" x14ac:dyDescent="0.3">
      <c r="A124">
        <v>120</v>
      </c>
      <c r="B124" t="s">
        <v>239</v>
      </c>
      <c r="C124" t="s">
        <v>240</v>
      </c>
      <c r="D124" t="str">
        <f t="shared" si="2"/>
        <v>120. V10245</v>
      </c>
      <c r="E124" s="5" t="str">
        <f t="shared" ca="1" si="3"/>
        <v>Công Ty Cổ Phần Thương Mại Và Du Lịch Tầm Nhìn Việt</v>
      </c>
      <c r="F124" t="str">
        <f>IFERROR(VLOOKUP(Table1[[#This Row],[Tên đối tượng]],'DANH MỤC ĐỐI TƯỢNG'!A:E,5,0),"")</f>
        <v>Số 31A , phố Văn Miếu, phường Văn Miếu, quận Đống Đa, thành phố Hà Nội</v>
      </c>
      <c r="G124">
        <f>_xlfn.IFNA(VLOOKUP(Table1[[#This Row],[Tên đối tượng]],'DANH MỤC ĐỐI TƯỢNG'!A:F,6,0),"")</f>
        <v>0</v>
      </c>
      <c r="H124" t="str">
        <f>_xlfn.IFNA(VLOOKUP(Table1[[#This Row],[Tên đối tượng]],'DANH MỤC ĐỐI TƯỢNG'!A:I,9,0),"")</f>
        <v>Ngân hàng VIB,Láng Hạ, Đống Đa, Hà Nội</v>
      </c>
      <c r="I124" t="str">
        <f>_xlfn.IFNA(VLOOKUP(Table1[[#This Row],[Tên đối tượng]],'DANH MỤC ĐỐI TƯỢNG'!A:J,10,0),"")</f>
        <v>023 704 060 024 807</v>
      </c>
    </row>
    <row r="125" spans="1:9" x14ac:dyDescent="0.3">
      <c r="A125">
        <v>121</v>
      </c>
      <c r="B125" t="s">
        <v>241</v>
      </c>
      <c r="C125" t="s">
        <v>242</v>
      </c>
      <c r="D125" t="str">
        <f t="shared" si="2"/>
        <v>121. V10274</v>
      </c>
      <c r="E125" s="5" t="str">
        <f t="shared" ca="1" si="3"/>
        <v>Công Ty Cổ Phần Thương Mại và Xây Lắp Điện Trường Phúc</v>
      </c>
      <c r="F125" t="str">
        <f>IFERROR(VLOOKUP(Table1[[#This Row],[Tên đối tượng]],'DANH MỤC ĐỐI TƯỢNG'!A:E,5,0),"")</f>
        <v>Thôn 5 - Do Nha, Xã Tân Tiến, Huyện An Dương, Thành Phố Hải Phòng</v>
      </c>
      <c r="G125">
        <f>_xlfn.IFNA(VLOOKUP(Table1[[#This Row],[Tên đối tượng]],'DANH MỤC ĐỐI TƯỢNG'!A:F,6,0),"")</f>
        <v>0</v>
      </c>
      <c r="H125" t="str">
        <f>_xlfn.IFNA(VLOOKUP(Table1[[#This Row],[Tên đối tượng]],'DANH MỤC ĐỐI TƯỢNG'!A:I,9,0),"")</f>
        <v>Ngân hàng nông nghiệp và phát triển nông thôn-CN huyện An Dương</v>
      </c>
      <c r="I125" t="str">
        <f>_xlfn.IFNA(VLOOKUP(Table1[[#This Row],[Tên đối tượng]],'DANH MỤC ĐỐI TƯỢNG'!A:J,10,0),"")</f>
        <v>2102201005165</v>
      </c>
    </row>
    <row r="126" spans="1:9" x14ac:dyDescent="0.3">
      <c r="A126">
        <v>122</v>
      </c>
      <c r="B126" t="s">
        <v>243</v>
      </c>
      <c r="C126" t="s">
        <v>244</v>
      </c>
      <c r="D126" t="str">
        <f t="shared" si="2"/>
        <v>122. V10160</v>
      </c>
      <c r="E126" s="5" t="str">
        <f t="shared" ca="1" si="3"/>
        <v>Công ty cổ phần Trọng Việt Hưng</v>
      </c>
      <c r="F126" t="str">
        <f>IFERROR(VLOOKUP(Table1[[#This Row],[Tên đối tượng]],'DANH MỤC ĐỐI TƯỢNG'!A:E,5,0),"")</f>
        <v>Xóm Chùa, Phạm Dùng, An Hồng, An Dương, Hải Phòng</v>
      </c>
      <c r="G126" t="str">
        <f>_xlfn.IFNA(VLOOKUP(Table1[[#This Row],[Tên đối tượng]],'DANH MỤC ĐỐI TƯỢNG'!A:F,6,0),"")</f>
        <v>0200946806</v>
      </c>
      <c r="H126" t="str">
        <f>_xlfn.IFNA(VLOOKUP(Table1[[#This Row],[Tên đối tượng]],'DANH MỤC ĐỐI TƯỢNG'!A:I,9,0),"")</f>
        <v>ACB -CN Hải Phòng</v>
      </c>
      <c r="I126" t="str">
        <f>_xlfn.IFNA(VLOOKUP(Table1[[#This Row],[Tên đối tượng]],'DANH MỤC ĐỐI TƯỢNG'!A:J,10,0),"")</f>
        <v>63187519</v>
      </c>
    </row>
    <row r="127" spans="1:9" x14ac:dyDescent="0.3">
      <c r="A127">
        <v>123</v>
      </c>
      <c r="B127" t="s">
        <v>245</v>
      </c>
      <c r="C127" t="s">
        <v>246</v>
      </c>
      <c r="D127" t="str">
        <f t="shared" si="2"/>
        <v>123. V10169</v>
      </c>
      <c r="E127" s="5" t="str">
        <f t="shared" ca="1" si="3"/>
        <v>Công ty cổ phần tự động hóa Bách Khoa TNT</v>
      </c>
      <c r="F127" t="str">
        <f>IFERROR(VLOOKUP(Table1[[#This Row],[Tên đối tượng]],'DANH MỤC ĐỐI TƯỢNG'!A:E,5,0),"")</f>
        <v>PA302-C4 TT Viện Máy Công Cụ và Dụng Cụ, Láng Hạ, Đống Đa, Hà Nội</v>
      </c>
      <c r="G127" t="str">
        <f>_xlfn.IFNA(VLOOKUP(Table1[[#This Row],[Tên đối tượng]],'DANH MỤC ĐỐI TƯỢNG'!A:F,6,0),"")</f>
        <v>0102489830</v>
      </c>
      <c r="H127" t="str">
        <f>_xlfn.IFNA(VLOOKUP(Table1[[#This Row],[Tên đối tượng]],'DANH MỤC ĐỐI TƯỢNG'!A:I,9,0),"")</f>
        <v>Techcombank Hai Bà Trưng, Hà Nội</v>
      </c>
      <c r="I127" t="str">
        <f>_xlfn.IFNA(VLOOKUP(Table1[[#This Row],[Tên đối tượng]],'DANH MỤC ĐỐI TƯỢNG'!A:J,10,0),"")</f>
        <v>11120593783011</v>
      </c>
    </row>
    <row r="128" spans="1:9" x14ac:dyDescent="0.3">
      <c r="A128">
        <v>124</v>
      </c>
      <c r="B128" t="s">
        <v>247</v>
      </c>
      <c r="C128" t="s">
        <v>6965</v>
      </c>
      <c r="D128" t="str">
        <f t="shared" si="2"/>
        <v>124. V10324</v>
      </c>
      <c r="E128" s="5" t="str">
        <f t="shared" ca="1" si="3"/>
        <v>Công ty cổ phần tư vấn đầu tư thương mại và xây dựng Đông Nam Á</v>
      </c>
      <c r="F128" t="str">
        <f>IFERROR(VLOOKUP(Table1[[#This Row],[Tên đối tượng]],'DANH MỤC ĐỐI TƯỢNG'!A:E,5,0),"")</f>
        <v>Số 16 lô 3B Lê Hồng Phong, phường Đông Hải. Quận Ngô Quyền, Hải Phòng</v>
      </c>
      <c r="G128">
        <f>_xlfn.IFNA(VLOOKUP(Table1[[#This Row],[Tên đối tượng]],'DANH MỤC ĐỐI TƯỢNG'!A:F,6,0),"")</f>
        <v>0</v>
      </c>
      <c r="H128" t="str">
        <f>_xlfn.IFNA(VLOOKUP(Table1[[#This Row],[Tên đối tượng]],'DANH MỤC ĐỐI TƯỢNG'!A:I,9,0),"")</f>
        <v>Vietcombank  - Chi nhánh Hải Phòng</v>
      </c>
      <c r="I128" t="str">
        <f>_xlfn.IFNA(VLOOKUP(Table1[[#This Row],[Tên đối tượng]],'DANH MỤC ĐỐI TƯỢNG'!A:J,10,0),"")</f>
        <v>0031000191681</v>
      </c>
    </row>
    <row r="129" spans="1:9" x14ac:dyDescent="0.3">
      <c r="A129">
        <v>125</v>
      </c>
      <c r="B129" t="s">
        <v>248</v>
      </c>
      <c r="C129" t="s">
        <v>249</v>
      </c>
      <c r="D129" t="str">
        <f t="shared" si="2"/>
        <v>125. V10241</v>
      </c>
      <c r="E129" s="5" t="str">
        <f t="shared" ca="1" si="3"/>
        <v>Công ty Cổ phần Ứng dụng công nghệ &amp; CNC Việt Nam</v>
      </c>
      <c r="F129" t="str">
        <f>IFERROR(VLOOKUP(Table1[[#This Row],[Tên đối tượng]],'DANH MỤC ĐỐI TƯỢNG'!A:E,5,0),"")</f>
        <v>Tầng 11 tòa nhà Vinaconex 9 Lô HH2-2 Khu ĐT Mễ Trì Hạ, P. Mễ Trì, Q. Nam Từ Liêm, TP. Hà Nội, Việt Nam</v>
      </c>
      <c r="G129" t="str">
        <f>_xlfn.IFNA(VLOOKUP(Table1[[#This Row],[Tên đối tượng]],'DANH MỤC ĐỐI TƯỢNG'!A:F,6,0),"")</f>
        <v>0102153076</v>
      </c>
      <c r="H129" t="str">
        <f>_xlfn.IFNA(VLOOKUP(Table1[[#This Row],[Tên đối tượng]],'DANH MỤC ĐỐI TƯỢNG'!A:I,9,0),"")</f>
        <v>Ngân hàng TMCP Quân Đội - Hoàng Quốc Việt</v>
      </c>
      <c r="I129" t="str">
        <f>_xlfn.IFNA(VLOOKUP(Table1[[#This Row],[Tên đối tượng]],'DANH MỤC ĐỐI TƯỢNG'!A:J,10,0),"")</f>
        <v>0561100610002</v>
      </c>
    </row>
    <row r="130" spans="1:9" x14ac:dyDescent="0.3">
      <c r="A130">
        <v>126</v>
      </c>
      <c r="B130" t="s">
        <v>250</v>
      </c>
      <c r="C130" t="s">
        <v>251</v>
      </c>
      <c r="D130" t="str">
        <f t="shared" si="2"/>
        <v>126. V10299</v>
      </c>
      <c r="E130" s="5" t="str">
        <f t="shared" ca="1" si="3"/>
        <v>Công ty cổ phần vật tư thiết bị văn hóa</v>
      </c>
      <c r="F130" t="str">
        <f>IFERROR(VLOOKUP(Table1[[#This Row],[Tên đối tượng]],'DANH MỤC ĐỐI TƯỢNG'!A:E,5,0),"")</f>
        <v>,Phường Trần Hưng Đạo,Số 67 Trần Hưng Đạo,Quận Hoàn Kiếm, Thành phố Hà Nội,</v>
      </c>
      <c r="G130">
        <f>_xlfn.IFNA(VLOOKUP(Table1[[#This Row],[Tên đối tượng]],'DANH MỤC ĐỐI TƯỢNG'!A:F,6,0),"")</f>
        <v>0</v>
      </c>
      <c r="H130" t="str">
        <f>_xlfn.IFNA(VLOOKUP(Table1[[#This Row],[Tên đối tượng]],'DANH MỤC ĐỐI TƯỢNG'!A:I,9,0),"")</f>
        <v>TMCP Công Thương Việt Nam - CN Hà Nội</v>
      </c>
      <c r="I130" t="str">
        <f>_xlfn.IFNA(VLOOKUP(Table1[[#This Row],[Tên đối tượng]],'DANH MỤC ĐỐI TƯỢNG'!A:J,10,0),"")</f>
        <v>102010000028345</v>
      </c>
    </row>
    <row r="131" spans="1:9" x14ac:dyDescent="0.3">
      <c r="A131">
        <v>127</v>
      </c>
      <c r="B131" t="s">
        <v>252</v>
      </c>
      <c r="C131" t="s">
        <v>253</v>
      </c>
      <c r="D131" t="str">
        <f t="shared" si="2"/>
        <v>127. V10096</v>
      </c>
      <c r="E131" s="5" t="str">
        <f t="shared" ca="1" si="3"/>
        <v>Công ty cổ phần xăng dầu dầu khí PVOIL Hải Phòng</v>
      </c>
      <c r="F131" t="str">
        <f>IFERROR(VLOOKUP(Table1[[#This Row],[Tên đối tượng]],'DANH MỤC ĐỐI TƯỢNG'!A:E,5,0),"")</f>
        <v>267A Đà Nẵng - Phường Vạn Mỹ - Quận Ngô Quyền - Thành phố Hải Phòng - Việt Nam</v>
      </c>
      <c r="G131" t="str">
        <f>_xlfn.IFNA(VLOOKUP(Table1[[#This Row],[Tên đối tượng]],'DANH MỤC ĐỐI TƯỢNG'!A:F,6,0),"")</f>
        <v>0201185752</v>
      </c>
      <c r="H131" t="str">
        <f>_xlfn.IFNA(VLOOKUP(Table1[[#This Row],[Tên đối tượng]],'DANH MỤC ĐỐI TƯỢNG'!A:I,9,0),"")</f>
        <v>Nông nghiệp và Phát triển nông thôn Việt Nam - CN Quận Ngô Quyền</v>
      </c>
      <c r="I131" t="str">
        <f>_xlfn.IFNA(VLOOKUP(Table1[[#This Row],[Tên đối tượng]],'DANH MỤC ĐỐI TƯỢNG'!A:J,10,0),"")</f>
        <v>2101201005577</v>
      </c>
    </row>
    <row r="132" spans="1:9" x14ac:dyDescent="0.3">
      <c r="A132">
        <v>128</v>
      </c>
      <c r="B132" t="s">
        <v>254</v>
      </c>
      <c r="C132" t="s">
        <v>255</v>
      </c>
      <c r="D132" t="str">
        <f t="shared" si="2"/>
        <v>128. V10128</v>
      </c>
      <c r="E132" s="5" t="str">
        <f t="shared" ca="1" si="3"/>
        <v>Công ty cổ phần xây dựng công trình Đặng Phúc</v>
      </c>
      <c r="F132" t="str">
        <f>IFERROR(VLOOKUP(Table1[[#This Row],[Tên đối tượng]],'DANH MỤC ĐỐI TƯỢNG'!A:E,5,0),"")</f>
        <v>Số 91A/169 Phạm Hữu Điều, phường Niệm Nghĩa, quận Lê Chân, TP.Hải Phòng</v>
      </c>
      <c r="G132" t="str">
        <f>_xlfn.IFNA(VLOOKUP(Table1[[#This Row],[Tên đối tượng]],'DANH MỤC ĐỐI TƯỢNG'!A:F,6,0),"")</f>
        <v>0200925926</v>
      </c>
      <c r="H132" t="str">
        <f>_xlfn.IFNA(VLOOKUP(Table1[[#This Row],[Tên đối tượng]],'DANH MỤC ĐỐI TƯỢNG'!A:I,9,0),"")</f>
        <v>Ngân hàng TMCP Á Châu - CN Hải Phòng</v>
      </c>
      <c r="I132" t="str">
        <f>_xlfn.IFNA(VLOOKUP(Table1[[#This Row],[Tên đối tượng]],'DANH MỤC ĐỐI TƯỢNG'!A:J,10,0),"")</f>
        <v>60585879</v>
      </c>
    </row>
    <row r="133" spans="1:9" x14ac:dyDescent="0.3">
      <c r="A133">
        <v>129</v>
      </c>
      <c r="B133" t="s">
        <v>256</v>
      </c>
      <c r="C133" t="s">
        <v>257</v>
      </c>
      <c r="D133" t="str">
        <f t="shared" ref="D133:D196" si="4">A133&amp;". "&amp;B133</f>
        <v>129. V10196</v>
      </c>
      <c r="E133" s="5" t="str">
        <f t="shared" ref="E133:E196" ca="1" si="5">IF(B133&lt;&gt;"",HYPERLINK($A$2&amp;D133,C133),"")</f>
        <v>Công ty cổ phần xây dựng Keiten Việt Nam</v>
      </c>
      <c r="F133" t="str">
        <f>IFERROR(VLOOKUP(Table1[[#This Row],[Tên đối tượng]],'DANH MỤC ĐỐI TƯỢNG'!A:E,5,0),"")</f>
        <v>Số 324A Lạc Long Quân, Phường Xuân La, Quận Tây Hồ, Thành phố Hà Nội, Việt Nam</v>
      </c>
      <c r="G133" t="str">
        <f>_xlfn.IFNA(VLOOKUP(Table1[[#This Row],[Tên đối tượng]],'DANH MỤC ĐỐI TƯỢNG'!A:F,6,0),"")</f>
        <v>0106031368</v>
      </c>
      <c r="H133" t="str">
        <f>_xlfn.IFNA(VLOOKUP(Table1[[#This Row],[Tên đối tượng]],'DANH MỤC ĐỐI TƯỢNG'!A:I,9,0),"")</f>
        <v>Sumitomo Mitsui Bank Corporation - CN Hà Nội</v>
      </c>
      <c r="I133" t="str">
        <f>_xlfn.IFNA(VLOOKUP(Table1[[#This Row],[Tên đối tượng]],'DANH MỤC ĐỐI TƯỢNG'!A:J,10,0),"")</f>
        <v>10044501</v>
      </c>
    </row>
    <row r="134" spans="1:9" x14ac:dyDescent="0.3">
      <c r="A134">
        <v>130</v>
      </c>
      <c r="B134" t="s">
        <v>258</v>
      </c>
      <c r="C134" t="s">
        <v>259</v>
      </c>
      <c r="D134" t="str">
        <f t="shared" si="4"/>
        <v>130. V10050</v>
      </c>
      <c r="E134" s="5" t="str">
        <f t="shared" ca="1" si="5"/>
        <v>Công ty cổ phần xây dựng và cơ khí Đông A</v>
      </c>
      <c r="F134" t="str">
        <f>IFERROR(VLOOKUP(Table1[[#This Row],[Tên đối tượng]],'DANH MỤC ĐỐI TƯỢNG'!A:E,5,0),"")</f>
        <v>Tổ 45A, cụm 8, P.Đông Khê, Q.Ngô Quyền, TP Hải Phòng</v>
      </c>
      <c r="G134" t="str">
        <f>_xlfn.IFNA(VLOOKUP(Table1[[#This Row],[Tên đối tượng]],'DANH MỤC ĐỐI TƯỢNG'!A:F,6,0),"")</f>
        <v>0201141032</v>
      </c>
      <c r="H134" t="str">
        <f>_xlfn.IFNA(VLOOKUP(Table1[[#This Row],[Tên đối tượng]],'DANH MỤC ĐỐI TƯỢNG'!A:I,9,0),"")</f>
        <v>Ngân hàng ACB - CN Thái Phiên, Hải Phòng</v>
      </c>
      <c r="I134" t="str">
        <f>_xlfn.IFNA(VLOOKUP(Table1[[#This Row],[Tên đối tượng]],'DANH MỤC ĐỐI TƯỢNG'!A:J,10,0),"")</f>
        <v>102057059</v>
      </c>
    </row>
    <row r="135" spans="1:9" x14ac:dyDescent="0.3">
      <c r="A135">
        <v>131</v>
      </c>
      <c r="B135" t="s">
        <v>260</v>
      </c>
      <c r="C135" t="s">
        <v>261</v>
      </c>
      <c r="D135" t="str">
        <f t="shared" si="4"/>
        <v>131. V10244</v>
      </c>
      <c r="E135" s="5" t="str">
        <f t="shared" ca="1" si="5"/>
        <v>Công ty cổ phần xây dựng và dịch vụ môi trường Hải Sơn Trang</v>
      </c>
      <c r="F135" t="str">
        <f>IFERROR(VLOOKUP(Table1[[#This Row],[Tên đối tượng]],'DANH MỤC ĐỐI TƯỢNG'!A:E,5,0),"")</f>
        <v>Số 45/908, đường Ngô Gia Tự, phường Đằng Hải, quận Hải An, thành phố Hải Phòng</v>
      </c>
      <c r="G135">
        <f>_xlfn.IFNA(VLOOKUP(Table1[[#This Row],[Tên đối tượng]],'DANH MỤC ĐỐI TƯỢNG'!A:F,6,0),"")</f>
        <v>0</v>
      </c>
      <c r="H135" t="str">
        <f>_xlfn.IFNA(VLOOKUP(Table1[[#This Row],[Tên đối tượng]],'DANH MỤC ĐỐI TƯỢNG'!A:I,9,0),"")</f>
        <v>Ngân hàng EXIMBANK, VN Hải Phòng</v>
      </c>
      <c r="I135" t="str">
        <f>_xlfn.IFNA(VLOOKUP(Table1[[#This Row],[Tên đối tượng]],'DANH MỤC ĐỐI TƯỢNG'!A:J,10,0),"")</f>
        <v>160314851001170</v>
      </c>
    </row>
    <row r="136" spans="1:9" x14ac:dyDescent="0.3">
      <c r="A136">
        <v>132</v>
      </c>
      <c r="B136" t="s">
        <v>262</v>
      </c>
      <c r="C136" t="s">
        <v>7909</v>
      </c>
      <c r="D136" t="str">
        <f t="shared" si="4"/>
        <v>132. V10034</v>
      </c>
      <c r="E136" s="5" t="str">
        <f t="shared" ca="1" si="5"/>
        <v>Công Ty Cổ Phần Cơ Điện 3D</v>
      </c>
      <c r="F136" t="str">
        <f>IFERROR(VLOOKUP(Table1[[#This Row],[Tên đối tượng]],'DANH MỤC ĐỐI TƯỢNG'!A:E,5,0),"")</f>
        <v>Số 41/143, đường Trường Chinh, P. Lâm Hà, Kiến An, Hải Phòng</v>
      </c>
      <c r="G136">
        <f>_xlfn.IFNA(VLOOKUP(Table1[[#This Row],[Tên đối tượng]],'DANH MỤC ĐỐI TƯỢNG'!A:F,6,0),"")</f>
        <v>0</v>
      </c>
      <c r="H136" t="str">
        <f>_xlfn.IFNA(VLOOKUP(Table1[[#This Row],[Tên đối tượng]],'DANH MỤC ĐỐI TƯỢNG'!A:I,9,0),"")</f>
        <v>Techcombank - CN Hải Phòng</v>
      </c>
      <c r="I136" t="str">
        <f>_xlfn.IFNA(VLOOKUP(Table1[[#This Row],[Tên đối tượng]],'DANH MỤC ĐỐI TƯỢNG'!A:J,10,0),"")</f>
        <v>109.2281.866.68.99</v>
      </c>
    </row>
    <row r="137" spans="1:9" x14ac:dyDescent="0.3">
      <c r="A137">
        <v>133</v>
      </c>
      <c r="B137" t="s">
        <v>263</v>
      </c>
      <c r="C137" t="s">
        <v>264</v>
      </c>
      <c r="D137" t="str">
        <f t="shared" si="4"/>
        <v>133. V10226</v>
      </c>
      <c r="E137" s="5" t="str">
        <f t="shared" ca="1" si="5"/>
        <v>Công ty CP công nghệ máy tính và kiến trúc Hà Nội</v>
      </c>
      <c r="F137" t="str">
        <f>IFERROR(VLOOKUP(Table1[[#This Row],[Tên đối tượng]],'DANH MỤC ĐỐI TƯỢNG'!A:E,5,0),"")</f>
        <v>Số nhà 22, ngõ 100/27, Phố Chợ Khâm Thiên, Hà Nội</v>
      </c>
      <c r="G137">
        <f>_xlfn.IFNA(VLOOKUP(Table1[[#This Row],[Tên đối tượng]],'DANH MỤC ĐỐI TƯỢNG'!A:F,6,0),"")</f>
        <v>0</v>
      </c>
      <c r="H137">
        <f>_xlfn.IFNA(VLOOKUP(Table1[[#This Row],[Tên đối tượng]],'DANH MỤC ĐỐI TƯỢNG'!A:I,9,0),"")</f>
        <v>0</v>
      </c>
      <c r="I137">
        <f>_xlfn.IFNA(VLOOKUP(Table1[[#This Row],[Tên đối tượng]],'DANH MỤC ĐỐI TƯỢNG'!A:J,10,0),"")</f>
        <v>0</v>
      </c>
    </row>
    <row r="138" spans="1:9" x14ac:dyDescent="0.3">
      <c r="A138">
        <v>134</v>
      </c>
      <c r="B138" t="s">
        <v>265</v>
      </c>
      <c r="C138" t="s">
        <v>266</v>
      </c>
      <c r="D138" t="str">
        <f t="shared" si="4"/>
        <v>134. V10048</v>
      </c>
      <c r="E138" s="5" t="str">
        <f t="shared" ca="1" si="5"/>
        <v>Công ty CP Đầu tư Tài chính và công nghệ DataTech</v>
      </c>
      <c r="F138" t="str">
        <f>IFERROR(VLOOKUP(Table1[[#This Row],[Tên đối tượng]],'DANH MỤC ĐỐI TƯỢNG'!A:E,5,0),"")</f>
        <v>P412,N02, Trần Quý Kiên, Dịch Vọng, Cầu Giấy, Hà Nội</v>
      </c>
      <c r="G138" t="str">
        <f>_xlfn.IFNA(VLOOKUP(Table1[[#This Row],[Tên đối tượng]],'DANH MỤC ĐỐI TƯỢNG'!A:F,6,0),"")</f>
        <v>0102128168</v>
      </c>
      <c r="H138" t="str">
        <f>_xlfn.IFNA(VLOOKUP(Table1[[#This Row],[Tên đối tượng]],'DANH MỤC ĐỐI TƯỢNG'!A:I,9,0),"")</f>
        <v>INDOVINA BANK - CN Hải Phòng - PGD Hồng Bàng</v>
      </c>
      <c r="I138" t="str">
        <f>_xlfn.IFNA(VLOOKUP(Table1[[#This Row],[Tên đối tượng]],'DANH MỤC ĐỐI TƯỢNG'!A:J,10,0),"")</f>
        <v>6378979-001</v>
      </c>
    </row>
    <row r="139" spans="1:9" x14ac:dyDescent="0.3">
      <c r="A139">
        <v>135</v>
      </c>
      <c r="B139" t="s">
        <v>267</v>
      </c>
      <c r="C139" t="s">
        <v>268</v>
      </c>
      <c r="D139" t="str">
        <f t="shared" si="4"/>
        <v>135. V10079</v>
      </c>
      <c r="E139" s="5" t="str">
        <f t="shared" ca="1" si="5"/>
        <v>Công Ty CP Dịch Vụ Công nghiệp Wolfram</v>
      </c>
      <c r="F139" t="str">
        <f>IFERROR(VLOOKUP(Table1[[#This Row],[Tên đối tượng]],'DANH MỤC ĐỐI TƯỢNG'!A:E,5,0),"")</f>
        <v>19 Nguyễn Văn Trỗi - Mộ Lao - Hà Đông - Hà Nội</v>
      </c>
      <c r="G139" t="str">
        <f>_xlfn.IFNA(VLOOKUP(Table1[[#This Row],[Tên đối tượng]],'DANH MỤC ĐỐI TƯỢNG'!A:F,6,0),"")</f>
        <v>0500597514</v>
      </c>
      <c r="H139" t="str">
        <f>_xlfn.IFNA(VLOOKUP(Table1[[#This Row],[Tên đối tượng]],'DANH MỤC ĐỐI TƯỢNG'!A:I,9,0),"")</f>
        <v>TMCP Á Châu - CN Hà Nội</v>
      </c>
      <c r="I139" t="str">
        <f>_xlfn.IFNA(VLOOKUP(Table1[[#This Row],[Tên đối tượng]],'DANH MỤC ĐỐI TƯỢNG'!A:J,10,0),"")</f>
        <v>128798929</v>
      </c>
    </row>
    <row r="140" spans="1:9" x14ac:dyDescent="0.3">
      <c r="A140">
        <v>136</v>
      </c>
      <c r="B140" t="s">
        <v>269</v>
      </c>
      <c r="C140" t="s">
        <v>270</v>
      </c>
      <c r="D140" t="str">
        <f t="shared" si="4"/>
        <v>136. V10318</v>
      </c>
      <c r="E140" s="5" t="str">
        <f t="shared" ca="1" si="5"/>
        <v>Công ty CP dịch vụ giáo dục và y tế Hà Vân</v>
      </c>
      <c r="F140" t="str">
        <f>IFERROR(VLOOKUP(Table1[[#This Row],[Tên đối tượng]],'DANH MỤC ĐỐI TƯỢNG'!A:E,5,0),"")</f>
        <v>Số 221, phố Vọng, P.Đồng Tâm, Q.Hai bà trưng, Hà nội</v>
      </c>
      <c r="G140" t="str">
        <f>_xlfn.IFNA(VLOOKUP(Table1[[#This Row],[Tên đối tượng]],'DANH MỤC ĐỐI TƯỢNG'!A:F,6,0),"")</f>
        <v>0106065744</v>
      </c>
      <c r="H140" t="str">
        <f>_xlfn.IFNA(VLOOKUP(Table1[[#This Row],[Tên đối tượng]],'DANH MỤC ĐỐI TƯỢNG'!A:I,9,0),"")</f>
        <v>Ngân hàng BIDV - CN Thành Đô</v>
      </c>
      <c r="I140" t="str">
        <f>_xlfn.IFNA(VLOOKUP(Table1[[#This Row],[Tên đối tượng]],'DANH MỤC ĐỐI TƯỢNG'!A:J,10,0),"")</f>
        <v>15110000546823</v>
      </c>
    </row>
    <row r="141" spans="1:9" x14ac:dyDescent="0.3">
      <c r="A141">
        <v>137</v>
      </c>
      <c r="B141" t="s">
        <v>271</v>
      </c>
      <c r="C141" t="s">
        <v>272</v>
      </c>
      <c r="D141" t="str">
        <f t="shared" si="4"/>
        <v>137. V10197</v>
      </c>
      <c r="E141" s="5" t="str">
        <f t="shared" ca="1" si="5"/>
        <v>Công ty TNHH Thương mại Cát Sơn</v>
      </c>
      <c r="F141" t="str">
        <f>IFERROR(VLOOKUP(Table1[[#This Row],[Tên đối tượng]],'DANH MỤC ĐỐI TƯỢNG'!A:E,5,0),"")</f>
        <v>10/2 Xuân Diệu, Phường 4, Quận Tân Bình, TP.Hồ Chí Minh, Việt Nam</v>
      </c>
      <c r="G141" t="str">
        <f>_xlfn.IFNA(VLOOKUP(Table1[[#This Row],[Tên đối tượng]],'DANH MỤC ĐỐI TƯỢNG'!A:F,6,0),"")</f>
        <v>0301422238</v>
      </c>
      <c r="H141" t="str">
        <f>_xlfn.IFNA(VLOOKUP(Table1[[#This Row],[Tên đối tượng]],'DANH MỤC ĐỐI TƯỢNG'!A:I,9,0),"")</f>
        <v>Ngân hàng TMCP Á Châu - CN TP Hồ Chí Minh</v>
      </c>
      <c r="I141" t="str">
        <f>_xlfn.IFNA(VLOOKUP(Table1[[#This Row],[Tên đối tượng]],'DANH MỤC ĐỐI TƯỢNG'!A:J,10,0),"")</f>
        <v>9106379</v>
      </c>
    </row>
    <row r="142" spans="1:9" x14ac:dyDescent="0.3">
      <c r="A142">
        <v>138</v>
      </c>
      <c r="B142" t="s">
        <v>273</v>
      </c>
      <c r="C142" t="s">
        <v>274</v>
      </c>
      <c r="D142" t="str">
        <f t="shared" si="4"/>
        <v>138. V10017</v>
      </c>
      <c r="E142" s="5" t="str">
        <f t="shared" ca="1" si="5"/>
        <v>Công ty cổ phần kinh doanh LPG Việt Nam</v>
      </c>
      <c r="F142" t="str">
        <f>IFERROR(VLOOKUP(Table1[[#This Row],[Tên đối tượng]],'DANH MỤC ĐỐI TƯỢNG'!A:E,5,0),"")</f>
        <v>Tầng 11 - tòa nhà Viện dầu khí, số 167 phố Trung Kính, phường Yên Hòa, quận Cầu Giấy, thành phố Hà Nội, Việt Nam</v>
      </c>
      <c r="G142" t="str">
        <f>_xlfn.IFNA(VLOOKUP(Table1[[#This Row],[Tên đối tượng]],'DANH MỤC ĐỐI TƯỢNG'!A:F,6,0),"")</f>
        <v>0102311149</v>
      </c>
      <c r="H142" t="str">
        <f>_xlfn.IFNA(VLOOKUP(Table1[[#This Row],[Tên đối tượng]],'DANH MỤC ĐỐI TƯỢNG'!A:I,9,0),"")</f>
        <v>Ngân hàng TMCP Ngoại thương - CN Hà Nội</v>
      </c>
      <c r="I142" t="str">
        <f>_xlfn.IFNA(VLOOKUP(Table1[[#This Row],[Tên đối tượng]],'DANH MỤC ĐỐI TƯỢNG'!A:J,10,0),"")</f>
        <v>002.100.046.5345</v>
      </c>
    </row>
    <row r="143" spans="1:9" x14ac:dyDescent="0.3">
      <c r="A143">
        <v>139</v>
      </c>
      <c r="B143" t="s">
        <v>275</v>
      </c>
      <c r="C143" t="s">
        <v>276</v>
      </c>
      <c r="D143" t="str">
        <f t="shared" si="4"/>
        <v>139. V10072</v>
      </c>
      <c r="E143" s="5" t="str">
        <f t="shared" ca="1" si="5"/>
        <v>Công ty CP kỹ thuật và thương mại Nhật Việt</v>
      </c>
      <c r="F143" t="str">
        <f>IFERROR(VLOOKUP(Table1[[#This Row],[Tên đối tượng]],'DANH MỤC ĐỐI TƯỢNG'!A:E,5,0),"")</f>
        <v>Số 4, tổ 17, phường Dư Hàng Kênh, quận Lê Chân, Hải Phòng</v>
      </c>
      <c r="G143" t="str">
        <f>_xlfn.IFNA(VLOOKUP(Table1[[#This Row],[Tên đối tượng]],'DANH MỤC ĐỐI TƯỢNG'!A:F,6,0),"")</f>
        <v>0201005216</v>
      </c>
      <c r="H143" t="str">
        <f>_xlfn.IFNA(VLOOKUP(Table1[[#This Row],[Tên đối tượng]],'DANH MỤC ĐỐI TƯỢNG'!A:I,9,0),"")</f>
        <v>Ngân hàng TMCP Sài Gòn-Hà Nội , Chi nhánh Hải Phòng</v>
      </c>
      <c r="I143" t="str">
        <f>_xlfn.IFNA(VLOOKUP(Table1[[#This Row],[Tên đối tượng]],'DANH MỤC ĐỐI TƯỢNG'!A:J,10,0),"")</f>
        <v>1000041472</v>
      </c>
    </row>
    <row r="144" spans="1:9" x14ac:dyDescent="0.3">
      <c r="A144">
        <v>140</v>
      </c>
      <c r="B144" t="s">
        <v>277</v>
      </c>
      <c r="C144" t="s">
        <v>278</v>
      </c>
      <c r="D144" t="str">
        <f t="shared" si="4"/>
        <v>140. V10004</v>
      </c>
      <c r="E144" s="5" t="str">
        <f t="shared" ca="1" si="5"/>
        <v>Công ty CP phần mềm Bravo</v>
      </c>
      <c r="F144" t="str">
        <f>IFERROR(VLOOKUP(Table1[[#This Row],[Tên đối tượng]],'DANH MỤC ĐỐI TƯỢNG'!A:E,5,0),"")</f>
        <v/>
      </c>
      <c r="G144" t="str">
        <f>_xlfn.IFNA(VLOOKUP(Table1[[#This Row],[Tên đối tượng]],'DANH MỤC ĐỐI TƯỢNG'!A:F,6,0),"")</f>
        <v/>
      </c>
      <c r="H144" t="str">
        <f>_xlfn.IFNA(VLOOKUP(Table1[[#This Row],[Tên đối tượng]],'DANH MỤC ĐỐI TƯỢNG'!A:I,9,0),"")</f>
        <v/>
      </c>
      <c r="I144" t="str">
        <f>_xlfn.IFNA(VLOOKUP(Table1[[#This Row],[Tên đối tượng]],'DANH MỤC ĐỐI TƯỢNG'!A:J,10,0),"")</f>
        <v/>
      </c>
    </row>
    <row r="145" spans="1:9" x14ac:dyDescent="0.3">
      <c r="A145">
        <v>141</v>
      </c>
      <c r="B145" t="s">
        <v>279</v>
      </c>
      <c r="C145" t="s">
        <v>280</v>
      </c>
      <c r="D145" t="str">
        <f t="shared" si="4"/>
        <v>141. V10108</v>
      </c>
      <c r="E145" s="5" t="str">
        <f t="shared" ca="1" si="5"/>
        <v>Công ty CP Sản xuất thương mại và Đầu tư Quang Lý</v>
      </c>
      <c r="F145" t="str">
        <f>IFERROR(VLOOKUP(Table1[[#This Row],[Tên đối tượng]],'DANH MỤC ĐỐI TƯỢNG'!A:E,5,0),"")</f>
        <v>Số 16 khu dân cư Phú Xá, phường Đông Hải 1, quận Hải An, TP.Hải Phòng</v>
      </c>
      <c r="G145" t="str">
        <f>_xlfn.IFNA(VLOOKUP(Table1[[#This Row],[Tên đối tượng]],'DANH MỤC ĐỐI TƯỢNG'!A:F,6,0),"")</f>
        <v>0200768085</v>
      </c>
      <c r="H145" t="str">
        <f>_xlfn.IFNA(VLOOKUP(Table1[[#This Row],[Tên đối tượng]],'DANH MỤC ĐỐI TƯỢNG'!A:I,9,0),"")</f>
        <v>Đông Nam Á - CN Hải Phòng</v>
      </c>
      <c r="I145" t="str">
        <f>_xlfn.IFNA(VLOOKUP(Table1[[#This Row],[Tên đối tượng]],'DANH MỤC ĐỐI TƯỢNG'!A:J,10,0),"")</f>
        <v>30100000180458</v>
      </c>
    </row>
    <row r="146" spans="1:9" x14ac:dyDescent="0.3">
      <c r="A146">
        <v>142</v>
      </c>
      <c r="B146" t="s">
        <v>281</v>
      </c>
      <c r="C146" t="s">
        <v>282</v>
      </c>
      <c r="D146" t="str">
        <f t="shared" si="4"/>
        <v>142. V10051</v>
      </c>
      <c r="E146" s="5" t="str">
        <f t="shared" ca="1" si="5"/>
        <v>Công ty CP Tập đoàn IDC</v>
      </c>
      <c r="F146">
        <f>IFERROR(VLOOKUP(Table1[[#This Row],[Tên đối tượng]],'DANH MỤC ĐỐI TƯỢNG'!A:E,5,0),"")</f>
        <v>0</v>
      </c>
      <c r="G146">
        <f>_xlfn.IFNA(VLOOKUP(Table1[[#This Row],[Tên đối tượng]],'DANH MỤC ĐỐI TƯỢNG'!A:F,6,0),"")</f>
        <v>0</v>
      </c>
      <c r="H146" t="str">
        <f>_xlfn.IFNA(VLOOKUP(Table1[[#This Row],[Tên đối tượng]],'DANH MỤC ĐỐI TƯỢNG'!A:I,9,0),"")</f>
        <v>Ngân hàng TNHH MTV HSBC (Việt Nam) - CN Hà Nội</v>
      </c>
      <c r="I146" t="str">
        <f>_xlfn.IFNA(VLOOKUP(Table1[[#This Row],[Tên đối tượng]],'DANH MỤC ĐỐI TƯỢNG'!A:J,10,0),"")</f>
        <v>002-016798-041</v>
      </c>
    </row>
    <row r="147" spans="1:9" x14ac:dyDescent="0.3">
      <c r="A147">
        <v>143</v>
      </c>
      <c r="B147" t="s">
        <v>283</v>
      </c>
      <c r="C147" t="s">
        <v>284</v>
      </c>
      <c r="D147" t="str">
        <f t="shared" si="4"/>
        <v>143. V10077</v>
      </c>
      <c r="E147" s="5" t="str">
        <f t="shared" ca="1" si="5"/>
        <v>Công ty CP Thương mại Châu Thanh</v>
      </c>
      <c r="F147" t="str">
        <f>IFERROR(VLOOKUP(Table1[[#This Row],[Tên đối tượng]],'DANH MỤC ĐỐI TƯỢNG'!A:E,5,0),"")</f>
        <v>Xom Giua, Duong Quan, Thuy Nguyen, Hai Phong</v>
      </c>
      <c r="G147" t="str">
        <f>_xlfn.IFNA(VLOOKUP(Table1[[#This Row],[Tên đối tượng]],'DANH MỤC ĐỐI TƯỢNG'!A:F,6,0),"")</f>
        <v>0201007118</v>
      </c>
      <c r="H147" t="str">
        <f>_xlfn.IFNA(VLOOKUP(Table1[[#This Row],[Tên đối tượng]],'DANH MỤC ĐỐI TƯỢNG'!A:I,9,0),"")</f>
        <v>Ngân hàng TMCP đầu tư và phát triển Việt Nam - CN Đông Hải Phòng</v>
      </c>
      <c r="I147" t="str">
        <f>_xlfn.IFNA(VLOOKUP(Table1[[#This Row],[Tên đối tượng]],'DANH MỤC ĐỐI TƯỢNG'!A:J,10,0),"")</f>
        <v>32310000122165</v>
      </c>
    </row>
    <row r="148" spans="1:9" x14ac:dyDescent="0.3">
      <c r="A148">
        <v>144</v>
      </c>
      <c r="B148" t="s">
        <v>285</v>
      </c>
      <c r="C148" t="s">
        <v>286</v>
      </c>
      <c r="D148" t="str">
        <f t="shared" si="4"/>
        <v>144. V10202</v>
      </c>
      <c r="E148" s="5" t="str">
        <f t="shared" ca="1" si="5"/>
        <v>Công ty CP Thương mại Kỹ thuật Cường Phú Thịnh</v>
      </c>
      <c r="F148" t="str">
        <f>IFERROR(VLOOKUP(Table1[[#This Row],[Tên đối tượng]],'DANH MỤC ĐỐI TƯỢNG'!A:E,5,0),"")</f>
        <v>Nhà ông Đinh Văn Vãn, xóm Bắc, xã An Hưng, huyện An Dương, TP.Hải Phòng</v>
      </c>
      <c r="G148">
        <f>_xlfn.IFNA(VLOOKUP(Table1[[#This Row],[Tên đối tượng]],'DANH MỤC ĐỐI TƯỢNG'!A:F,6,0),"")</f>
        <v>0</v>
      </c>
      <c r="H148" t="str">
        <f>_xlfn.IFNA(VLOOKUP(Table1[[#This Row],[Tên đối tượng]],'DANH MỤC ĐỐI TƯỢNG'!A:I,9,0),"")</f>
        <v>TMCP Ngoại thương Việt Nam - CN Quan Toan</v>
      </c>
      <c r="I148" t="str">
        <f>_xlfn.IFNA(VLOOKUP(Table1[[#This Row],[Tên đối tượng]],'DANH MỤC ĐỐI TƯỢNG'!A:J,10,0),"")</f>
        <v>0031000126574</v>
      </c>
    </row>
    <row r="149" spans="1:9" x14ac:dyDescent="0.3">
      <c r="A149">
        <v>145</v>
      </c>
      <c r="B149" t="s">
        <v>287</v>
      </c>
      <c r="C149" t="s">
        <v>288</v>
      </c>
      <c r="D149" t="str">
        <f t="shared" si="4"/>
        <v>145. V10058</v>
      </c>
      <c r="E149" s="5" t="str">
        <f t="shared" ca="1" si="5"/>
        <v>Công ty CP Thương Mại và Dịch vụ Chuyển phát nhanh PCS</v>
      </c>
      <c r="F149" t="str">
        <f>IFERROR(VLOOKUP(Table1[[#This Row],[Tên đối tượng]],'DANH MỤC ĐỐI TƯỢNG'!A:E,5,0),"")</f>
        <v>Tầng 6 Tòa nhà 25T1-N05 KĐT Đông Nam Trần Duy Hưng, P.Trung Hòa, Q.Cầu giấy, Hà nội</v>
      </c>
      <c r="G149">
        <f>_xlfn.IFNA(VLOOKUP(Table1[[#This Row],[Tên đối tượng]],'DANH MỤC ĐỐI TƯỢNG'!A:F,6,0),"")</f>
        <v>0</v>
      </c>
      <c r="H149" t="str">
        <f>_xlfn.IFNA(VLOOKUP(Table1[[#This Row],[Tên đối tượng]],'DANH MỤC ĐỐI TƯỢNG'!A:I,9,0),"")</f>
        <v>Ngân hàng Techcombank- CN Hoàng Quốc Việt</v>
      </c>
      <c r="I149" t="str">
        <f>_xlfn.IFNA(VLOOKUP(Table1[[#This Row],[Tên đối tượng]],'DANH MỤC ĐỐI TƯỢNG'!A:J,10,0),"")</f>
        <v>191 234 180 55 559</v>
      </c>
    </row>
    <row r="150" spans="1:9" x14ac:dyDescent="0.3">
      <c r="A150">
        <v>146</v>
      </c>
      <c r="B150" t="s">
        <v>289</v>
      </c>
      <c r="C150" t="s">
        <v>290</v>
      </c>
      <c r="D150" t="str">
        <f t="shared" si="4"/>
        <v>146. V10187</v>
      </c>
      <c r="E150" s="5" t="str">
        <f t="shared" ca="1" si="5"/>
        <v>Công ty CP Thương mại và Kỹ thuật năng lượng Việt Nam</v>
      </c>
      <c r="F150" t="str">
        <f>IFERROR(VLOOKUP(Table1[[#This Row],[Tên đối tượng]],'DANH MỤC ĐỐI TƯỢNG'!A:E,5,0),"")</f>
        <v>P304, CT5-X2 Bắc Linh Đàm, P.Hoàng Liệt, Q.Hoàng Mai, TP Hà nội</v>
      </c>
      <c r="G150" t="str">
        <f>_xlfn.IFNA(VLOOKUP(Table1[[#This Row],[Tên đối tượng]],'DANH MỤC ĐỐI TƯỢNG'!A:F,6,0),"")</f>
        <v>0102373441</v>
      </c>
      <c r="H150" t="str">
        <f>_xlfn.IFNA(VLOOKUP(Table1[[#This Row],[Tên đối tượng]],'DANH MỤC ĐỐI TƯỢNG'!A:I,9,0),"")</f>
        <v>Ngân hàng TMCP đầu tư và phát triển Việt Nam - CN Hồng Hà</v>
      </c>
      <c r="I150" t="str">
        <f>_xlfn.IFNA(VLOOKUP(Table1[[#This Row],[Tên đối tượng]],'DANH MỤC ĐỐI TƯỢNG'!A:J,10,0),"")</f>
        <v>19910000016166</v>
      </c>
    </row>
    <row r="151" spans="1:9" x14ac:dyDescent="0.3">
      <c r="A151">
        <v>147</v>
      </c>
      <c r="B151" t="s">
        <v>291</v>
      </c>
      <c r="C151" t="s">
        <v>292</v>
      </c>
      <c r="D151" t="str">
        <f t="shared" si="4"/>
        <v>147. V10364</v>
      </c>
      <c r="E151" s="5" t="str">
        <f t="shared" ca="1" si="5"/>
        <v>Công ty CP thương mại xây dựng và xuất nhập khẩu Duyên Hải</v>
      </c>
      <c r="F151" t="str">
        <f>IFERROR(VLOOKUP(Table1[[#This Row],[Tên đối tượng]],'DANH MỤC ĐỐI TƯỢNG'!A:E,5,0),"")</f>
        <v>Số 86 Hoàng Thế Thiện, phường Đông Khê, quận Ngô Quyền, thành phố Hải Phòng, VN</v>
      </c>
      <c r="G151">
        <f>_xlfn.IFNA(VLOOKUP(Table1[[#This Row],[Tên đối tượng]],'DANH MỤC ĐỐI TƯỢNG'!A:F,6,0),"")</f>
        <v>0</v>
      </c>
      <c r="H151" t="str">
        <f>_xlfn.IFNA(VLOOKUP(Table1[[#This Row],[Tên đối tượng]],'DANH MỤC ĐỐI TƯỢNG'!A:I,9,0),"")</f>
        <v>Viet Nam International Bank (VIB) / Hải Phòng</v>
      </c>
      <c r="I151" t="str">
        <f>_xlfn.IFNA(VLOOKUP(Table1[[#This Row],[Tên đối tượng]],'DANH MỤC ĐỐI TƯỢNG'!A:J,10,0),"")</f>
        <v>009704060163929</v>
      </c>
    </row>
    <row r="152" spans="1:9" x14ac:dyDescent="0.3">
      <c r="A152">
        <v>148</v>
      </c>
      <c r="B152" t="s">
        <v>293</v>
      </c>
      <c r="C152" t="s">
        <v>294</v>
      </c>
      <c r="D152" t="str">
        <f t="shared" si="4"/>
        <v>148. V10065</v>
      </c>
      <c r="E152" s="5" t="str">
        <f t="shared" ca="1" si="5"/>
        <v>Công Ty CP TM Dầu Khí Phương Đông</v>
      </c>
      <c r="F152" t="str">
        <f>IFERROR(VLOOKUP(Table1[[#This Row],[Tên đối tượng]],'DANH MỤC ĐỐI TƯỢNG'!A:E,5,0),"")</f>
        <v>313/193 Văn Cao, Hải An, Hải Phòng, Việt Nam</v>
      </c>
      <c r="G152">
        <f>_xlfn.IFNA(VLOOKUP(Table1[[#This Row],[Tên đối tượng]],'DANH MỤC ĐỐI TƯỢNG'!A:F,6,0),"")</f>
        <v>0</v>
      </c>
      <c r="H152" t="str">
        <f>_xlfn.IFNA(VLOOKUP(Table1[[#This Row],[Tên đối tượng]],'DANH MỤC ĐỐI TƯỢNG'!A:I,9,0),"")</f>
        <v>Ngân hàng TMCP Đại Á, chi nhánh Hải Phòng</v>
      </c>
      <c r="I152" t="str">
        <f>_xlfn.IFNA(VLOOKUP(Table1[[#This Row],[Tên đối tượng]],'DANH MỤC ĐỐI TƯỢNG'!A:J,10,0),"")</f>
        <v>999886</v>
      </c>
    </row>
    <row r="153" spans="1:9" x14ac:dyDescent="0.3">
      <c r="A153">
        <v>149</v>
      </c>
      <c r="B153" t="s">
        <v>295</v>
      </c>
      <c r="C153" t="s">
        <v>6934</v>
      </c>
      <c r="D153" t="str">
        <f t="shared" si="4"/>
        <v>149. V10009</v>
      </c>
      <c r="E153" s="5" t="str">
        <f t="shared" ca="1" si="5"/>
        <v>Công ty cổ phần vận tải và thương mại CPN Việt Nam</v>
      </c>
      <c r="F153" t="str">
        <f>IFERROR(VLOOKUP(Table1[[#This Row],[Tên đối tượng]],'DANH MỤC ĐỐI TƯỢNG'!A:E,5,0),"")</f>
        <v>Số 7 Lô 2A, Lê Hồng Phong, Ngô Quyền, Hải Phòng</v>
      </c>
      <c r="G153" t="str">
        <f>_xlfn.IFNA(VLOOKUP(Table1[[#This Row],[Tên đối tượng]],'DANH MỤC ĐỐI TƯỢNG'!A:F,6,0),"")</f>
        <v>0200463686</v>
      </c>
      <c r="H153" t="str">
        <f>_xlfn.IFNA(VLOOKUP(Table1[[#This Row],[Tên đối tượng]],'DANH MỤC ĐỐI TƯỢNG'!A:I,9,0),"")</f>
        <v>Ngân hàng ACB - CN Hải Phòng</v>
      </c>
      <c r="I153" t="str">
        <f>_xlfn.IFNA(VLOOKUP(Table1[[#This Row],[Tên đối tượng]],'DANH MỤC ĐỐI TƯỢNG'!A:J,10,0),"")</f>
        <v>3410299</v>
      </c>
    </row>
    <row r="154" spans="1:9" x14ac:dyDescent="0.3">
      <c r="A154">
        <v>150</v>
      </c>
      <c r="B154" t="s">
        <v>296</v>
      </c>
      <c r="C154" t="s">
        <v>297</v>
      </c>
      <c r="D154" t="str">
        <f t="shared" si="4"/>
        <v>150. V10018</v>
      </c>
      <c r="E154" s="5" t="str">
        <f t="shared" ca="1" si="5"/>
        <v>Công ty CP xây dựng thương mại dịch vụ Tú Anh</v>
      </c>
      <c r="F154" t="str">
        <f>IFERROR(VLOOKUP(Table1[[#This Row],[Tên đối tượng]],'DANH MỤC ĐỐI TƯỢNG'!A:E,5,0),"")</f>
        <v>Đội 6, xã Kiền Bái, huyện Thủy Nguyên, TP.Hải Phòng</v>
      </c>
      <c r="G154" t="str">
        <f>_xlfn.IFNA(VLOOKUP(Table1[[#This Row],[Tên đối tượng]],'DANH MỤC ĐỐI TƯỢNG'!A:F,6,0),"")</f>
        <v>0200822335</v>
      </c>
      <c r="H154" t="str">
        <f>_xlfn.IFNA(VLOOKUP(Table1[[#This Row],[Tên đối tượng]],'DANH MỤC ĐỐI TƯỢNG'!A:I,9,0),"")</f>
        <v>TMCP Á Châu Hải Phòng - Chi nhánh Quán Toan</v>
      </c>
      <c r="I154" t="str">
        <f>_xlfn.IFNA(VLOOKUP(Table1[[#This Row],[Tên đối tượng]],'DANH MỤC ĐỐI TƯỢNG'!A:J,10,0),"")</f>
        <v>44607259</v>
      </c>
    </row>
    <row r="155" spans="1:9" x14ac:dyDescent="0.3">
      <c r="A155">
        <v>151</v>
      </c>
      <c r="B155" t="s">
        <v>298</v>
      </c>
      <c r="C155" t="s">
        <v>299</v>
      </c>
      <c r="D155" t="str">
        <f t="shared" si="4"/>
        <v>151. V10186</v>
      </c>
      <c r="E155" s="5" t="str">
        <f t="shared" ca="1" si="5"/>
        <v>Công ty CP xây dựng và nội thất 3D</v>
      </c>
      <c r="F155" t="str">
        <f>IFERROR(VLOOKUP(Table1[[#This Row],[Tên đối tượng]],'DANH MỤC ĐỐI TƯỢNG'!A:E,5,0),"")</f>
        <v>Số 336 Lê Duẩn -  Kiến An - Hải Phòng</v>
      </c>
      <c r="G155" t="str">
        <f>_xlfn.IFNA(VLOOKUP(Table1[[#This Row],[Tên đối tượng]],'DANH MỤC ĐỐI TƯỢNG'!A:F,6,0),"")</f>
        <v>0201148983</v>
      </c>
      <c r="H155">
        <f>_xlfn.IFNA(VLOOKUP(Table1[[#This Row],[Tên đối tượng]],'DANH MỤC ĐỐI TƯỢNG'!A:I,9,0),"")</f>
        <v>0</v>
      </c>
      <c r="I155">
        <f>_xlfn.IFNA(VLOOKUP(Table1[[#This Row],[Tên đối tượng]],'DANH MỤC ĐỐI TƯỢNG'!A:J,10,0),"")</f>
        <v>0</v>
      </c>
    </row>
    <row r="156" spans="1:9" x14ac:dyDescent="0.3">
      <c r="A156">
        <v>152</v>
      </c>
      <c r="B156" t="s">
        <v>300</v>
      </c>
      <c r="C156" t="s">
        <v>301</v>
      </c>
      <c r="D156" t="str">
        <f t="shared" si="4"/>
        <v>152. V10322</v>
      </c>
      <c r="E156" s="5" t="str">
        <f t="shared" ca="1" si="5"/>
        <v>Công ty TNHH quốc tế Hồ Tây</v>
      </c>
      <c r="F156" t="str">
        <f>IFERROR(VLOOKUP(Table1[[#This Row],[Tên đối tượng]],'DANH MỤC ĐỐI TƯỢNG'!A:E,5,0),"")</f>
        <v>Số 3, Phó đức chính, quận Ba đình, Hà nội</v>
      </c>
      <c r="G156" t="str">
        <f>_xlfn.IFNA(VLOOKUP(Table1[[#This Row],[Tên đối tượng]],'DANH MỤC ĐỐI TƯỢNG'!A:F,6,0),"")</f>
        <v>0100113141</v>
      </c>
      <c r="H156" t="str">
        <f>_xlfn.IFNA(VLOOKUP(Table1[[#This Row],[Tên đối tượng]],'DANH MỤC ĐỐI TƯỢNG'!A:I,9,0),"")</f>
        <v>Public Bank Vietnam Limited</v>
      </c>
      <c r="I156" t="str">
        <f>_xlfn.IFNA(VLOOKUP(Table1[[#This Row],[Tên đối tượng]],'DANH MỤC ĐỐI TƯỢNG'!A:J,10,0),"")</f>
        <v>020-8-00-00-00266</v>
      </c>
    </row>
    <row r="157" spans="1:9" x14ac:dyDescent="0.3">
      <c r="A157">
        <v>153</v>
      </c>
      <c r="B157" t="s">
        <v>302</v>
      </c>
      <c r="C157" t="s">
        <v>303</v>
      </c>
      <c r="D157" t="str">
        <f t="shared" si="4"/>
        <v>153. V10325</v>
      </c>
      <c r="E157" s="5" t="str">
        <f t="shared" ca="1" si="5"/>
        <v>Công ty TNHH Aimnext Việt Nam</v>
      </c>
      <c r="F157" t="str">
        <f>IFERROR(VLOOKUP(Table1[[#This Row],[Tên đối tượng]],'DANH MỤC ĐỐI TƯỢNG'!A:E,5,0),"")</f>
        <v>Số 261-263, đường Phan Xích Long, phường 2, Tp Hồ Chí Minh</v>
      </c>
      <c r="G157">
        <f>_xlfn.IFNA(VLOOKUP(Table1[[#This Row],[Tên đối tượng]],'DANH MỤC ĐỐI TƯỢNG'!A:F,6,0),"")</f>
        <v>0</v>
      </c>
      <c r="H157" t="str">
        <f>_xlfn.IFNA(VLOOKUP(Table1[[#This Row],[Tên đối tượng]],'DANH MỤC ĐỐI TƯỢNG'!A:I,9,0),"")</f>
        <v>Ngân hàng Sumitomo Mitsui Banking Corporation-CN Tp Hồ Chí Minh</v>
      </c>
      <c r="I157" t="str">
        <f>_xlfn.IFNA(VLOOKUP(Table1[[#This Row],[Tên đối tượng]],'DANH MỤC ĐỐI TƯỢNG'!A:J,10,0),"")</f>
        <v>18000541</v>
      </c>
    </row>
    <row r="158" spans="1:9" x14ac:dyDescent="0.3">
      <c r="A158">
        <v>154</v>
      </c>
      <c r="B158" t="s">
        <v>304</v>
      </c>
      <c r="C158" t="s">
        <v>305</v>
      </c>
      <c r="D158" t="str">
        <f t="shared" si="4"/>
        <v>154. V10258</v>
      </c>
      <c r="E158" s="5" t="str">
        <f t="shared" ca="1" si="5"/>
        <v>Công ty TNHH Alpha Electric</v>
      </c>
      <c r="F158" t="str">
        <f>IFERROR(VLOOKUP(Table1[[#This Row],[Tên đối tượng]],'DANH MỤC ĐỐI TƯỢNG'!A:E,5,0),"")</f>
        <v>Tầng 8, Tòa nhà Sannam, P.Duy Tân, P.Dịch Vọng, Q.Cầu giấy, Hà nội</v>
      </c>
      <c r="G158">
        <f>_xlfn.IFNA(VLOOKUP(Table1[[#This Row],[Tên đối tượng]],'DANH MỤC ĐỐI TƯỢNG'!A:F,6,0),"")</f>
        <v>0</v>
      </c>
      <c r="H158" t="str">
        <f>_xlfn.IFNA(VLOOKUP(Table1[[#This Row],[Tên đối tượng]],'DANH MỤC ĐỐI TƯỢNG'!A:I,9,0),"")</f>
        <v>Ngân hàng TMCP Ngoại thương Việt Nam - CN Hà nội</v>
      </c>
      <c r="I158" t="str">
        <f>_xlfn.IFNA(VLOOKUP(Table1[[#This Row],[Tên đối tượng]],'DANH MỤC ĐỐI TƯỢNG'!A:J,10,0),"")</f>
        <v>0021000321906</v>
      </c>
    </row>
    <row r="159" spans="1:9" x14ac:dyDescent="0.3">
      <c r="A159">
        <v>155</v>
      </c>
      <c r="B159" t="s">
        <v>306</v>
      </c>
      <c r="C159" t="s">
        <v>307</v>
      </c>
      <c r="D159" t="str">
        <f t="shared" si="4"/>
        <v>155. V10225</v>
      </c>
      <c r="E159" s="5" t="str">
        <f t="shared" ca="1" si="5"/>
        <v>Công ty TNHH ATLAS COPCO Việt Nam</v>
      </c>
      <c r="F159" t="str">
        <f>IFERROR(VLOOKUP(Table1[[#This Row],[Tên đối tượng]],'DANH MỤC ĐỐI TƯỢNG'!A:E,5,0),"")</f>
        <v>Tầng 20, tòa nhà PVI, lô VP2 khu nhà ở và công trình công cộng Yên Hòa, Phường Yên Hòa, Quận Cầu Giấy, Hà Nội, Việt Nam</v>
      </c>
      <c r="G159">
        <f>_xlfn.IFNA(VLOOKUP(Table1[[#This Row],[Tên đối tượng]],'DANH MỤC ĐỐI TƯỢNG'!A:F,6,0),"")</f>
        <v>0</v>
      </c>
      <c r="H159" t="str">
        <f>_xlfn.IFNA(VLOOKUP(Table1[[#This Row],[Tên đối tượng]],'DANH MỤC ĐỐI TƯỢNG'!A:I,9,0),"")</f>
        <v>DEUTSCHE BANK AG - HO CHI MINH BRANCH</v>
      </c>
      <c r="I159" t="str">
        <f>_xlfn.IFNA(VLOOKUP(Table1[[#This Row],[Tên đối tượng]],'DANH MỤC ĐỐI TƯỢNG'!A:J,10,0),"")</f>
        <v>101 9561-05-0</v>
      </c>
    </row>
    <row r="160" spans="1:9" x14ac:dyDescent="0.3">
      <c r="A160">
        <v>156</v>
      </c>
      <c r="B160" t="s">
        <v>308</v>
      </c>
      <c r="C160" t="s">
        <v>309</v>
      </c>
      <c r="D160" t="str">
        <f t="shared" si="4"/>
        <v>156. V10319</v>
      </c>
      <c r="E160" s="5" t="str">
        <f t="shared" ca="1" si="5"/>
        <v>Công ty TNHH Azbil Việt Nam</v>
      </c>
      <c r="F160" t="str">
        <f>IFERROR(VLOOKUP(Table1[[#This Row],[Tên đối tượng]],'DANH MỤC ĐỐI TƯỢNG'!A:E,5,0),"")</f>
        <v>Ô số 2,3,4,5 tầng 9, tòa nhà Văn phòng Sông Hồng, số 165 phố Thái Hà, phường Láng Hạ, Quận Đống Đa, Thành phố Hà Nội</v>
      </c>
      <c r="G160">
        <f>_xlfn.IFNA(VLOOKUP(Table1[[#This Row],[Tên đối tượng]],'DANH MỤC ĐỐI TƯỢNG'!A:F,6,0),"")</f>
        <v>0</v>
      </c>
      <c r="H160" t="str">
        <f>_xlfn.IFNA(VLOOKUP(Table1[[#This Row],[Tên đối tượng]],'DANH MỤC ĐỐI TƯỢNG'!A:I,9,0),"")</f>
        <v>MIZUHO BANK , LTD - Hanoi branch</v>
      </c>
      <c r="I160" t="str">
        <f>_xlfn.IFNA(VLOOKUP(Table1[[#This Row],[Tên đối tượng]],'DANH MỤC ĐỐI TƯỢNG'!A:J,10,0),"")</f>
        <v>H15-795-006388</v>
      </c>
    </row>
    <row r="161" spans="1:9" x14ac:dyDescent="0.3">
      <c r="A161">
        <v>157</v>
      </c>
      <c r="B161" t="s">
        <v>310</v>
      </c>
      <c r="C161" t="s">
        <v>311</v>
      </c>
      <c r="D161" t="str">
        <f t="shared" si="4"/>
        <v>157. V10366</v>
      </c>
      <c r="E161" s="5" t="str">
        <f t="shared" ca="1" si="5"/>
        <v>Công ty TNHH bảo dưỡng và dịch vụ kỹ thuật Năng lượng</v>
      </c>
      <c r="F161" t="str">
        <f>IFERROR(VLOOKUP(Table1[[#This Row],[Tên đối tượng]],'DANH MỤC ĐỐI TƯỢNG'!A:E,5,0),"")</f>
        <v>Xóm Chùa Mới, thôn Triều Khúc, xã Tân Triều, huyện Thanh Trì, thành phố Hà Nội</v>
      </c>
      <c r="G161">
        <f>_xlfn.IFNA(VLOOKUP(Table1[[#This Row],[Tên đối tượng]],'DANH MỤC ĐỐI TƯỢNG'!A:F,6,0),"")</f>
        <v>0</v>
      </c>
      <c r="H161" t="str">
        <f>_xlfn.IFNA(VLOOKUP(Table1[[#This Row],[Tên đối tượng]],'DANH MỤC ĐỐI TƯỢNG'!A:I,9,0),"")</f>
        <v>VP Bank / Kinh Đô, PGD Thanh Xuân</v>
      </c>
      <c r="I161" t="str">
        <f>_xlfn.IFNA(VLOOKUP(Table1[[#This Row],[Tên đối tượng]],'DANH MỤC ĐỐI TƯỢNG'!A:J,10,0),"")</f>
        <v>38020838</v>
      </c>
    </row>
    <row r="162" spans="1:9" x14ac:dyDescent="0.3">
      <c r="A162">
        <v>158</v>
      </c>
      <c r="B162" t="s">
        <v>312</v>
      </c>
      <c r="C162" t="s">
        <v>6586</v>
      </c>
      <c r="D162" t="str">
        <f t="shared" si="4"/>
        <v>158. V10033</v>
      </c>
      <c r="E162" s="5" t="str">
        <f t="shared" ca="1" si="5"/>
        <v>Công ty TNHH Bảo hiểm Phi Nhân Thọ MSIG Việt Nam</v>
      </c>
      <c r="F162" t="str">
        <f>IFERROR(VLOOKUP(Table1[[#This Row],[Tên đối tượng]],'DANH MỤC ĐỐI TƯỢNG'!A:E,5,0),"")</f>
        <v>tầng 11, tòa nhà Sun City, 13 Hai Bà Trưng, phường Tràng Tiền, Quận Hoàn Kiếm, Hà Nội</v>
      </c>
      <c r="G162" t="str">
        <f>_xlfn.IFNA(VLOOKUP(Table1[[#This Row],[Tên đối tượng]],'DANH MỤC ĐỐI TƯỢNG'!A:F,6,0),"")</f>
        <v>0102973336</v>
      </c>
      <c r="H162" t="str">
        <f>_xlfn.IFNA(VLOOKUP(Table1[[#This Row],[Tên đối tượng]],'DANH MỤC ĐỐI TƯỢNG'!A:I,9,0),"")</f>
        <v>Sumitomo Mitsui Banking Corporation - Hanoi Branch</v>
      </c>
      <c r="I162" t="str">
        <f>_xlfn.IFNA(VLOOKUP(Table1[[#This Row],[Tên đối tượng]],'DANH MỤC ĐỐI TƯỢNG'!A:J,10,0),"")</f>
        <v>1300089-1</v>
      </c>
    </row>
    <row r="163" spans="1:9" x14ac:dyDescent="0.3">
      <c r="A163">
        <v>159</v>
      </c>
      <c r="B163" t="s">
        <v>313</v>
      </c>
      <c r="C163" t="s">
        <v>314</v>
      </c>
      <c r="D163" t="str">
        <f t="shared" si="4"/>
        <v>159. V10254</v>
      </c>
      <c r="E163" s="5" t="str">
        <f t="shared" ca="1" si="5"/>
        <v>Công ty TNHH BSI Việt Nam</v>
      </c>
      <c r="F163" t="str">
        <f>IFERROR(VLOOKUP(Table1[[#This Row],[Tên đối tượng]],'DANH MỤC ĐỐI TƯỢNG'!A:E,5,0),"")</f>
        <v>Tầng 15, Cao ốc APC, số 518B Đường Điện Biên Phủ, Phường 21, Quận Bình Thạnh, Thành phố Hồ Chí Minh, Việt Nam</v>
      </c>
      <c r="G163" t="str">
        <f>_xlfn.IFNA(VLOOKUP(Table1[[#This Row],[Tên đối tượng]],'DANH MỤC ĐỐI TƯỢNG'!A:F,6,0),"")</f>
        <v>0305988521</v>
      </c>
      <c r="H163" t="str">
        <f>_xlfn.IFNA(VLOOKUP(Table1[[#This Row],[Tên đối tượng]],'DANH MỤC ĐỐI TƯỢNG'!A:I,9,0),"")</f>
        <v>Ngân hàng HSBC  Việt Nam</v>
      </c>
      <c r="I163" t="str">
        <f>_xlfn.IFNA(VLOOKUP(Table1[[#This Row],[Tên đối tượng]],'DANH MỤC ĐỐI TƯỢNG'!A:J,10,0),"")</f>
        <v>001-510916-061</v>
      </c>
    </row>
    <row r="164" spans="1:9" x14ac:dyDescent="0.3">
      <c r="A164">
        <v>160</v>
      </c>
      <c r="B164" t="s">
        <v>315</v>
      </c>
      <c r="C164" t="s">
        <v>316</v>
      </c>
      <c r="D164" t="str">
        <f t="shared" si="4"/>
        <v>160. V10136</v>
      </c>
      <c r="E164" s="5" t="str">
        <f t="shared" ca="1" si="5"/>
        <v>Công ty TNHH BX Bunka Việt Nam</v>
      </c>
      <c r="F164" t="str">
        <f>IFERROR(VLOOKUP(Table1[[#This Row],[Tên đối tượng]],'DANH MỤC ĐỐI TƯỢNG'!A:E,5,0),"")</f>
        <v>Lô C9, Khu CN Thăng Long II, huyện Yên Mỹ, tỉnh Hưng Yên</v>
      </c>
      <c r="G164" t="str">
        <f>_xlfn.IFNA(VLOOKUP(Table1[[#This Row],[Tên đối tượng]],'DANH MỤC ĐỐI TƯỢNG'!A:F,6,0),"")</f>
        <v>0900302204</v>
      </c>
      <c r="H164" t="str">
        <f>_xlfn.IFNA(VLOOKUP(Table1[[#This Row],[Tên đối tượng]],'DANH MỤC ĐỐI TƯỢNG'!A:I,9,0),"")</f>
        <v>Vietcombank - Chi nhánh Hưng Yên</v>
      </c>
      <c r="I164" t="str">
        <f>_xlfn.IFNA(VLOOKUP(Table1[[#This Row],[Tên đối tượng]],'DANH MỤC ĐỐI TƯỢNG'!A:J,10,0),"")</f>
        <v>0591000210739</v>
      </c>
    </row>
    <row r="165" spans="1:9" x14ac:dyDescent="0.3">
      <c r="A165">
        <v>161</v>
      </c>
      <c r="B165" t="s">
        <v>317</v>
      </c>
      <c r="C165" t="s">
        <v>318</v>
      </c>
      <c r="D165" t="str">
        <f t="shared" si="4"/>
        <v>161. V10305</v>
      </c>
      <c r="E165" s="5" t="str">
        <f t="shared" ca="1" si="5"/>
        <v>Công ty TNHH Careerlink</v>
      </c>
      <c r="F165" t="str">
        <f>IFERROR(VLOOKUP(Table1[[#This Row],[Tên đối tượng]],'DANH MỤC ĐỐI TƯỢNG'!A:E,5,0),"")</f>
        <v>270-272 Cộng Hòa, Phường 13, Quận Tân Bình, TP.HCM</v>
      </c>
      <c r="G165" t="str">
        <f>_xlfn.IFNA(VLOOKUP(Table1[[#This Row],[Tên đối tượng]],'DANH MỤC ĐỐI TƯỢNG'!A:F,6,0),"")</f>
        <v>0400539269</v>
      </c>
      <c r="H165" t="str">
        <f>_xlfn.IFNA(VLOOKUP(Table1[[#This Row],[Tên đối tượng]],'DANH MỤC ĐỐI TƯỢNG'!A:I,9,0),"")</f>
        <v>Eximbank CN Cộng Hòa, TP.HCM</v>
      </c>
      <c r="I165" t="str">
        <f>_xlfn.IFNA(VLOOKUP(Table1[[#This Row],[Tên đối tượng]],'DANH MỤC ĐỐI TƯỢNG'!A:J,10,0),"")</f>
        <v>140414851000990</v>
      </c>
    </row>
    <row r="166" spans="1:9" x14ac:dyDescent="0.3">
      <c r="A166">
        <v>162</v>
      </c>
      <c r="B166" t="s">
        <v>319</v>
      </c>
      <c r="C166" t="s">
        <v>320</v>
      </c>
      <c r="D166" t="str">
        <f t="shared" si="4"/>
        <v>162. V10080</v>
      </c>
      <c r="E166" s="5" t="str">
        <f t="shared" ca="1" si="5"/>
        <v>Công ty TNHH Chuyển Phát Nhanh DHL-VNPT</v>
      </c>
      <c r="F166" t="str">
        <f>IFERROR(VLOOKUP(Table1[[#This Row],[Tên đối tượng]],'DANH MỤC ĐỐI TƯỢNG'!A:E,5,0),"")</f>
        <v>Số 6, Thăng long, phường 04,Tân Bình, Hồ Chí Minh</v>
      </c>
      <c r="G166" t="str">
        <f>_xlfn.IFNA(VLOOKUP(Table1[[#This Row],[Tên đối tượng]],'DANH MỤC ĐỐI TƯỢNG'!A:F,6,0),"")</f>
        <v>0304680974</v>
      </c>
      <c r="H166" t="str">
        <f>_xlfn.IFNA(VLOOKUP(Table1[[#This Row],[Tên đối tượng]],'DANH MỤC ĐỐI TƯỢNG'!A:I,9,0),"")</f>
        <v>HSBC - Ho Chi Minh City Branch</v>
      </c>
      <c r="I166" t="str">
        <f>_xlfn.IFNA(VLOOKUP(Table1[[#This Row],[Tên đối tượng]],'DANH MỤC ĐỐI TƯỢNG'!A:J,10,0),"")</f>
        <v>001-174499-001</v>
      </c>
    </row>
    <row r="167" spans="1:9" x14ac:dyDescent="0.3">
      <c r="A167">
        <v>163</v>
      </c>
      <c r="B167" t="s">
        <v>321</v>
      </c>
      <c r="C167" t="s">
        <v>322</v>
      </c>
      <c r="D167" t="str">
        <f t="shared" si="4"/>
        <v>163. V10105</v>
      </c>
      <c r="E167" s="5" t="str">
        <f t="shared" ca="1" si="5"/>
        <v>Công ty TNHH cơ khí kỹ thuật chính xác Ánh Dương</v>
      </c>
      <c r="F167" t="str">
        <f>IFERROR(VLOOKUP(Table1[[#This Row],[Tên đối tượng]],'DANH MỤC ĐỐI TƯỢNG'!A:E,5,0),"")</f>
        <v>Số 11D, tập thể Đoàn xe Ngoại Thương, P.Vạn Mỹ, Q.Ngô Quyền, Tp.Hải Phòng</v>
      </c>
      <c r="G167" t="str">
        <f>_xlfn.IFNA(VLOOKUP(Table1[[#This Row],[Tên đối tượng]],'DANH MỤC ĐỐI TƯỢNG'!A:F,6,0),"")</f>
        <v>0201278968</v>
      </c>
      <c r="H167" t="str">
        <f>_xlfn.IFNA(VLOOKUP(Table1[[#This Row],[Tên đối tượng]],'DANH MỤC ĐỐI TƯỢNG'!A:I,9,0),"")</f>
        <v>Ngân hàng TMCP Ngoại thương Việt Nam-CN Hải Phòng</v>
      </c>
      <c r="I167" t="str">
        <f>_xlfn.IFNA(VLOOKUP(Table1[[#This Row],[Tên đối tượng]],'DANH MỤC ĐỐI TƯỢNG'!A:J,10,0),"")</f>
        <v>0031.000.154.588</v>
      </c>
    </row>
    <row r="168" spans="1:9" x14ac:dyDescent="0.3">
      <c r="A168">
        <v>164</v>
      </c>
      <c r="B168" t="s">
        <v>323</v>
      </c>
      <c r="C168" t="s">
        <v>324</v>
      </c>
      <c r="D168" t="str">
        <f t="shared" si="4"/>
        <v>164. V10292</v>
      </c>
      <c r="E168" s="5" t="str">
        <f t="shared" ca="1" si="5"/>
        <v>CÔNG TY TNHH CƠ KHÍ NAM THIÊN</v>
      </c>
      <c r="F168" t="str">
        <f>IFERROR(VLOOKUP(Table1[[#This Row],[Tên đối tượng]],'DANH MỤC ĐỐI TƯỢNG'!A:E,5,0),"")</f>
        <v>Phường 8  27 Cư Xá Bình Thới Đường số 7, Quận 11 Thành phố Hồ Chí Minh, Việt Nam</v>
      </c>
      <c r="G168">
        <f>_xlfn.IFNA(VLOOKUP(Table1[[#This Row],[Tên đối tượng]],'DANH MỤC ĐỐI TƯỢNG'!A:F,6,0),"")</f>
        <v>0</v>
      </c>
      <c r="H168">
        <f>_xlfn.IFNA(VLOOKUP(Table1[[#This Row],[Tên đối tượng]],'DANH MỤC ĐỐI TƯỢNG'!A:I,9,0),"")</f>
        <v>0</v>
      </c>
      <c r="I168">
        <f>_xlfn.IFNA(VLOOKUP(Table1[[#This Row],[Tên đối tượng]],'DANH MỤC ĐỐI TƯỢNG'!A:J,10,0),"")</f>
        <v>0</v>
      </c>
    </row>
    <row r="169" spans="1:9" x14ac:dyDescent="0.3">
      <c r="A169">
        <v>165</v>
      </c>
      <c r="B169" t="s">
        <v>325</v>
      </c>
      <c r="C169" t="s">
        <v>326</v>
      </c>
      <c r="D169" t="str">
        <f t="shared" si="4"/>
        <v>165. V10075</v>
      </c>
      <c r="E169" s="5" t="str">
        <f t="shared" ca="1" si="5"/>
        <v>Công ty TNHH Cơ khí Ngọc Linh</v>
      </c>
      <c r="F169" t="str">
        <f>IFERROR(VLOOKUP(Table1[[#This Row],[Tên đối tượng]],'DANH MỤC ĐỐI TƯỢNG'!A:E,5,0),"")</f>
        <v>Số 40/29 Hai Bà Trưng, phường An Biên, quận Lê Chân, Hải Phòng</v>
      </c>
      <c r="G169" t="str">
        <f>_xlfn.IFNA(VLOOKUP(Table1[[#This Row],[Tên đối tượng]],'DANH MỤC ĐỐI TƯỢNG'!A:F,6,0),"")</f>
        <v>0201026583</v>
      </c>
      <c r="H169" t="str">
        <f>_xlfn.IFNA(VLOOKUP(Table1[[#This Row],[Tên đối tượng]],'DANH MỤC ĐỐI TƯỢNG'!A:I,9,0),"")</f>
        <v>Ngân hàng Bảo Việt - CN Hải phòng</v>
      </c>
      <c r="I169" t="str">
        <f>_xlfn.IFNA(VLOOKUP(Table1[[#This Row],[Tên đối tượng]],'DANH MỤC ĐỐI TƯỢNG'!A:J,10,0),"")</f>
        <v>0211000417006</v>
      </c>
    </row>
    <row r="170" spans="1:9" x14ac:dyDescent="0.3">
      <c r="A170">
        <v>166</v>
      </c>
      <c r="B170" t="s">
        <v>327</v>
      </c>
      <c r="C170" t="s">
        <v>328</v>
      </c>
      <c r="D170" t="str">
        <f t="shared" si="4"/>
        <v>166. V10006</v>
      </c>
      <c r="E170" s="5" t="str">
        <f t="shared" ca="1" si="5"/>
        <v>Công ty TNHH Cơ khí RK</v>
      </c>
      <c r="F170" t="str">
        <f>IFERROR(VLOOKUP(Table1[[#This Row],[Tên đối tượng]],'DANH MỤC ĐỐI TƯỢNG'!A:E,5,0),"")</f>
        <v>Lô CN 3.2K khu công nghiệp Đình Vũ, P. Đông Hải 2, Q. Hải An, thuộc KKT Đình Vũ - Cát Hải, TP. Hải Phòng, Việt Nam</v>
      </c>
      <c r="G170" t="str">
        <f>_xlfn.IFNA(VLOOKUP(Table1[[#This Row],[Tên đối tượng]],'DANH MỤC ĐỐI TƯỢNG'!A:F,6,0),"")</f>
        <v>0201162843</v>
      </c>
      <c r="H170" t="str">
        <f>_xlfn.IFNA(VLOOKUP(Table1[[#This Row],[Tên đối tượng]],'DANH MỤC ĐỐI TƯỢNG'!A:I,9,0),"")</f>
        <v>Sumitomo Mitsui Banking Corporation - Chi nhánh Hà Nội</v>
      </c>
      <c r="I170" t="str">
        <f>_xlfn.IFNA(VLOOKUP(Table1[[#This Row],[Tên đối tượng]],'DANH MỤC ĐỐI TƯỢNG'!A:J,10,0),"")</f>
        <v>10020001 (VND)/10020000 (USD)</v>
      </c>
    </row>
    <row r="171" spans="1:9" x14ac:dyDescent="0.3">
      <c r="A171">
        <v>167</v>
      </c>
      <c r="B171" t="s">
        <v>329</v>
      </c>
      <c r="C171" t="s">
        <v>330</v>
      </c>
      <c r="D171" t="str">
        <f t="shared" si="4"/>
        <v>167. V10140</v>
      </c>
      <c r="E171" s="5" t="str">
        <f t="shared" ca="1" si="5"/>
        <v>Công ty TNHH Cơ khí Thủy Đức Thịnh</v>
      </c>
      <c r="F171" t="str">
        <f>IFERROR(VLOOKUP(Table1[[#This Row],[Tên đối tượng]],'DANH MỤC ĐỐI TƯỢNG'!A:E,5,0),"")</f>
        <v>45/5A Phạm Phú Thứ, Hạ Lý, Hồng Bàng, Hải Phòng</v>
      </c>
      <c r="G171" t="str">
        <f>_xlfn.IFNA(VLOOKUP(Table1[[#This Row],[Tên đối tượng]],'DANH MỤC ĐỐI TƯỢNG'!A:F,6,0),"")</f>
        <v>0200821331</v>
      </c>
      <c r="H171" t="str">
        <f>_xlfn.IFNA(VLOOKUP(Table1[[#This Row],[Tên đối tượng]],'DANH MỤC ĐỐI TƯỢNG'!A:I,9,0),"")</f>
        <v>ACB - CN Duyên Hải</v>
      </c>
      <c r="I171" t="str">
        <f>_xlfn.IFNA(VLOOKUP(Table1[[#This Row],[Tên đối tượng]],'DANH MỤC ĐỐI TƯỢNG'!A:J,10,0),"")</f>
        <v>116236789</v>
      </c>
    </row>
    <row r="172" spans="1:9" x14ac:dyDescent="0.3">
      <c r="A172">
        <v>168</v>
      </c>
      <c r="B172" t="s">
        <v>331</v>
      </c>
      <c r="C172" t="s">
        <v>332</v>
      </c>
      <c r="D172" t="str">
        <f t="shared" si="4"/>
        <v>168. V10121</v>
      </c>
      <c r="E172" s="5" t="str">
        <f t="shared" ca="1" si="5"/>
        <v>Công ty TNHH Cơ khí và Thương mại Việt Đức</v>
      </c>
      <c r="F172" t="str">
        <f>IFERROR(VLOOKUP(Table1[[#This Row],[Tên đối tượng]],'DANH MỤC ĐỐI TƯỢNG'!A:E,5,0),"")</f>
        <v>Thôn An Dương, xã An Đồng, An Dương, TP.Hải Phòng</v>
      </c>
      <c r="G172" t="str">
        <f>_xlfn.IFNA(VLOOKUP(Table1[[#This Row],[Tên đối tượng]],'DANH MỤC ĐỐI TƯỢNG'!A:F,6,0),"")</f>
        <v>0200779062</v>
      </c>
      <c r="H172" t="str">
        <f>_xlfn.IFNA(VLOOKUP(Table1[[#This Row],[Tên đối tượng]],'DANH MỤC ĐỐI TƯỢNG'!A:I,9,0),"")</f>
        <v>Ngân hàng TMCP Á Châu - CN Hải Phòng</v>
      </c>
      <c r="I172" t="str">
        <f>_xlfn.IFNA(VLOOKUP(Table1[[#This Row],[Tên đối tượng]],'DANH MỤC ĐỐI TƯỢNG'!A:J,10,0),"")</f>
        <v>33473609</v>
      </c>
    </row>
    <row r="173" spans="1:9" x14ac:dyDescent="0.3">
      <c r="A173">
        <v>169</v>
      </c>
      <c r="B173" t="s">
        <v>333</v>
      </c>
      <c r="C173" t="s">
        <v>334</v>
      </c>
      <c r="D173" t="str">
        <f t="shared" si="4"/>
        <v>169. V10069</v>
      </c>
      <c r="E173" s="5" t="str">
        <f t="shared" ca="1" si="5"/>
        <v>Công ty TNHH Cơ khí và Tự động hóa công nghiệp</v>
      </c>
      <c r="F173" t="str">
        <f>IFERROR(VLOOKUP(Table1[[#This Row],[Tên đối tượng]],'DANH MỤC ĐỐI TƯỢNG'!A:E,5,0),"")</f>
        <v>Số nhà 7H 12/93 phố Chính Kinh, P. Nhân Chính, Q. Thanh Xuân, TP. Hà Nội</v>
      </c>
      <c r="G173" t="str">
        <f>_xlfn.IFNA(VLOOKUP(Table1[[#This Row],[Tên đối tượng]],'DANH MỤC ĐỐI TƯỢNG'!A:F,6,0),"")</f>
        <v>0102957292</v>
      </c>
      <c r="H173" t="str">
        <f>_xlfn.IFNA(VLOOKUP(Table1[[#This Row],[Tên đối tượng]],'DANH MỤC ĐỐI TƯỢNG'!A:I,9,0),"")</f>
        <v>Ngân hàng Techcombank - CN Đông Đô</v>
      </c>
      <c r="I173" t="str">
        <f>_xlfn.IFNA(VLOOKUP(Table1[[#This Row],[Tên đối tượng]],'DANH MỤC ĐỐI TƯỢNG'!A:J,10,0),"")</f>
        <v>11021174987016</v>
      </c>
    </row>
    <row r="174" spans="1:9" x14ac:dyDescent="0.3">
      <c r="A174">
        <v>170</v>
      </c>
      <c r="B174" t="s">
        <v>335</v>
      </c>
      <c r="C174" t="s">
        <v>336</v>
      </c>
      <c r="D174" t="str">
        <f t="shared" si="4"/>
        <v>170. V10041</v>
      </c>
      <c r="E174" s="5" t="str">
        <f t="shared" ca="1" si="5"/>
        <v>Công ty TNHH Công nghệ cơ nhiệt điện và xây lắp</v>
      </c>
      <c r="F174" t="str">
        <f>IFERROR(VLOOKUP(Table1[[#This Row],[Tên đối tượng]],'DANH MỤC ĐỐI TƯỢNG'!A:E,5,0),"")</f>
        <v>18/21/170 Phạm Hữu Điều,Phường Niệm Nghĩa,Lê Chân,Hải phòng</v>
      </c>
      <c r="G174" t="str">
        <f>_xlfn.IFNA(VLOOKUP(Table1[[#This Row],[Tên đối tượng]],'DANH MỤC ĐỐI TƯỢNG'!A:F,6,0),"")</f>
        <v>0200415717</v>
      </c>
      <c r="H174" t="str">
        <f>_xlfn.IFNA(VLOOKUP(Table1[[#This Row],[Tên đối tượng]],'DANH MỤC ĐỐI TƯỢNG'!A:I,9,0),"")</f>
        <v>Ngân hàng TMCP Á Châu - Chi nhánh Hải Phòng</v>
      </c>
      <c r="I174" t="str">
        <f>_xlfn.IFNA(VLOOKUP(Table1[[#This Row],[Tên đối tượng]],'DANH MỤC ĐỐI TƯỢNG'!A:J,10,0),"")</f>
        <v>3409199</v>
      </c>
    </row>
    <row r="175" spans="1:9" x14ac:dyDescent="0.3">
      <c r="A175">
        <v>171</v>
      </c>
      <c r="B175" t="s">
        <v>337</v>
      </c>
      <c r="C175" t="s">
        <v>338</v>
      </c>
      <c r="D175" t="str">
        <f t="shared" si="4"/>
        <v>171. V10117</v>
      </c>
      <c r="E175" s="5" t="str">
        <f t="shared" ca="1" si="5"/>
        <v>Công ty TNHH Công nghệ Giang Sơn Việt Nam</v>
      </c>
      <c r="F175" t="str">
        <f>IFERROR(VLOOKUP(Table1[[#This Row],[Tên đối tượng]],'DANH MỤC ĐỐI TƯỢNG'!A:E,5,0),"")</f>
        <v>Thôn 10 (tại nhà ông Đặng Văn Muôn), xã Việt Tiến, huyện Vĩnh Bảo, thành phố Hải Phòng, Việt Nam</v>
      </c>
      <c r="G175" t="str">
        <f>_xlfn.IFNA(VLOOKUP(Table1[[#This Row],[Tên đối tượng]],'DANH MỤC ĐỐI TƯỢNG'!A:F,6,0),"")</f>
        <v>0201261361</v>
      </c>
      <c r="H175" t="str">
        <f>_xlfn.IFNA(VLOOKUP(Table1[[#This Row],[Tên đối tượng]],'DANH MỤC ĐỐI TƯỢNG'!A:I,9,0),"")</f>
        <v>NH TMCP Đầu tư và phát triển Việt Nam (BIDV) - CN Hải Phòng</v>
      </c>
      <c r="I175" t="str">
        <f>_xlfn.IFNA(VLOOKUP(Table1[[#This Row],[Tên đối tượng]],'DANH MỤC ĐỐI TƯỢNG'!A:J,10,0),"")</f>
        <v>32110000675966</v>
      </c>
    </row>
    <row r="176" spans="1:9" x14ac:dyDescent="0.3">
      <c r="A176">
        <v>172</v>
      </c>
      <c r="B176" t="s">
        <v>339</v>
      </c>
      <c r="C176" t="s">
        <v>340</v>
      </c>
      <c r="D176" t="str">
        <f t="shared" si="4"/>
        <v>172. V10091</v>
      </c>
      <c r="E176" s="5" t="str">
        <f t="shared" ca="1" si="5"/>
        <v>Công ty TNHH Công nghệ hóa chất và môi trường Vũ Hoàng</v>
      </c>
      <c r="F176" t="str">
        <f>IFERROR(VLOOKUP(Table1[[#This Row],[Tên đối tượng]],'DANH MỤC ĐỐI TƯỢNG'!A:E,5,0),"")</f>
        <v>Số 21E ngõ 71 đường Khương Hạ, phường Khương Đình, quận Thanh Xuân, thành phố Hà Nội</v>
      </c>
      <c r="G176" t="str">
        <f>_xlfn.IFNA(VLOOKUP(Table1[[#This Row],[Tên đối tượng]],'DANH MỤC ĐỐI TƯỢNG'!A:F,6,0),"")</f>
        <v>0105222602</v>
      </c>
      <c r="H176" t="str">
        <f>_xlfn.IFNA(VLOOKUP(Table1[[#This Row],[Tên đối tượng]],'DANH MỤC ĐỐI TƯỢNG'!A:I,9,0),"")</f>
        <v>TMCP Á Châu- CN Linh Đàm</v>
      </c>
      <c r="I176" t="str">
        <f>_xlfn.IFNA(VLOOKUP(Table1[[#This Row],[Tên đối tượng]],'DANH MỤC ĐỐI TƯỢNG'!A:J,10,0),"")</f>
        <v>100790719</v>
      </c>
    </row>
    <row r="177" spans="1:9" x14ac:dyDescent="0.3">
      <c r="A177">
        <v>173</v>
      </c>
      <c r="B177" t="s">
        <v>341</v>
      </c>
      <c r="C177" t="s">
        <v>342</v>
      </c>
      <c r="D177" t="str">
        <f t="shared" si="4"/>
        <v>173. V10054</v>
      </c>
      <c r="E177" s="5" t="str">
        <f t="shared" ca="1" si="5"/>
        <v>Công Ty TNHH Công nghệ ô tô  T&amp;S</v>
      </c>
      <c r="F177" t="str">
        <f>IFERROR(VLOOKUP(Table1[[#This Row],[Tên đối tượng]],'DANH MỤC ĐỐI TƯỢNG'!A:E,5,0),"")</f>
        <v>178 Xa Dan II Lane, Dong Da Dist, Hanoi, Vietnam</v>
      </c>
      <c r="G177" t="str">
        <f>_xlfn.IFNA(VLOOKUP(Table1[[#This Row],[Tên đối tượng]],'DANH MỤC ĐỐI TƯỢNG'!A:F,6,0),"")</f>
        <v>0105139425</v>
      </c>
      <c r="H177" t="str">
        <f>_xlfn.IFNA(VLOOKUP(Table1[[#This Row],[Tên đối tượng]],'DANH MỤC ĐỐI TƯỢNG'!A:I,9,0),"")</f>
        <v>Công thương Việt Nam - CN Ba Đình</v>
      </c>
      <c r="I177" t="str">
        <f>_xlfn.IFNA(VLOOKUP(Table1[[#This Row],[Tên đối tượng]],'DANH MỤC ĐỐI TƯỢNG'!A:J,10,0),"")</f>
        <v>10201-0001191710</v>
      </c>
    </row>
    <row r="178" spans="1:9" x14ac:dyDescent="0.3">
      <c r="A178">
        <v>174</v>
      </c>
      <c r="B178" t="s">
        <v>343</v>
      </c>
      <c r="C178" t="s">
        <v>344</v>
      </c>
      <c r="D178" t="str">
        <f t="shared" si="4"/>
        <v>174. V10137</v>
      </c>
      <c r="E178" s="5" t="str">
        <f t="shared" ca="1" si="5"/>
        <v>Công ty TNHH công nghệ Phương Bắc</v>
      </c>
      <c r="F178" t="str">
        <f>IFERROR(VLOOKUP(Table1[[#This Row],[Tên đối tượng]],'DANH MỤC ĐỐI TƯỢNG'!A:E,5,0),"")</f>
        <v>Số 15B/42/261 Trần Nguyên Hãn, P.Nghĩa Xá, Q.Lê Chân, TP. Hải Phòng</v>
      </c>
      <c r="G178" t="str">
        <f>_xlfn.IFNA(VLOOKUP(Table1[[#This Row],[Tên đối tượng]],'DANH MỤC ĐỐI TƯỢNG'!A:F,6,0),"")</f>
        <v>0201305019</v>
      </c>
      <c r="H178" t="str">
        <f>_xlfn.IFNA(VLOOKUP(Table1[[#This Row],[Tên đối tượng]],'DANH MỤC ĐỐI TƯỢNG'!A:I,9,0),"")</f>
        <v>Ngân hàng xuất nhập khẩu Việt Nam- CN Hải Phòng</v>
      </c>
      <c r="I178" t="str">
        <f>_xlfn.IFNA(VLOOKUP(Table1[[#This Row],[Tên đối tượng]],'DANH MỤC ĐỐI TƯỢNG'!A:J,10,0),"")</f>
        <v>160314851019924</v>
      </c>
    </row>
    <row r="179" spans="1:9" x14ac:dyDescent="0.3">
      <c r="A179">
        <v>175</v>
      </c>
      <c r="B179" t="s">
        <v>345</v>
      </c>
      <c r="C179" t="s">
        <v>346</v>
      </c>
      <c r="D179" t="str">
        <f t="shared" si="4"/>
        <v>175. V10032</v>
      </c>
      <c r="E179" s="5" t="str">
        <f t="shared" ca="1" si="5"/>
        <v>Công ty TNHH công nghệ và thương mại Hà Sơn</v>
      </c>
      <c r="F179" t="str">
        <f>IFERROR(VLOOKUP(Table1[[#This Row],[Tên đối tượng]],'DANH MỤC ĐỐI TƯỢNG'!A:E,5,0),"")</f>
        <v>Số 1, ngõ 172 phố Thái Thịnh, phường Trung Liệt, quận Đống Đa, Hà Nội</v>
      </c>
      <c r="G179" t="str">
        <f>_xlfn.IFNA(VLOOKUP(Table1[[#This Row],[Tên đối tượng]],'DANH MỤC ĐỐI TƯỢNG'!A:F,6,0),"")</f>
        <v>0101451760</v>
      </c>
      <c r="H179" t="str">
        <f>_xlfn.IFNA(VLOOKUP(Table1[[#This Row],[Tên đối tượng]],'DANH MỤC ĐỐI TƯỢNG'!A:I,9,0),"")</f>
        <v>Standard Chartered Bank - CN Hà Nội</v>
      </c>
      <c r="I179" t="str">
        <f>_xlfn.IFNA(VLOOKUP(Table1[[#This Row],[Tên đối tượng]],'DANH MỤC ĐỐI TƯỢNG'!A:J,10,0),"")</f>
        <v>66162953066</v>
      </c>
    </row>
    <row r="180" spans="1:9" x14ac:dyDescent="0.3">
      <c r="A180">
        <v>176</v>
      </c>
      <c r="B180" t="s">
        <v>347</v>
      </c>
      <c r="C180" t="s">
        <v>348</v>
      </c>
      <c r="D180" t="str">
        <f t="shared" si="4"/>
        <v>176. V10218</v>
      </c>
      <c r="E180" s="5" t="str">
        <f t="shared" ca="1" si="5"/>
        <v>Công Ty TNHH Công Nghệ và Thương Mại ICD Việt Nam</v>
      </c>
      <c r="F180" t="str">
        <f>IFERROR(VLOOKUP(Table1[[#This Row],[Tên đối tượng]],'DANH MỤC ĐỐI TƯỢNG'!A:E,5,0),"")</f>
        <v>Khu C, Xã Kim Nỗ, Huyện Đông Anh, Thành Phố Hà Nội, Việt Nam</v>
      </c>
      <c r="G180" t="str">
        <f>_xlfn.IFNA(VLOOKUP(Table1[[#This Row],[Tên đối tượng]],'DANH MỤC ĐỐI TƯỢNG'!A:F,6,0),"")</f>
        <v>0105547551</v>
      </c>
      <c r="H180" t="str">
        <f>_xlfn.IFNA(VLOOKUP(Table1[[#This Row],[Tên đối tượng]],'DANH MỤC ĐỐI TƯỢNG'!A:I,9,0),"")</f>
        <v>Ngân Hàng TMCP Xuất Nhập Khẩu VN - Chi Nhánh Ba Đình,Hà Nội</v>
      </c>
      <c r="I180" t="str">
        <f>_xlfn.IFNA(VLOOKUP(Table1[[#This Row],[Tên đối tượng]],'DANH MỤC ĐỐI TƯỢNG'!A:J,10,0),"")</f>
        <v>170014851018122</v>
      </c>
    </row>
    <row r="181" spans="1:9" x14ac:dyDescent="0.3">
      <c r="A181">
        <v>177</v>
      </c>
      <c r="B181" t="s">
        <v>349</v>
      </c>
      <c r="C181" t="s">
        <v>350</v>
      </c>
      <c r="D181" t="str">
        <f t="shared" si="4"/>
        <v>177. V10037</v>
      </c>
      <c r="E181" s="5" t="str">
        <f t="shared" ca="1" si="5"/>
        <v>Công ty TNHH Công nghiệp Hóa chất Inchemco</v>
      </c>
      <c r="F181" t="str">
        <f>IFERROR(VLOOKUP(Table1[[#This Row],[Tên đối tượng]],'DANH MỤC ĐỐI TƯỢNG'!A:E,5,0),"")</f>
        <v>Số 14 lô 26D, Khu đô thị Ngã 5 Sân bay Cát Bi, P.Đông Khê, Q.Ngô Quyền, TP.Hải Phòng</v>
      </c>
      <c r="G181" t="str">
        <f>_xlfn.IFNA(VLOOKUP(Table1[[#This Row],[Tên đối tượng]],'DANH MỤC ĐỐI TƯỢNG'!A:F,6,0),"")</f>
        <v>0200278475</v>
      </c>
      <c r="H181" t="str">
        <f>_xlfn.IFNA(VLOOKUP(Table1[[#This Row],[Tên đối tượng]],'DANH MỤC ĐỐI TƯỢNG'!A:I,9,0),"")</f>
        <v>TMCP Hàng Hải - CN Hải Phòng</v>
      </c>
      <c r="I181" t="str">
        <f>_xlfn.IFNA(VLOOKUP(Table1[[#This Row],[Tên đối tượng]],'DANH MỤC ĐỐI TƯỢNG'!A:J,10,0),"")</f>
        <v>020.0101.0004325</v>
      </c>
    </row>
    <row r="182" spans="1:9" x14ac:dyDescent="0.3">
      <c r="A182">
        <v>178</v>
      </c>
      <c r="B182" t="s">
        <v>351</v>
      </c>
      <c r="C182" t="s">
        <v>352</v>
      </c>
      <c r="D182" t="str">
        <f t="shared" si="4"/>
        <v>178. V10209</v>
      </c>
      <c r="E182" s="5" t="str">
        <f t="shared" ca="1" si="5"/>
        <v>Công ty TNHH Công nghiệp Q</v>
      </c>
      <c r="F182" t="str">
        <f>IFERROR(VLOOKUP(Table1[[#This Row],[Tên đối tượng]],'DANH MỤC ĐỐI TƯỢNG'!A:E,5,0),"")</f>
        <v>D403 Nguyễn Văn Linh, khu phố Hưng Vượng, phường Tân Phong, quận 7, TP HCM</v>
      </c>
      <c r="G182" t="str">
        <f>_xlfn.IFNA(VLOOKUP(Table1[[#This Row],[Tên đối tượng]],'DANH MỤC ĐỐI TƯỢNG'!A:F,6,0),"")</f>
        <v>0302853759</v>
      </c>
      <c r="H182" t="str">
        <f>_xlfn.IFNA(VLOOKUP(Table1[[#This Row],[Tên đối tượng]],'DANH MỤC ĐỐI TƯỢNG'!A:I,9,0),"")</f>
        <v>Đầu tư và phát triển Việt Nam - CN TP.HCM</v>
      </c>
      <c r="I182" t="str">
        <f>_xlfn.IFNA(VLOOKUP(Table1[[#This Row],[Tên đối tượng]],'DANH MỤC ĐỐI TƯỢNG'!A:J,10,0),"")</f>
        <v>31010000057315</v>
      </c>
    </row>
    <row r="183" spans="1:9" x14ac:dyDescent="0.3">
      <c r="A183">
        <v>179</v>
      </c>
      <c r="B183" t="s">
        <v>353</v>
      </c>
      <c r="C183" t="s">
        <v>354</v>
      </c>
      <c r="D183" t="str">
        <f t="shared" si="4"/>
        <v>179. V10021</v>
      </c>
      <c r="E183" s="5" t="str">
        <f t="shared" ca="1" si="5"/>
        <v>Công ty TNHH công nghiệp Techno Việt Nam</v>
      </c>
      <c r="F183" t="str">
        <f>IFERROR(VLOOKUP(Table1[[#This Row],[Tên đối tượng]],'DANH MỤC ĐỐI TƯỢNG'!A:E,5,0),"")</f>
        <v>Tầng 5, số 84, phố Duy Tân, P.Dịch Vọng, Q.Cầu giấy, Hà nội</v>
      </c>
      <c r="G183" t="str">
        <f>_xlfn.IFNA(VLOOKUP(Table1[[#This Row],[Tên đối tượng]],'DANH MỤC ĐỐI TƯỢNG'!A:F,6,0),"")</f>
        <v>0106707261</v>
      </c>
      <c r="H183" t="str">
        <f>_xlfn.IFNA(VLOOKUP(Table1[[#This Row],[Tên đối tượng]],'DANH MỤC ĐỐI TƯỢNG'!A:I,9,0),"")</f>
        <v>Ngân hàng TMCP Quân đội - CN Thăng Long - Hà nội</v>
      </c>
      <c r="I183" t="str">
        <f>_xlfn.IFNA(VLOOKUP(Table1[[#This Row],[Tên đối tượng]],'DANH MỤC ĐỐI TƯỢNG'!A:J,10,0),"")</f>
        <v>06811 0078 8001 (USD)/06811 0078 7005 (VND)</v>
      </c>
    </row>
    <row r="184" spans="1:9" x14ac:dyDescent="0.3">
      <c r="A184">
        <v>180</v>
      </c>
      <c r="B184" t="s">
        <v>355</v>
      </c>
      <c r="C184" t="s">
        <v>356</v>
      </c>
      <c r="D184" t="str">
        <f t="shared" si="4"/>
        <v>180. V10067</v>
      </c>
      <c r="E184" s="5" t="str">
        <f t="shared" ca="1" si="5"/>
        <v>Công ty TNHH công nghiệp Trí Cường</v>
      </c>
      <c r="F184" t="str">
        <f>IFERROR(VLOOKUP(Table1[[#This Row],[Tên đối tượng]],'DANH MỤC ĐỐI TƯỢNG'!A:E,5,0),"")</f>
        <v>P108, 242A Minh Khai, Quận Hai Bà Trưng, Hà Nội</v>
      </c>
      <c r="G184" t="str">
        <f>_xlfn.IFNA(VLOOKUP(Table1[[#This Row],[Tên đối tượng]],'DANH MỤC ĐỐI TƯỢNG'!A:F,6,0),"")</f>
        <v>0102007678</v>
      </c>
      <c r="H184" t="str">
        <f>_xlfn.IFNA(VLOOKUP(Table1[[#This Row],[Tên đối tượng]],'DANH MỤC ĐỐI TƯỢNG'!A:I,9,0),"")</f>
        <v>Techcombank - CN Hoàng Quốc Việt, Tp Hà Nội</v>
      </c>
      <c r="I184" t="str">
        <f>_xlfn.IFNA(VLOOKUP(Table1[[#This Row],[Tên đối tượng]],'DANH MỤC ĐỐI TƯỢNG'!A:J,10,0),"")</f>
        <v>11720192072012</v>
      </c>
    </row>
    <row r="185" spans="1:9" x14ac:dyDescent="0.3">
      <c r="A185">
        <v>181</v>
      </c>
      <c r="B185" t="s">
        <v>357</v>
      </c>
      <c r="C185" t="s">
        <v>358</v>
      </c>
      <c r="D185" t="str">
        <f t="shared" si="4"/>
        <v>181. V10114</v>
      </c>
      <c r="E185" s="5" t="str">
        <f t="shared" ca="1" si="5"/>
        <v>Công ty TNHH Công nghiệp và Thương mại Tân Hoàng Phát</v>
      </c>
      <c r="F185" t="str">
        <f>IFERROR(VLOOKUP(Table1[[#This Row],[Tên đối tượng]],'DANH MỤC ĐỐI TƯỢNG'!A:E,5,0),"")</f>
        <v>Số 109, Lô NO-5, khu đô thị mới Sở Dầu, phường Sở Dầu, quận Hồng Bàng, Thành Phố Hải Phòng, Việt Nam</v>
      </c>
      <c r="G185">
        <f>_xlfn.IFNA(VLOOKUP(Table1[[#This Row],[Tên đối tượng]],'DANH MỤC ĐỐI TƯỢNG'!A:F,6,0),"")</f>
        <v>0</v>
      </c>
      <c r="H185">
        <f>_xlfn.IFNA(VLOOKUP(Table1[[#This Row],[Tên đối tượng]],'DANH MỤC ĐỐI TƯỢNG'!A:I,9,0),"")</f>
        <v>0</v>
      </c>
      <c r="I185">
        <f>_xlfn.IFNA(VLOOKUP(Table1[[#This Row],[Tên đối tượng]],'DANH MỤC ĐỐI TƯỢNG'!A:J,10,0),"")</f>
        <v>0</v>
      </c>
    </row>
    <row r="186" spans="1:9" x14ac:dyDescent="0.3">
      <c r="A186">
        <v>182</v>
      </c>
      <c r="B186" t="s">
        <v>359</v>
      </c>
      <c r="C186" t="s">
        <v>360</v>
      </c>
      <c r="D186" t="str">
        <f t="shared" si="4"/>
        <v>182. V10177</v>
      </c>
      <c r="E186" s="5" t="str">
        <f t="shared" ca="1" si="5"/>
        <v>Công ty TNHH Đại Hoàn</v>
      </c>
      <c r="F186" t="str">
        <f>IFERROR(VLOOKUP(Table1[[#This Row],[Tên đối tượng]],'DANH MỤC ĐỐI TƯỢNG'!A:E,5,0),"")</f>
        <v>Số 81 Tam Bạc, Phạm Hồng Thái, Hồng Bàng, Hải Phòng</v>
      </c>
      <c r="G186" t="str">
        <f>_xlfn.IFNA(VLOOKUP(Table1[[#This Row],[Tên đối tượng]],'DANH MỤC ĐỐI TƯỢNG'!A:F,6,0),"")</f>
        <v>0200735812</v>
      </c>
      <c r="H186" t="str">
        <f>_xlfn.IFNA(VLOOKUP(Table1[[#This Row],[Tên đối tượng]],'DANH MỤC ĐỐI TƯỢNG'!A:I,9,0),"")</f>
        <v>Indovina Bank - CN Hải Phòng</v>
      </c>
      <c r="I186" t="str">
        <f>_xlfn.IFNA(VLOOKUP(Table1[[#This Row],[Tên đối tượng]],'DANH MỤC ĐỐI TƯỢNG'!A:J,10,0),"")</f>
        <v>3321654001</v>
      </c>
    </row>
    <row r="187" spans="1:9" x14ac:dyDescent="0.3">
      <c r="A187">
        <v>183</v>
      </c>
      <c r="B187" t="s">
        <v>361</v>
      </c>
      <c r="C187" t="s">
        <v>362</v>
      </c>
      <c r="D187" t="str">
        <f t="shared" si="4"/>
        <v>183. V10138</v>
      </c>
      <c r="E187" s="5" t="str">
        <f t="shared" ca="1" si="5"/>
        <v>Công ty TNHH Daiichi Jitsugyo Việt Nam</v>
      </c>
      <c r="F187" t="str">
        <f>IFERROR(VLOOKUP(Table1[[#This Row],[Tên đối tượng]],'DANH MỤC ĐỐI TƯỢNG'!A:E,5,0),"")</f>
        <v>201, tầng 2, V-Tower, 649 Kim Mã, quận Ba Đình, Hà Nội, Việt Nam</v>
      </c>
      <c r="G187" t="str">
        <f>_xlfn.IFNA(VLOOKUP(Table1[[#This Row],[Tên đối tượng]],'DANH MỤC ĐỐI TƯỢNG'!A:F,6,0),"")</f>
        <v>0106188591</v>
      </c>
      <c r="H187" t="str">
        <f>_xlfn.IFNA(VLOOKUP(Table1[[#This Row],[Tên đối tượng]],'DANH MỤC ĐỐI TƯỢNG'!A:I,9,0),"")</f>
        <v>Mizuho Bank, Ltd - CN Hà Nội</v>
      </c>
      <c r="I187" t="str">
        <f>_xlfn.IFNA(VLOOKUP(Table1[[#This Row],[Tên đối tượng]],'DANH MỤC ĐỐI TƯỢNG'!A:J,10,0),"")</f>
        <v>H15-795-012656</v>
      </c>
    </row>
    <row r="188" spans="1:9" x14ac:dyDescent="0.3">
      <c r="A188">
        <v>184</v>
      </c>
      <c r="B188" t="s">
        <v>363</v>
      </c>
      <c r="C188" t="s">
        <v>364</v>
      </c>
      <c r="D188" t="str">
        <f t="shared" si="4"/>
        <v>184. V10370</v>
      </c>
      <c r="E188" s="5" t="str">
        <f t="shared" ca="1" si="5"/>
        <v>CÔNG TY TNHH ĐÀO TẠO PHÁT TRIỂN DOANH NGHIỆP VIỆT</v>
      </c>
      <c r="F188" t="str">
        <f>IFERROR(VLOOKUP(Table1[[#This Row],[Tên đối tượng]],'DANH MỤC ĐỐI TƯỢNG'!A:E,5,0),"")</f>
        <v>Số 130, ngách 90, ngõ 179, phố Vĩnh Hưng, Phường Vĩnh Hưng, Quận Hoàng Mai, Thành phố Hà Nội</v>
      </c>
      <c r="G188">
        <f>_xlfn.IFNA(VLOOKUP(Table1[[#This Row],[Tên đối tượng]],'DANH MỤC ĐỐI TƯỢNG'!A:F,6,0),"")</f>
        <v>0</v>
      </c>
      <c r="H188" t="str">
        <f>_xlfn.IFNA(VLOOKUP(Table1[[#This Row],[Tên đối tượng]],'DANH MỤC ĐỐI TƯỢNG'!A:I,9,0),"")</f>
        <v>Sacombank / CN Hà Nội , PGD Lĩnh Nam</v>
      </c>
      <c r="I188" t="str">
        <f>_xlfn.IFNA(VLOOKUP(Table1[[#This Row],[Tên đối tượng]],'DANH MỤC ĐỐI TƯỢNG'!A:J,10,0),"")</f>
        <v>020025911858</v>
      </c>
    </row>
    <row r="189" spans="1:9" x14ac:dyDescent="0.3">
      <c r="A189">
        <v>185</v>
      </c>
      <c r="B189" t="s">
        <v>365</v>
      </c>
      <c r="C189" t="s">
        <v>366</v>
      </c>
      <c r="D189" t="str">
        <f t="shared" si="4"/>
        <v>185. V10182</v>
      </c>
      <c r="E189" s="5" t="str">
        <f t="shared" ca="1" si="5"/>
        <v>Công ty TNHH dầu nhờn Idemitsu Việt Nam</v>
      </c>
      <c r="F189" t="str">
        <f>IFERROR(VLOOKUP(Table1[[#This Row],[Tên đối tượng]],'DANH MỤC ĐỐI TƯỢNG'!A:E,5,0),"")</f>
        <v>Khu đất CN5.2E, KCN Đình Vũ, P.Đông Hải 2, Q.Hải An, thuộc khu kinh tế Đình Vũ- Cát Hải-Hải Phòng</v>
      </c>
      <c r="G189" t="str">
        <f>_xlfn.IFNA(VLOOKUP(Table1[[#This Row],[Tên đối tượng]],'DANH MỤC ĐỐI TƯỢNG'!A:F,6,0),"")</f>
        <v>0201275452</v>
      </c>
      <c r="H189" t="str">
        <f>_xlfn.IFNA(VLOOKUP(Table1[[#This Row],[Tên đối tượng]],'DANH MỤC ĐỐI TƯỢNG'!A:I,9,0),"")</f>
        <v>Vietcombank- Haiphong Branch</v>
      </c>
      <c r="I189" t="str">
        <f>_xlfn.IFNA(VLOOKUP(Table1[[#This Row],[Tên đối tượng]],'DANH MỤC ĐỐI TƯỢNG'!A:J,10,0),"")</f>
        <v>0031006668888(VND)/0031376668899(USD)</v>
      </c>
    </row>
    <row r="190" spans="1:9" x14ac:dyDescent="0.3">
      <c r="A190">
        <v>186</v>
      </c>
      <c r="B190" t="s">
        <v>367</v>
      </c>
      <c r="C190" t="s">
        <v>368</v>
      </c>
      <c r="D190" t="str">
        <f t="shared" si="4"/>
        <v>186. V10233</v>
      </c>
      <c r="E190" s="5" t="str">
        <f t="shared" ca="1" si="5"/>
        <v>Công ty TNHH Đầu tư kỹ thuật ATC</v>
      </c>
      <c r="F190" t="str">
        <f>IFERROR(VLOOKUP(Table1[[#This Row],[Tên đối tượng]],'DANH MỤC ĐỐI TƯỢNG'!A:E,5,0),"")</f>
        <v>P802, CT4, Khu Mỹ Đình II, Xã Mỹ Đình, huyện Từ Liêm, thành phố Hà Nội</v>
      </c>
      <c r="G190" t="str">
        <f>_xlfn.IFNA(VLOOKUP(Table1[[#This Row],[Tên đối tượng]],'DANH MỤC ĐỐI TƯỢNG'!A:F,6,0),"")</f>
        <v>0102035347</v>
      </c>
      <c r="H190" t="str">
        <f>_xlfn.IFNA(VLOOKUP(Table1[[#This Row],[Tên đối tượng]],'DANH MỤC ĐỐI TƯỢNG'!A:I,9,0),"")</f>
        <v>TMCP Quốc tế - Hội sở chính</v>
      </c>
      <c r="I190" t="str">
        <f>_xlfn.IFNA(VLOOKUP(Table1[[#This Row],[Tên đối tượng]],'DANH MỤC ĐỐI TƯỢNG'!A:J,10,0),"")</f>
        <v>001704060066199</v>
      </c>
    </row>
    <row r="191" spans="1:9" x14ac:dyDescent="0.3">
      <c r="A191">
        <v>187</v>
      </c>
      <c r="B191" t="s">
        <v>369</v>
      </c>
      <c r="C191" t="s">
        <v>370</v>
      </c>
      <c r="D191" t="str">
        <f t="shared" si="4"/>
        <v>187. V10098</v>
      </c>
      <c r="E191" s="5" t="str">
        <f t="shared" ca="1" si="5"/>
        <v>Công ty TNHH Đầu tư phát triển LATA</v>
      </c>
      <c r="F191" t="str">
        <f>IFERROR(VLOOKUP(Table1[[#This Row],[Tên đối tượng]],'DANH MỤC ĐỐI TƯỢNG'!A:E,5,0),"")</f>
        <v>Số nhà 63A, ngõ 12 phố Chính Kinh, phường Nhân Chính, quận Thanh Xuân, TP.Hà Nội</v>
      </c>
      <c r="G191" t="str">
        <f>_xlfn.IFNA(VLOOKUP(Table1[[#This Row],[Tên đối tượng]],'DANH MỤC ĐỐI TƯỢNG'!A:F,6,0),"")</f>
        <v>0105612754</v>
      </c>
      <c r="H191" t="str">
        <f>_xlfn.IFNA(VLOOKUP(Table1[[#This Row],[Tên đối tượng]],'DANH MỤC ĐỐI TƯỢNG'!A:I,9,0),"")</f>
        <v>Techcombank Đông Đô</v>
      </c>
      <c r="I191" t="str">
        <f>_xlfn.IFNA(VLOOKUP(Table1[[#This Row],[Tên đối tượng]],'DANH MỤC ĐỐI TƯỢNG'!A:J,10,0),"")</f>
        <v>11025079735013 (VND) / 19125079735017 (JPY)</v>
      </c>
    </row>
    <row r="192" spans="1:9" x14ac:dyDescent="0.3">
      <c r="A192">
        <v>188</v>
      </c>
      <c r="B192" t="s">
        <v>371</v>
      </c>
      <c r="C192" t="s">
        <v>372</v>
      </c>
      <c r="D192" t="str">
        <f t="shared" si="4"/>
        <v>188. V10237</v>
      </c>
      <c r="E192" s="5" t="str">
        <f t="shared" ca="1" si="5"/>
        <v>Công ty TNHH đầu tư phát triển Probuy</v>
      </c>
      <c r="F192" t="str">
        <f>IFERROR(VLOOKUP(Table1[[#This Row],[Tên đối tượng]],'DANH MỤC ĐỐI TƯỢNG'!A:E,5,0),"")</f>
        <v>131 Thôn 6, xã Song Phương, huyện Hoài Đức, thành phố Hà Nội, Việt Nam</v>
      </c>
      <c r="G192" t="str">
        <f>_xlfn.IFNA(VLOOKUP(Table1[[#This Row],[Tên đối tượng]],'DANH MỤC ĐỐI TƯỢNG'!A:F,6,0),"")</f>
        <v>0106221143</v>
      </c>
      <c r="H192" t="str">
        <f>_xlfn.IFNA(VLOOKUP(Table1[[#This Row],[Tên đối tượng]],'DANH MỤC ĐỐI TƯỢNG'!A:I,9,0),"")</f>
        <v>Ngân hàng TMCP Xuất nhập khẩu Việt Nam - CN Ba Đình, Hà Nội</v>
      </c>
      <c r="I192" t="str">
        <f>_xlfn.IFNA(VLOOKUP(Table1[[#This Row],[Tên đối tượng]],'DANH MỤC ĐỐI TƯỢNG'!A:J,10,0),"")</f>
        <v>171914851025598</v>
      </c>
    </row>
    <row r="193" spans="1:9" x14ac:dyDescent="0.3">
      <c r="A193">
        <v>189</v>
      </c>
      <c r="B193" t="s">
        <v>373</v>
      </c>
      <c r="C193" t="s">
        <v>374</v>
      </c>
      <c r="D193" t="str">
        <f t="shared" si="4"/>
        <v>189. V10224</v>
      </c>
      <c r="E193" s="5" t="str">
        <f t="shared" ca="1" si="5"/>
        <v>Công ty TNHH đầu tư sản xuất và thương mại Tiến Cường</v>
      </c>
      <c r="F193" t="str">
        <f>IFERROR(VLOOKUP(Table1[[#This Row],[Tên đối tượng]],'DANH MỤC ĐỐI TƯỢNG'!A:E,5,0),"")</f>
        <v>Số 10/238 Hào Khê, P. Kênh Dương, Q. Lê chân, TP.Hải phòng</v>
      </c>
      <c r="G193" t="str">
        <f>_xlfn.IFNA(VLOOKUP(Table1[[#This Row],[Tên đối tượng]],'DANH MỤC ĐỐI TƯỢNG'!A:F,6,0),"")</f>
        <v>0201618244</v>
      </c>
      <c r="H193" t="str">
        <f>_xlfn.IFNA(VLOOKUP(Table1[[#This Row],[Tên đối tượng]],'DANH MỤC ĐỐI TƯỢNG'!A:I,9,0),"")</f>
        <v>SHB Hải Phòng  - PGD Lạch Tray</v>
      </c>
      <c r="I193" t="str">
        <f>_xlfn.IFNA(VLOOKUP(Table1[[#This Row],[Tên đối tượng]],'DANH MỤC ĐỐI TƯỢNG'!A:J,10,0),"")</f>
        <v>1005543891</v>
      </c>
    </row>
    <row r="194" spans="1:9" x14ac:dyDescent="0.3">
      <c r="A194">
        <v>190</v>
      </c>
      <c r="B194" t="s">
        <v>375</v>
      </c>
      <c r="C194" t="s">
        <v>376</v>
      </c>
      <c r="D194" t="str">
        <f t="shared" si="4"/>
        <v>190. V10287</v>
      </c>
      <c r="E194" s="5" t="str">
        <f t="shared" ca="1" si="5"/>
        <v>Công ty TNHH Đầu tư thương mại Lê Thanh</v>
      </c>
      <c r="F194" t="str">
        <f>IFERROR(VLOOKUP(Table1[[#This Row],[Tên đối tượng]],'DANH MỤC ĐỐI TƯỢNG'!A:E,5,0),"")</f>
        <v>Số 346 Đà nẵng, P.Đông Hải 1, Q.Hải An, Hải phòng</v>
      </c>
      <c r="G194" t="str">
        <f>_xlfn.IFNA(VLOOKUP(Table1[[#This Row],[Tên đối tượng]],'DANH MỤC ĐỐI TƯỢNG'!A:F,6,0),"")</f>
        <v>0201217570</v>
      </c>
      <c r="H194" t="str">
        <f>_xlfn.IFNA(VLOOKUP(Table1[[#This Row],[Tên đối tượng]],'DANH MỤC ĐỐI TƯỢNG'!A:I,9,0),"")</f>
        <v>Ngân hàng Ngoại thương Việt Nam - CN Hải Phòng</v>
      </c>
      <c r="I194" t="str">
        <f>_xlfn.IFNA(VLOOKUP(Table1[[#This Row],[Tên đối tượng]],'DANH MỤC ĐỐI TƯỢNG'!A:J,10,0),"")</f>
        <v>0031000139395</v>
      </c>
    </row>
    <row r="195" spans="1:9" x14ac:dyDescent="0.3">
      <c r="A195">
        <v>191</v>
      </c>
      <c r="B195" t="s">
        <v>377</v>
      </c>
      <c r="C195" t="s">
        <v>378</v>
      </c>
      <c r="D195" t="str">
        <f t="shared" si="4"/>
        <v>191. V10127</v>
      </c>
      <c r="E195" s="5" t="str">
        <f t="shared" ca="1" si="5"/>
        <v>Công ty TNHH Đầu tư thương mại và dịch vụ vận tải Long Việt</v>
      </c>
      <c r="F195" t="str">
        <f>IFERROR(VLOOKUP(Table1[[#This Row],[Tên đối tượng]],'DANH MỤC ĐỐI TƯỢNG'!A:E,5,0),"")</f>
        <v>175 Trường Chinh - phường Lãm Hà, Kiến An, Hải Phòng</v>
      </c>
      <c r="G195">
        <f>_xlfn.IFNA(VLOOKUP(Table1[[#This Row],[Tên đối tượng]],'DANH MỤC ĐỐI TƯỢNG'!A:F,6,0),"")</f>
        <v>0</v>
      </c>
      <c r="H195">
        <f>_xlfn.IFNA(VLOOKUP(Table1[[#This Row],[Tên đối tượng]],'DANH MỤC ĐỐI TƯỢNG'!A:I,9,0),"")</f>
        <v>0</v>
      </c>
      <c r="I195">
        <f>_xlfn.IFNA(VLOOKUP(Table1[[#This Row],[Tên đối tượng]],'DANH MỤC ĐỐI TƯỢNG'!A:J,10,0),"")</f>
        <v>0</v>
      </c>
    </row>
    <row r="196" spans="1:9" x14ac:dyDescent="0.3">
      <c r="A196">
        <v>192</v>
      </c>
      <c r="B196" t="s">
        <v>379</v>
      </c>
      <c r="C196" t="s">
        <v>380</v>
      </c>
      <c r="D196" t="str">
        <f t="shared" si="4"/>
        <v>192. V10203</v>
      </c>
      <c r="E196" s="5" t="str">
        <f t="shared" ca="1" si="5"/>
        <v>Công ty TNHH Đầu tư thương mại xây dựng Nam Việt</v>
      </c>
      <c r="F196" t="str">
        <f>IFERROR(VLOOKUP(Table1[[#This Row],[Tên đối tượng]],'DANH MỤC ĐỐI TƯỢNG'!A:E,5,0),"")</f>
        <v>Số 30/317A Đà Nẵng, Phường Vạn Mỹ, Quận Ngô Quyền, Thành phố Hải Phòng</v>
      </c>
      <c r="G196" t="str">
        <f>_xlfn.IFNA(VLOOKUP(Table1[[#This Row],[Tên đối tượng]],'DANH MỤC ĐỐI TƯỢNG'!A:F,6,0),"")</f>
        <v>0201292190</v>
      </c>
      <c r="H196" t="str">
        <f>_xlfn.IFNA(VLOOKUP(Table1[[#This Row],[Tên đối tượng]],'DANH MỤC ĐỐI TƯỢNG'!A:I,9,0),"")</f>
        <v>Ngân hàng TMCP Đầu tư và phát triển Việt Nam - CN Hải Phòng</v>
      </c>
      <c r="I196" t="str">
        <f>_xlfn.IFNA(VLOOKUP(Table1[[#This Row],[Tên đối tượng]],'DANH MỤC ĐỐI TƯỢNG'!A:J,10,0),"")</f>
        <v>32110000716397</v>
      </c>
    </row>
    <row r="197" spans="1:9" x14ac:dyDescent="0.3">
      <c r="A197">
        <v>193</v>
      </c>
      <c r="B197" t="s">
        <v>381</v>
      </c>
      <c r="C197" t="s">
        <v>382</v>
      </c>
      <c r="D197" t="str">
        <f t="shared" ref="D197:D260" si="6">A197&amp;". "&amp;B197</f>
        <v>193. V10252</v>
      </c>
      <c r="E197" s="5" t="str">
        <f t="shared" ref="E197:E260" ca="1" si="7">IF(B197&lt;&gt;"",HYPERLINK($A$2&amp;D197,C197),"")</f>
        <v>Công ty TNHH Đầu tư và dịch vụ y tế Điện Biên Phủ</v>
      </c>
      <c r="F197" t="str">
        <f>IFERROR(VLOOKUP(Table1[[#This Row],[Tên đối tượng]],'DANH MỤC ĐỐI TƯỢNG'!A:E,5,0),"")</f>
        <v>Số 73 Điện Biên Phủ, Minh KhaiHải Phòng</v>
      </c>
      <c r="G197">
        <f>_xlfn.IFNA(VLOOKUP(Table1[[#This Row],[Tên đối tượng]],'DANH MỤC ĐỐI TƯỢNG'!A:F,6,0),"")</f>
        <v>0</v>
      </c>
      <c r="H197">
        <f>_xlfn.IFNA(VLOOKUP(Table1[[#This Row],[Tên đối tượng]],'DANH MỤC ĐỐI TƯỢNG'!A:I,9,0),"")</f>
        <v>0</v>
      </c>
      <c r="I197">
        <f>_xlfn.IFNA(VLOOKUP(Table1[[#This Row],[Tên đối tượng]],'DANH MỤC ĐỐI TƯỢNG'!A:J,10,0),"")</f>
        <v>0</v>
      </c>
    </row>
    <row r="198" spans="1:9" x14ac:dyDescent="0.3">
      <c r="A198">
        <v>194</v>
      </c>
      <c r="B198" t="s">
        <v>383</v>
      </c>
      <c r="C198" t="s">
        <v>384</v>
      </c>
      <c r="D198" t="str">
        <f t="shared" si="6"/>
        <v>194. V10192</v>
      </c>
      <c r="E198" s="5" t="str">
        <f t="shared" ca="1" si="7"/>
        <v>Công ty TNHH Đầu tư và phát triển Đức Bình</v>
      </c>
      <c r="F198" t="str">
        <f>IFERROR(VLOOKUP(Table1[[#This Row],[Tên đối tượng]],'DANH MỤC ĐỐI TƯỢNG'!A:E,5,0),"")</f>
        <v>Số 25, Tổ dân phố Quý Kim I, P.Hợp đức, Q.Đồ sơn, TP.Hải phòng</v>
      </c>
      <c r="G198" t="str">
        <f>_xlfn.IFNA(VLOOKUP(Table1[[#This Row],[Tên đối tượng]],'DANH MỤC ĐỐI TƯỢNG'!A:F,6,0),"")</f>
        <v>0200572533</v>
      </c>
      <c r="H198" t="str">
        <f>_xlfn.IFNA(VLOOKUP(Table1[[#This Row],[Tên đối tượng]],'DANH MỤC ĐỐI TƯỢNG'!A:I,9,0),"")</f>
        <v>SHB - PGD Lạch tray</v>
      </c>
      <c r="I198" t="str">
        <f>_xlfn.IFNA(VLOOKUP(Table1[[#This Row],[Tên đối tượng]],'DANH MỤC ĐỐI TƯỢNG'!A:J,10,0),"")</f>
        <v>1002330599</v>
      </c>
    </row>
    <row r="199" spans="1:9" x14ac:dyDescent="0.3">
      <c r="A199">
        <v>195</v>
      </c>
      <c r="B199" t="s">
        <v>385</v>
      </c>
      <c r="C199" t="s">
        <v>386</v>
      </c>
      <c r="D199" t="str">
        <f t="shared" si="6"/>
        <v>195. V10057</v>
      </c>
      <c r="E199" s="5" t="str">
        <f t="shared" ca="1" si="7"/>
        <v>Công ty TNHH đầu tư và phát triển thiết bị công nghiệp Hoàng Hà</v>
      </c>
      <c r="F199" t="str">
        <f>IFERROR(VLOOKUP(Table1[[#This Row],[Tên đối tượng]],'DANH MỤC ĐỐI TƯỢNG'!A:E,5,0),"")</f>
        <v>Số 21A, đường Huỳnh Thúc Kháng, phường Lam Sơn, Thành phố  Hưng Yên, tỉnh Hưng Yên</v>
      </c>
      <c r="G199" t="str">
        <f>_xlfn.IFNA(VLOOKUP(Table1[[#This Row],[Tên đối tượng]],'DANH MỤC ĐỐI TƯỢNG'!A:F,6,0),"")</f>
        <v>0101798875</v>
      </c>
      <c r="H199" t="str">
        <f>_xlfn.IFNA(VLOOKUP(Table1[[#This Row],[Tên đối tượng]],'DANH MỤC ĐỐI TƯỢNG'!A:I,9,0),"")</f>
        <v>Ngân hàng Agribank-CN Gia Lâm, Hà Nội</v>
      </c>
      <c r="I199" t="str">
        <f>_xlfn.IFNA(VLOOKUP(Table1[[#This Row],[Tên đối tượng]],'DANH MỤC ĐỐI TƯỢNG'!A:J,10,0),"")</f>
        <v>3120201006743</v>
      </c>
    </row>
    <row r="200" spans="1:9" x14ac:dyDescent="0.3">
      <c r="A200">
        <v>196</v>
      </c>
      <c r="B200" t="s">
        <v>387</v>
      </c>
      <c r="C200" t="s">
        <v>388</v>
      </c>
      <c r="D200" t="str">
        <f t="shared" si="6"/>
        <v>196. V10045</v>
      </c>
      <c r="E200" s="5" t="str">
        <f t="shared" ca="1" si="7"/>
        <v>Công Ty TNHH Dịch Thuật Quốc Tế Thu Thảo</v>
      </c>
      <c r="F200" t="str">
        <f>IFERROR(VLOOKUP(Table1[[#This Row],[Tên đối tượng]],'DANH MỤC ĐỐI TƯỢNG'!A:E,5,0),"")</f>
        <v>Thôn Kiều Trung, xã Hồng Thái, huyện An Dương,Hải Phòng</v>
      </c>
      <c r="G200" t="str">
        <f>_xlfn.IFNA(VLOOKUP(Table1[[#This Row],[Tên đối tượng]],'DANH MỤC ĐỐI TƯỢNG'!A:F,6,0),"")</f>
        <v>0201248339</v>
      </c>
      <c r="H200" t="str">
        <f>_xlfn.IFNA(VLOOKUP(Table1[[#This Row],[Tên đối tượng]],'DANH MỤC ĐỐI TƯỢNG'!A:I,9,0),"")</f>
        <v>Ngân hàng CôngThương Việt Nam - CN Hải phòng</v>
      </c>
      <c r="I200" t="str">
        <f>_xlfn.IFNA(VLOOKUP(Table1[[#This Row],[Tên đối tượng]],'DANH MỤC ĐỐI TƯỢNG'!A:J,10,0),"")</f>
        <v>102010002062693</v>
      </c>
    </row>
    <row r="201" spans="1:9" x14ac:dyDescent="0.3">
      <c r="A201">
        <v>197</v>
      </c>
      <c r="B201" t="s">
        <v>389</v>
      </c>
      <c r="C201" t="s">
        <v>390</v>
      </c>
      <c r="D201" t="str">
        <f t="shared" si="6"/>
        <v>197. V10024</v>
      </c>
      <c r="E201" s="5" t="str">
        <f t="shared" ca="1" si="7"/>
        <v>Công ty TNHH Dịch vụ bảo vệ Hồng Hải</v>
      </c>
      <c r="F201" t="str">
        <f>IFERROR(VLOOKUP(Table1[[#This Row],[Tên đối tượng]],'DANH MỤC ĐỐI TƯỢNG'!A:E,5,0),"")</f>
        <v>Số 133 Kênh Dương,phường Kênh Dương, Lê chân, Hải Phòng</v>
      </c>
      <c r="G201" t="str">
        <f>_xlfn.IFNA(VLOOKUP(Table1[[#This Row],[Tên đối tượng]],'DANH MỤC ĐỐI TƯỢNG'!A:F,6,0),"")</f>
        <v>0201037313</v>
      </c>
      <c r="H201" t="str">
        <f>_xlfn.IFNA(VLOOKUP(Table1[[#This Row],[Tên đối tượng]],'DANH MỤC ĐỐI TƯỢNG'!A:I,9,0),"")</f>
        <v>Ngân hàng TNHH MTV Public Việt nam - CN Hải Phòng</v>
      </c>
      <c r="I201" t="str">
        <f>_xlfn.IFNA(VLOOKUP(Table1[[#This Row],[Tên đối tượng]],'DANH MỤC ĐỐI TƯỢNG'!A:J,10,0),"")</f>
        <v>0505000002525</v>
      </c>
    </row>
    <row r="202" spans="1:9" x14ac:dyDescent="0.3">
      <c r="A202">
        <v>198</v>
      </c>
      <c r="B202" t="s">
        <v>391</v>
      </c>
      <c r="C202" t="s">
        <v>392</v>
      </c>
      <c r="D202" t="str">
        <f t="shared" si="6"/>
        <v>198. V10273</v>
      </c>
      <c r="E202" s="5" t="str">
        <f t="shared" ca="1" si="7"/>
        <v>Công Ty TNHH Dịch Vụ Kỹ Thuật Và Thương Mại Nam Vân</v>
      </c>
      <c r="F202" t="str">
        <f>IFERROR(VLOOKUP(Table1[[#This Row],[Tên đối tượng]],'DANH MỤC ĐỐI TƯỢNG'!A:E,5,0),"")</f>
        <v>Xã Đồng Thái,Số 250 Chung Cư Hoàng Mai,Huyện An DươngThành phố Hải Phòng, Việt Nam</v>
      </c>
      <c r="G202">
        <f>_xlfn.IFNA(VLOOKUP(Table1[[#This Row],[Tên đối tượng]],'DANH MỤC ĐỐI TƯỢNG'!A:F,6,0),"")</f>
        <v>0</v>
      </c>
      <c r="H202" t="str">
        <f>_xlfn.IFNA(VLOOKUP(Table1[[#This Row],[Tên đối tượng]],'DANH MỤC ĐỐI TƯỢNG'!A:I,9,0),"")</f>
        <v>Ngân Hàng Vietcombank - CN Hải Phòng</v>
      </c>
      <c r="I202" t="str">
        <f>_xlfn.IFNA(VLOOKUP(Table1[[#This Row],[Tên đối tượng]],'DANH MỤC ĐỐI TƯỢNG'!A:J,10,0),"")</f>
        <v>0031000206768</v>
      </c>
    </row>
    <row r="203" spans="1:9" x14ac:dyDescent="0.3">
      <c r="A203">
        <v>199</v>
      </c>
      <c r="B203" t="s">
        <v>393</v>
      </c>
      <c r="C203" t="s">
        <v>394</v>
      </c>
      <c r="D203" t="str">
        <f t="shared" si="6"/>
        <v>199. V10235</v>
      </c>
      <c r="E203" s="5" t="str">
        <f t="shared" ca="1" si="7"/>
        <v>Công ty TNHH Dịch vụ tư vấn công nghệ Việt Tâm</v>
      </c>
      <c r="F203" t="str">
        <f>IFERROR(VLOOKUP(Table1[[#This Row],[Tên đối tượng]],'DANH MỤC ĐỐI TƯỢNG'!A:E,5,0),"")</f>
        <v>173/12 Tân Sơn Nhì, P. Tân Sơn Nhì, Q. Tân Phú, TP.Hồ Chí Minh, Việt Nam</v>
      </c>
      <c r="G203">
        <f>_xlfn.IFNA(VLOOKUP(Table1[[#This Row],[Tên đối tượng]],'DANH MỤC ĐỐI TƯỢNG'!A:F,6,0),"")</f>
        <v>0</v>
      </c>
      <c r="H203" t="str">
        <f>_xlfn.IFNA(VLOOKUP(Table1[[#This Row],[Tên đối tượng]],'DANH MỤC ĐỐI TƯỢNG'!A:I,9,0),"")</f>
        <v>Ngân hàng Thương mại Á Châu (ACB) – PGD Tân Sơn Nhì</v>
      </c>
      <c r="I203" t="str">
        <f>_xlfn.IFNA(VLOOKUP(Table1[[#This Row],[Tên đối tượng]],'DANH MỤC ĐỐI TƯỢNG'!A:J,10,0),"")</f>
        <v>111.384459</v>
      </c>
    </row>
    <row r="204" spans="1:9" x14ac:dyDescent="0.3">
      <c r="A204">
        <v>200</v>
      </c>
      <c r="B204" t="s">
        <v>395</v>
      </c>
      <c r="C204" t="s">
        <v>396</v>
      </c>
      <c r="D204" t="str">
        <f t="shared" si="6"/>
        <v>200. V10288</v>
      </c>
      <c r="E204" s="5" t="str">
        <f t="shared" ca="1" si="7"/>
        <v>Công ty TNHH Dịch vụ vận tải du lịch Hải Anh</v>
      </c>
      <c r="F204" t="str">
        <f>IFERROR(VLOOKUP(Table1[[#This Row],[Tên đối tượng]],'DANH MỤC ĐỐI TƯỢNG'!A:E,5,0),"")</f>
        <v>Số 280 Tô Hiệu, phường Hồ Nam, quận Lê Chân thành phố Hải Phòng</v>
      </c>
      <c r="G204">
        <f>_xlfn.IFNA(VLOOKUP(Table1[[#This Row],[Tên đối tượng]],'DANH MỤC ĐỐI TƯỢNG'!A:F,6,0),"")</f>
        <v>0</v>
      </c>
      <c r="H204" t="str">
        <f>_xlfn.IFNA(VLOOKUP(Table1[[#This Row],[Tên đối tượng]],'DANH MỤC ĐỐI TƯỢNG'!A:I,9,0),"")</f>
        <v>Ngân hàng Vietinbank - Chi Nhánh Lê Chân</v>
      </c>
      <c r="I204" t="str">
        <f>_xlfn.IFNA(VLOOKUP(Table1[[#This Row],[Tên đối tượng]],'DANH MỤC ĐỐI TƯỢNG'!A:J,10,0),"")</f>
        <v>114000165632</v>
      </c>
    </row>
    <row r="205" spans="1:9" x14ac:dyDescent="0.3">
      <c r="A205">
        <v>201</v>
      </c>
      <c r="B205" t="s">
        <v>397</v>
      </c>
      <c r="C205" t="s">
        <v>398</v>
      </c>
      <c r="D205" t="str">
        <f t="shared" si="6"/>
        <v>201. V10159</v>
      </c>
      <c r="E205" s="5" t="str">
        <f t="shared" ca="1" si="7"/>
        <v>Công ty TNHH Điện trở đốt nóng Việt Hùng</v>
      </c>
      <c r="F205" t="str">
        <f>IFERROR(VLOOKUP(Table1[[#This Row],[Tên đối tượng]],'DANH MỤC ĐỐI TƯỢNG'!A:E,5,0),"")</f>
        <v>7/5 Đường số 9, Phường 5, Quận Gò Vấp, TP.Hồ Chí Minh</v>
      </c>
      <c r="G205" t="str">
        <f>_xlfn.IFNA(VLOOKUP(Table1[[#This Row],[Tên đối tượng]],'DANH MỤC ĐỐI TƯỢNG'!A:F,6,0),"")</f>
        <v>0305684629</v>
      </c>
      <c r="H205" t="str">
        <f>_xlfn.IFNA(VLOOKUP(Table1[[#This Row],[Tên đối tượng]],'DANH MỤC ĐỐI TƯỢNG'!A:I,9,0),"")</f>
        <v>Đông Á - CN Nguyễn Văn Nghi</v>
      </c>
      <c r="I205" t="str">
        <f>_xlfn.IFNA(VLOOKUP(Table1[[#This Row],[Tên đối tượng]],'DANH MỤC ĐỐI TƯỢNG'!A:J,10,0),"")</f>
        <v>061002774150001</v>
      </c>
    </row>
    <row r="206" spans="1:9" x14ac:dyDescent="0.3">
      <c r="A206">
        <v>202</v>
      </c>
      <c r="B206" t="s">
        <v>399</v>
      </c>
      <c r="C206" t="s">
        <v>400</v>
      </c>
      <c r="D206" t="str">
        <f t="shared" si="6"/>
        <v>202. V10303</v>
      </c>
      <c r="E206" s="5" t="str">
        <f t="shared" ca="1" si="7"/>
        <v>Công ty TNHH Dynapac (Hà Nội)</v>
      </c>
      <c r="F206" t="str">
        <f>IFERROR(VLOOKUP(Table1[[#This Row],[Tên đối tượng]],'DANH MỤC ĐỐI TƯỢNG'!A:E,5,0),"")</f>
        <v>Phường Thạch Bàn,Đường Công Nghiệp 6, khu CN Sài Đồng B,Quận Long BiênThành phố Hà Nội, Việt Nam</v>
      </c>
      <c r="G206">
        <f>_xlfn.IFNA(VLOOKUP(Table1[[#This Row],[Tên đối tượng]],'DANH MỤC ĐỐI TƯỢNG'!A:F,6,0),"")</f>
        <v>0</v>
      </c>
      <c r="H206">
        <f>_xlfn.IFNA(VLOOKUP(Table1[[#This Row],[Tên đối tượng]],'DANH MỤC ĐỐI TƯỢNG'!A:I,9,0),"")</f>
        <v>0</v>
      </c>
      <c r="I206">
        <f>_xlfn.IFNA(VLOOKUP(Table1[[#This Row],[Tên đối tượng]],'DANH MỤC ĐỐI TƯỢNG'!A:J,10,0),"")</f>
        <v>0</v>
      </c>
    </row>
    <row r="207" spans="1:9" x14ac:dyDescent="0.3">
      <c r="A207">
        <v>203</v>
      </c>
      <c r="B207" t="s">
        <v>401</v>
      </c>
      <c r="C207" t="s">
        <v>402</v>
      </c>
      <c r="D207" t="str">
        <f t="shared" si="6"/>
        <v>203. V10052</v>
      </c>
      <c r="E207" s="5" t="str">
        <f t="shared" ca="1" si="7"/>
        <v>Công ty TNHH Eidensha Việt Nam</v>
      </c>
      <c r="F207" t="str">
        <f>IFERROR(VLOOKUP(Table1[[#This Row],[Tên đối tượng]],'DANH MỤC ĐỐI TƯỢNG'!A:E,5,0),"")</f>
        <v>Số 5, Lô L1, khu nhà ở Nam Sông Lạch Tray - Phường Anh Dũng - Quận Dương Kinh - Hải Phòng</v>
      </c>
      <c r="G207" t="str">
        <f>_xlfn.IFNA(VLOOKUP(Table1[[#This Row],[Tên đối tượng]],'DANH MỤC ĐỐI TƯỢNG'!A:F,6,0),"")</f>
        <v>0201286214</v>
      </c>
      <c r="H207" t="str">
        <f>_xlfn.IFNA(VLOOKUP(Table1[[#This Row],[Tên đối tượng]],'DANH MỤC ĐỐI TƯỢNG'!A:I,9,0),"")</f>
        <v>Ngân hàng TMCP ngoại thương Việt Nam - Chi nhánh Hải Phòng</v>
      </c>
      <c r="I207" t="str">
        <f>_xlfn.IFNA(VLOOKUP(Table1[[#This Row],[Tên đối tượng]],'DANH MỤC ĐỐI TƯỢNG'!A:J,10,0),"")</f>
        <v>0031000160640</v>
      </c>
    </row>
    <row r="208" spans="1:9" x14ac:dyDescent="0.3">
      <c r="A208">
        <v>204</v>
      </c>
      <c r="B208" t="s">
        <v>403</v>
      </c>
      <c r="C208" t="s">
        <v>404</v>
      </c>
      <c r="D208" t="str">
        <f t="shared" si="6"/>
        <v>204. V10112</v>
      </c>
      <c r="E208" s="5" t="str">
        <f t="shared" ca="1" si="7"/>
        <v>Công ty TNHH Elematec Việt Nam</v>
      </c>
      <c r="F208" t="str">
        <f>IFERROR(VLOOKUP(Table1[[#This Row],[Tên đối tượng]],'DANH MỤC ĐỐI TƯỢNG'!A:E,5,0),"")</f>
        <v>Phòng 308A, Tầng 3, Tòa nhà V-tower, số 649 Kim Mã, P.Ngọc Khánh, Q.Ba Đình, TP.Hà Nội</v>
      </c>
      <c r="G208" t="str">
        <f>_xlfn.IFNA(VLOOKUP(Table1[[#This Row],[Tên đối tượng]],'DANH MỤC ĐỐI TƯỢNG'!A:F,6,0),"")</f>
        <v>0103014205</v>
      </c>
      <c r="H208" t="str">
        <f>_xlfn.IFNA(VLOOKUP(Table1[[#This Row],[Tên đối tượng]],'DANH MỤC ĐỐI TƯỢNG'!A:I,9,0),"")</f>
        <v>The Bank of Tokyo Mitsubishi UFJ, LTD - CN Hà Nội</v>
      </c>
      <c r="I208" t="str">
        <f>_xlfn.IFNA(VLOOKUP(Table1[[#This Row],[Tên đối tượng]],'DANH MỤC ĐỐI TƯỢNG'!A:J,10,0),"")</f>
        <v>148482</v>
      </c>
    </row>
    <row r="209" spans="1:9" x14ac:dyDescent="0.3">
      <c r="A209">
        <v>205</v>
      </c>
      <c r="B209" t="s">
        <v>405</v>
      </c>
      <c r="C209" t="s">
        <v>406</v>
      </c>
      <c r="D209" t="str">
        <f t="shared" si="6"/>
        <v>205. V10259</v>
      </c>
      <c r="E209" s="5" t="str">
        <f t="shared" ca="1" si="7"/>
        <v>Công Ty TNHH ENCO</v>
      </c>
      <c r="F209" t="str">
        <f>IFERROR(VLOOKUP(Table1[[#This Row],[Tên đối tượng]],'DANH MỤC ĐỐI TƯỢNG'!A:E,5,0),"")</f>
        <v>Số 23 Đường Số 3, Phường 7, Quận Gò Vấp,TP Hồ Chí Minh</v>
      </c>
      <c r="G209" t="str">
        <f>_xlfn.IFNA(VLOOKUP(Table1[[#This Row],[Tên đối tượng]],'DANH MỤC ĐỐI TƯỢNG'!A:F,6,0),"")</f>
        <v>0303658817</v>
      </c>
      <c r="H209" t="str">
        <f>_xlfn.IFNA(VLOOKUP(Table1[[#This Row],[Tên đối tượng]],'DANH MỤC ĐỐI TƯỢNG'!A:I,9,0),"")</f>
        <v>Ngân hàng TMCP Xuất nhập khẩu Việt Nam - CN Tân Định- PGD Gò Vấp</v>
      </c>
      <c r="I209" t="str">
        <f>_xlfn.IFNA(VLOOKUP(Table1[[#This Row],[Tên đối tượng]],'DANH MỤC ĐỐI TƯỢNG'!A:J,10,0),"")</f>
        <v>220214851008945</v>
      </c>
    </row>
    <row r="210" spans="1:9" x14ac:dyDescent="0.3">
      <c r="A210">
        <v>206</v>
      </c>
      <c r="B210" t="s">
        <v>407</v>
      </c>
      <c r="C210" t="s">
        <v>408</v>
      </c>
      <c r="D210" t="str">
        <f t="shared" si="6"/>
        <v>206. V10313</v>
      </c>
      <c r="E210" s="5" t="str">
        <f t="shared" ca="1" si="7"/>
        <v>CÔNG TY TNHH ERIKS VIỆT NAM</v>
      </c>
      <c r="F210" t="str">
        <f>IFERROR(VLOOKUP(Table1[[#This Row],[Tên đối tượng]],'DANH MỤC ĐỐI TƯỢNG'!A:E,5,0),"")</f>
        <v>Khu D1, Tầng 3, Tòa nhà văn phòng Harbour View, số 12 đường Trần Phú, Phường Máy Tơ, Quận Ngô Quyền, TP Hải Phòng, Việt Nam</v>
      </c>
      <c r="G210">
        <f>_xlfn.IFNA(VLOOKUP(Table1[[#This Row],[Tên đối tượng]],'DANH MỤC ĐỐI TƯỢNG'!A:F,6,0),"")</f>
        <v>0</v>
      </c>
      <c r="H210" t="str">
        <f>_xlfn.IFNA(VLOOKUP(Table1[[#This Row],[Tên đối tượng]],'DANH MỤC ĐỐI TƯỢNG'!A:I,9,0),"")</f>
        <v>Vietcombank - CN Hải Phòng</v>
      </c>
      <c r="I210" t="str">
        <f>_xlfn.IFNA(VLOOKUP(Table1[[#This Row],[Tên đối tượng]],'DANH MỤC ĐỐI TƯỢNG'!A:J,10,0),"")</f>
        <v>00313000223929</v>
      </c>
    </row>
    <row r="211" spans="1:9" x14ac:dyDescent="0.3">
      <c r="A211">
        <v>207</v>
      </c>
      <c r="B211" t="s">
        <v>409</v>
      </c>
      <c r="C211" t="s">
        <v>410</v>
      </c>
      <c r="D211" t="str">
        <f t="shared" si="6"/>
        <v>207. V10286</v>
      </c>
      <c r="E211" s="5" t="str">
        <f t="shared" ca="1" si="7"/>
        <v>Công ty TNHH Evermore Việt Nam</v>
      </c>
      <c r="F211" t="str">
        <f>IFERROR(VLOOKUP(Table1[[#This Row],[Tên đối tượng]],'DANH MỤC ĐỐI TƯỢNG'!A:E,5,0),"")</f>
        <v>Phòng 1901, lầu 19, số 37, đường Tôn Đức Thắng, phường Bến Nghé, quận 1, Thành phố Hồ Chí Minh</v>
      </c>
      <c r="G211">
        <f>_xlfn.IFNA(VLOOKUP(Table1[[#This Row],[Tên đối tượng]],'DANH MỤC ĐỐI TƯỢNG'!A:F,6,0),"")</f>
        <v>0</v>
      </c>
      <c r="H211" t="str">
        <f>_xlfn.IFNA(VLOOKUP(Table1[[#This Row],[Tên đối tượng]],'DANH MỤC ĐỐI TƯỢNG'!A:I,9,0),"")</f>
        <v>Ngân hàng Shanghai Commercial &amp; Saving Bank, Ltd-CN Đồng Nai</v>
      </c>
      <c r="I211" t="str">
        <f>_xlfn.IFNA(VLOOKUP(Table1[[#This Row],[Tên đối tượng]],'DANH MỤC ĐỐI TƯỢNG'!A:J,10,0),"")</f>
        <v>67108320000716</v>
      </c>
    </row>
    <row r="212" spans="1:9" x14ac:dyDescent="0.3">
      <c r="A212">
        <v>208</v>
      </c>
      <c r="B212" t="s">
        <v>411</v>
      </c>
      <c r="C212" t="s">
        <v>412</v>
      </c>
      <c r="D212" t="str">
        <f t="shared" si="6"/>
        <v>208. V10250</v>
      </c>
      <c r="E212" s="5" t="str">
        <f t="shared" ca="1" si="7"/>
        <v>Công ty TNHH EVIVA</v>
      </c>
      <c r="F212" t="str">
        <f>IFERROR(VLOOKUP(Table1[[#This Row],[Tên đối tượng]],'DANH MỤC ĐỐI TƯỢNG'!A:E,5,0),"")</f>
        <v>Số 83A, Trần Quốc Toản, P.Trần Hưng Đạo,Q.Hoàn Kiếm,Hà nội</v>
      </c>
      <c r="G212">
        <f>_xlfn.IFNA(VLOOKUP(Table1[[#This Row],[Tên đối tượng]],'DANH MỤC ĐỐI TƯỢNG'!A:F,6,0),"")</f>
        <v>0</v>
      </c>
      <c r="H212">
        <f>_xlfn.IFNA(VLOOKUP(Table1[[#This Row],[Tên đối tượng]],'DANH MỤC ĐỐI TƯỢNG'!A:I,9,0),"")</f>
        <v>0</v>
      </c>
      <c r="I212">
        <f>_xlfn.IFNA(VLOOKUP(Table1[[#This Row],[Tên đối tượng]],'DANH MỤC ĐỐI TƯỢNG'!A:J,10,0),"")</f>
        <v>0</v>
      </c>
    </row>
    <row r="213" spans="1:9" x14ac:dyDescent="0.3">
      <c r="A213">
        <v>209</v>
      </c>
      <c r="B213" t="s">
        <v>413</v>
      </c>
      <c r="C213" t="s">
        <v>414</v>
      </c>
      <c r="D213" t="str">
        <f t="shared" si="6"/>
        <v>209. V10085</v>
      </c>
      <c r="E213" s="5" t="str">
        <f t="shared" ca="1" si="7"/>
        <v>Công ty TNHH Fanuc Việt Nam</v>
      </c>
      <c r="F213" t="str">
        <f>IFERROR(VLOOKUP(Table1[[#This Row],[Tên đối tượng]],'DANH MỤC ĐỐI TƯỢNG'!A:E,5,0),"")</f>
        <v>Lầu 9- Green Tower- 35 Tôn Đức Thắng- P. Bến Nghé- Q.1- Tp. HCM</v>
      </c>
      <c r="G213" t="str">
        <f>_xlfn.IFNA(VLOOKUP(Table1[[#This Row],[Tên đối tượng]],'DANH MỤC ĐỐI TƯỢNG'!A:F,6,0),"")</f>
        <v>0302832540</v>
      </c>
      <c r="H213" t="str">
        <f>_xlfn.IFNA(VLOOKUP(Table1[[#This Row],[Tên đối tượng]],'DANH MỤC ĐỐI TƯỢNG'!A:I,9,0),"")</f>
        <v>MUFG bank, Ltd- CN TP Hồ Chí Minh</v>
      </c>
      <c r="I213" t="str">
        <f>_xlfn.IFNA(VLOOKUP(Table1[[#This Row],[Tên đối tượng]],'DANH MỤC ĐỐI TƯỢNG'!A:J,10,0),"")</f>
        <v>141321</v>
      </c>
    </row>
    <row r="214" spans="1:9" x14ac:dyDescent="0.3">
      <c r="A214">
        <v>210</v>
      </c>
      <c r="B214" t="s">
        <v>415</v>
      </c>
      <c r="C214" t="s">
        <v>416</v>
      </c>
      <c r="D214" t="str">
        <f t="shared" si="6"/>
        <v>210. V10269</v>
      </c>
      <c r="E214" s="5" t="str">
        <f t="shared" ca="1" si="7"/>
        <v>Công ty TNHH Fircroft (Việt Nam)</v>
      </c>
      <c r="F214" t="str">
        <f>IFERROR(VLOOKUP(Table1[[#This Row],[Tên đối tượng]],'DANH MỤC ĐỐI TƯỢNG'!A:E,5,0),"")</f>
        <v>Số 35 Tôn Đức Thắng, P.Bến nghé, Q.1, TP.HCM</v>
      </c>
      <c r="G214" t="str">
        <f>_xlfn.IFNA(VLOOKUP(Table1[[#This Row],[Tên đối tượng]],'DANH MỤC ĐỐI TƯỢNG'!A:F,6,0),"")</f>
        <v>0311406309</v>
      </c>
      <c r="H214" t="str">
        <f>_xlfn.IFNA(VLOOKUP(Table1[[#This Row],[Tên đối tượng]],'DANH MỤC ĐỐI TƯỢNG'!A:I,9,0),"")</f>
        <v>HSBC Bank (Vietnam) Ltd - Ho Chi Minh Branch</v>
      </c>
      <c r="I214" t="str">
        <f>_xlfn.IFNA(VLOOKUP(Table1[[#This Row],[Tên đối tượng]],'DANH MỤC ĐỐI TƯỢNG'!A:J,10,0),"")</f>
        <v>091.052449.061</v>
      </c>
    </row>
    <row r="215" spans="1:9" x14ac:dyDescent="0.3">
      <c r="A215">
        <v>211</v>
      </c>
      <c r="B215" t="s">
        <v>417</v>
      </c>
      <c r="C215" t="s">
        <v>5980</v>
      </c>
      <c r="D215" t="str">
        <f t="shared" si="6"/>
        <v>211. V10026</v>
      </c>
      <c r="E215" s="5" t="str">
        <f t="shared" ca="1" si="7"/>
        <v>Công ty TNHH Fujifilm Business Innovation Việt Nam - Chi nhánh Hải Phòng</v>
      </c>
      <c r="F215" t="str">
        <f>IFERROR(VLOOKUP(Table1[[#This Row],[Tên đối tượng]],'DANH MỤC ĐỐI TƯỢNG'!A:E,5,0),"")</f>
        <v>Phòng 515, tầng 5, tòa nhà TD Business Center, lô 20A, đường Lê Hồng Phong, phường Đông Khê, quận Ngô Quyền, thành phố Hải Phòng</v>
      </c>
      <c r="G215">
        <f>_xlfn.IFNA(VLOOKUP(Table1[[#This Row],[Tên đối tượng]],'DANH MỤC ĐỐI TƯỢNG'!A:F,6,0),"")</f>
        <v>0</v>
      </c>
      <c r="H215" t="str">
        <f>_xlfn.IFNA(VLOOKUP(Table1[[#This Row],[Tên đối tượng]],'DANH MỤC ĐỐI TƯỢNG'!A:I,9,0),"")</f>
        <v>Ngân hàng Citibank N.A-Chi nhánh TP. HCM</v>
      </c>
      <c r="I215" t="str">
        <f>_xlfn.IFNA(VLOOKUP(Table1[[#This Row],[Tên đối tượng]],'DANH MỤC ĐỐI TƯỢNG'!A:J,10,0),"")</f>
        <v>0302357021</v>
      </c>
    </row>
    <row r="216" spans="1:9" x14ac:dyDescent="0.3">
      <c r="A216">
        <v>212</v>
      </c>
      <c r="B216" t="s">
        <v>418</v>
      </c>
      <c r="C216" t="s">
        <v>419</v>
      </c>
      <c r="D216" t="str">
        <f t="shared" si="6"/>
        <v>212. V10141</v>
      </c>
      <c r="E216" s="5" t="str">
        <f t="shared" ca="1" si="7"/>
        <v>Công ty TNHH Giải pháp kỹ thuật Vina</v>
      </c>
      <c r="F216" t="str">
        <f>IFERROR(VLOOKUP(Table1[[#This Row],[Tên đối tượng]],'DANH MỤC ĐỐI TƯỢNG'!A:E,5,0),"")</f>
        <v>08 Đường số 7, KP.5, P.An Phú, Quận 2, TP.HCM</v>
      </c>
      <c r="G216" t="str">
        <f>_xlfn.IFNA(VLOOKUP(Table1[[#This Row],[Tên đối tượng]],'DANH MỤC ĐỐI TƯỢNG'!A:F,6,0),"")</f>
        <v>0305192271</v>
      </c>
      <c r="H216" t="str">
        <f>_xlfn.IFNA(VLOOKUP(Table1[[#This Row],[Tên đối tượng]],'DANH MỤC ĐỐI TƯỢNG'!A:I,9,0),"")</f>
        <v>TMCP Á Châu - CN Sài Gòn</v>
      </c>
      <c r="I216" t="str">
        <f>_xlfn.IFNA(VLOOKUP(Table1[[#This Row],[Tên đối tượng]],'DANH MỤC ĐỐI TƯỢNG'!A:J,10,0),"")</f>
        <v>30340569</v>
      </c>
    </row>
    <row r="217" spans="1:9" x14ac:dyDescent="0.3">
      <c r="A217">
        <v>213</v>
      </c>
      <c r="B217" t="s">
        <v>420</v>
      </c>
      <c r="C217" t="s">
        <v>421</v>
      </c>
      <c r="D217" t="str">
        <f t="shared" si="6"/>
        <v>213. V10126</v>
      </c>
      <c r="E217" s="5" t="str">
        <f t="shared" ca="1" si="7"/>
        <v>Công ty TNHH Giải pháp Sato Việt Nam</v>
      </c>
      <c r="F217" t="str">
        <f>IFERROR(VLOOKUP(Table1[[#This Row],[Tên đối tượng]],'DANH MỤC ĐỐI TƯỢNG'!A:E,5,0),"")</f>
        <v>Tầng 6, tòa nhà Sài Gòn Finance Center, số 9 đường Đinh Tiên Hoàng, phường Đakao, quận 1, thành phố Hồ Chí Minh</v>
      </c>
      <c r="G217" t="str">
        <f>_xlfn.IFNA(VLOOKUP(Table1[[#This Row],[Tên đối tượng]],'DANH MỤC ĐỐI TƯỢNG'!A:F,6,0),"")</f>
        <v>0311969090</v>
      </c>
      <c r="H217" t="str">
        <f>_xlfn.IFNA(VLOOKUP(Table1[[#This Row],[Tên đối tượng]],'DANH MỤC ĐỐI TƯỢNG'!A:I,9,0),"")</f>
        <v>The Bank of Tokyo Mitsubishi  UFJ, Ltd - CN Tp Hồ Chí Minh</v>
      </c>
      <c r="I217" t="str">
        <f>_xlfn.IFNA(VLOOKUP(Table1[[#This Row],[Tên đối tượng]],'DANH MỤC ĐỐI TƯỢNG'!A:J,10,0),"")</f>
        <v>343153</v>
      </c>
    </row>
    <row r="218" spans="1:9" x14ac:dyDescent="0.3">
      <c r="A218">
        <v>214</v>
      </c>
      <c r="B218" t="s">
        <v>422</v>
      </c>
      <c r="C218" t="s">
        <v>423</v>
      </c>
      <c r="D218" t="str">
        <f t="shared" si="6"/>
        <v>214. V10222</v>
      </c>
      <c r="E218" s="5" t="str">
        <f t="shared" ca="1" si="7"/>
        <v>Công ty TNHH Giải pháp và Dịch vụ 3T</v>
      </c>
      <c r="F218" t="str">
        <f>IFERROR(VLOOKUP(Table1[[#This Row],[Tên đối tượng]],'DANH MỤC ĐỐI TƯỢNG'!A:E,5,0),"")</f>
        <v>Số 12D, ngõ 173, ngách 151 Hoàng Hoa Thám, phường Ngọc Hà, quận Ba Đình, thành phố Hà Nội, Việt Nam</v>
      </c>
      <c r="G218">
        <f>_xlfn.IFNA(VLOOKUP(Table1[[#This Row],[Tên đối tượng]],'DANH MỤC ĐỐI TƯỢNG'!A:F,6,0),"")</f>
        <v>0</v>
      </c>
      <c r="H218" t="str">
        <f>_xlfn.IFNA(VLOOKUP(Table1[[#This Row],[Tên đối tượng]],'DANH MỤC ĐỐI TƯỢNG'!A:I,9,0),"")</f>
        <v>Sở giao dịch Ngân hàng TMCP Ngoại Thương Việt Nam</v>
      </c>
      <c r="I218" t="str">
        <f>_xlfn.IFNA(VLOOKUP(Table1[[#This Row],[Tên đối tượng]],'DANH MỤC ĐỐI TƯỢNG'!A:J,10,0),"")</f>
        <v>0011004668888</v>
      </c>
    </row>
    <row r="219" spans="1:9" x14ac:dyDescent="0.3">
      <c r="A219">
        <v>215</v>
      </c>
      <c r="B219" t="s">
        <v>424</v>
      </c>
      <c r="C219" t="s">
        <v>425</v>
      </c>
      <c r="D219" t="str">
        <f t="shared" si="6"/>
        <v>215. V10256</v>
      </c>
      <c r="E219" s="5" t="str">
        <f t="shared" ca="1" si="7"/>
        <v>CÔNG TY TNHH GIẢI PHÁP VÀ THIẾT BỊ TỰ ĐỘNG HÓA OTD</v>
      </c>
      <c r="F219" t="str">
        <f>IFERROR(VLOOKUP(Table1[[#This Row],[Tên đối tượng]],'DANH MỤC ĐỐI TƯỢNG'!A:E,5,0),"")</f>
        <v>Số 163, tổ 22, đường Trần Khát Chân, phường Thanh Lương, quận Hai Bà Trưng, TP Hà Nội</v>
      </c>
      <c r="G219" t="str">
        <f>_xlfn.IFNA(VLOOKUP(Table1[[#This Row],[Tên đối tượng]],'DANH MỤC ĐỐI TƯỢNG'!A:F,6,0),"")</f>
        <v>0106385053</v>
      </c>
      <c r="H219" t="str">
        <f>_xlfn.IFNA(VLOOKUP(Table1[[#This Row],[Tên đối tượng]],'DANH MỤC ĐỐI TƯỢNG'!A:I,9,0),"")</f>
        <v>Ngân hàng TMCP Ngoại thương Việt Nam - Chi nhánh Hà Nội</v>
      </c>
      <c r="I219" t="str">
        <f>_xlfn.IFNA(VLOOKUP(Table1[[#This Row],[Tên đối tượng]],'DANH MỤC ĐỐI TƯỢNG'!A:J,10,0),"")</f>
        <v>0021000297824</v>
      </c>
    </row>
    <row r="220" spans="1:9" x14ac:dyDescent="0.3">
      <c r="A220">
        <v>216</v>
      </c>
      <c r="B220" t="s">
        <v>426</v>
      </c>
      <c r="C220" t="s">
        <v>427</v>
      </c>
      <c r="D220" t="str">
        <f t="shared" si="6"/>
        <v>216. V10144</v>
      </c>
      <c r="E220" s="5" t="str">
        <f t="shared" ca="1" si="7"/>
        <v>Công ty TNHH Goshu Kohsan Việt Nam</v>
      </c>
      <c r="F220" t="str">
        <f>IFERROR(VLOOKUP(Table1[[#This Row],[Tên đối tượng]],'DANH MỤC ĐỐI TƯỢNG'!A:E,5,0),"")</f>
        <v>Lô P1, Khu công nghiệp Thăng Long, Huyện Đông Anh, Thành phố Hà Nội</v>
      </c>
      <c r="G220" t="str">
        <f>_xlfn.IFNA(VLOOKUP(Table1[[#This Row],[Tên đối tượng]],'DANH MỤC ĐỐI TƯỢNG'!A:F,6,0),"")</f>
        <v>3700611994</v>
      </c>
      <c r="H220" t="str">
        <f>_xlfn.IFNA(VLOOKUP(Table1[[#This Row],[Tên đối tượng]],'DANH MỤC ĐỐI TƯỢNG'!A:I,9,0),"")</f>
        <v>Ngân hàng Vietcombank - Sở giao dịch</v>
      </c>
      <c r="I220" t="str">
        <f>_xlfn.IFNA(VLOOKUP(Table1[[#This Row],[Tên đối tượng]],'DANH MỤC ĐỐI TƯỢNG'!A:J,10,0),"")</f>
        <v>0011001382863</v>
      </c>
    </row>
    <row r="221" spans="1:9" x14ac:dyDescent="0.3">
      <c r="A221">
        <v>217</v>
      </c>
      <c r="B221" t="s">
        <v>428</v>
      </c>
      <c r="C221" t="s">
        <v>429</v>
      </c>
      <c r="D221" t="str">
        <f t="shared" si="6"/>
        <v>217. V10102</v>
      </c>
      <c r="E221" s="5" t="str">
        <f t="shared" ca="1" si="7"/>
        <v>CÔNG TY TNHH HỆ THỐNG THIẾT BỊ UMW (VIỆT NAM)</v>
      </c>
      <c r="F221" t="str">
        <f>IFERROR(VLOOKUP(Table1[[#This Row],[Tên đối tượng]],'DANH MỤC ĐỐI TƯỢNG'!A:E,5,0),"")</f>
        <v>12A Đại lộ Độc Lập, VSIP,Thị xã Thuận An, Bình Dương</v>
      </c>
      <c r="G221" t="str">
        <f>_xlfn.IFNA(VLOOKUP(Table1[[#This Row],[Tên đối tượng]],'DANH MỤC ĐỐI TƯỢNG'!A:F,6,0),"")</f>
        <v>3700233968</v>
      </c>
      <c r="H221" t="str">
        <f>_xlfn.IFNA(VLOOKUP(Table1[[#This Row],[Tên đối tượng]],'DANH MỤC ĐỐI TƯỢNG'!A:I,9,0),"")</f>
        <v>Public Bank Việt Nam- CN Bình Dương</v>
      </c>
      <c r="I221" t="str">
        <f>_xlfn.IFNA(VLOOKUP(Table1[[#This Row],[Tên đối tượng]],'DANH MỤC ĐỐI TƯỢNG'!A:J,10,0),"")</f>
        <v>060-6-12-00-00003</v>
      </c>
    </row>
    <row r="222" spans="1:9" x14ac:dyDescent="0.3">
      <c r="A222">
        <v>218</v>
      </c>
      <c r="B222" t="s">
        <v>430</v>
      </c>
      <c r="C222" t="s">
        <v>8941</v>
      </c>
      <c r="D222" t="str">
        <f t="shared" si="6"/>
        <v>218. V10063</v>
      </c>
      <c r="E222" s="5" t="str">
        <f t="shared" ca="1" si="7"/>
        <v>Công ty TNHH FPT IS</v>
      </c>
      <c r="F222" t="str">
        <f>IFERROR(VLOOKUP(Table1[[#This Row],[Tên đối tượng]],'DANH MỤC ĐỐI TƯỢNG'!A:E,5,0),"")</f>
        <v>Số 10 phố Phạm Văn Bạch, Phường Dịch Vọng, Quận Cầu Giấy, Thành phố Hà Nội, Việt Nam</v>
      </c>
      <c r="G222">
        <f>_xlfn.IFNA(VLOOKUP(Table1[[#This Row],[Tên đối tượng]],'DANH MỤC ĐỐI TƯỢNG'!A:F,6,0),"")</f>
        <v>0</v>
      </c>
      <c r="H222" t="str">
        <f>_xlfn.IFNA(VLOOKUP(Table1[[#This Row],[Tên đối tượng]],'DANH MỤC ĐỐI TƯỢNG'!A:I,9,0),"")</f>
        <v>Ngân hàng TMCP Ngoại Thương Việt Nam</v>
      </c>
      <c r="I222" t="str">
        <f>_xlfn.IFNA(VLOOKUP(Table1[[#This Row],[Tên đối tượng]],'DANH MỤC ĐỐI TƯỢNG'!A:J,10,0),"")</f>
        <v>0011000506552</v>
      </c>
    </row>
    <row r="223" spans="1:9" x14ac:dyDescent="0.3">
      <c r="A223">
        <v>219</v>
      </c>
      <c r="B223" t="s">
        <v>431</v>
      </c>
      <c r="C223" t="s">
        <v>432</v>
      </c>
      <c r="D223" t="str">
        <f t="shared" si="6"/>
        <v>219. V10247</v>
      </c>
      <c r="E223" s="5" t="str">
        <f t="shared" ca="1" si="7"/>
        <v>Công ty TNHH hệ thống thông tin FSE-FPT</v>
      </c>
      <c r="F223" t="str">
        <f>IFERROR(VLOOKUP(Table1[[#This Row],[Tên đối tượng]],'DANH MỤC ĐỐI TƯỢNG'!A:E,5,0),"")</f>
        <v>Landmark Tower22nd Floor - 72 Buiding Keangna HanoiHa Noi</v>
      </c>
      <c r="G223">
        <f>_xlfn.IFNA(VLOOKUP(Table1[[#This Row],[Tên đối tượng]],'DANH MỤC ĐỐI TƯỢNG'!A:F,6,0),"")</f>
        <v>0</v>
      </c>
      <c r="H223">
        <f>_xlfn.IFNA(VLOOKUP(Table1[[#This Row],[Tên đối tượng]],'DANH MỤC ĐỐI TƯỢNG'!A:I,9,0),"")</f>
        <v>0</v>
      </c>
      <c r="I223">
        <f>_xlfn.IFNA(VLOOKUP(Table1[[#This Row],[Tên đối tượng]],'DANH MỤC ĐỐI TƯỢNG'!A:J,10,0),"")</f>
        <v>0</v>
      </c>
    </row>
    <row r="224" spans="1:9" x14ac:dyDescent="0.3">
      <c r="A224">
        <v>220</v>
      </c>
      <c r="B224" t="s">
        <v>433</v>
      </c>
      <c r="C224" t="s">
        <v>434</v>
      </c>
      <c r="D224" t="str">
        <f t="shared" si="6"/>
        <v>220. V10015</v>
      </c>
      <c r="E224" s="5" t="str">
        <f t="shared" ca="1" si="7"/>
        <v>Công ty TNHH Hitachi Plant Technologies Việt Nam</v>
      </c>
      <c r="F224" t="str">
        <f>IFERROR(VLOOKUP(Table1[[#This Row],[Tên đối tượng]],'DANH MỤC ĐỐI TƯỢNG'!A:E,5,0),"")</f>
        <v>Phòng 1507-1508, tầng 15 tòa nhà Keangnam Hanoi Landmark Tower, khu E6, Khu đô thị mới Cầu Giấy, xã Mễ Trì, huyện Từ Liêm, HN</v>
      </c>
      <c r="G224">
        <f>_xlfn.IFNA(VLOOKUP(Table1[[#This Row],[Tên đối tượng]],'DANH MỤC ĐỐI TƯỢNG'!A:F,6,0),"")</f>
        <v>0</v>
      </c>
      <c r="H224" t="str">
        <f>_xlfn.IFNA(VLOOKUP(Table1[[#This Row],[Tên đối tượng]],'DANH MỤC ĐỐI TƯỢNG'!A:I,9,0),"")</f>
        <v>The Bank of Tokyo - Mitsubishi UFJ, LTD - Hanoi Branch</v>
      </c>
      <c r="I224" t="str">
        <f>_xlfn.IFNA(VLOOKUP(Table1[[#This Row],[Tên đối tượng]],'DANH MỤC ĐỐI TƯỢNG'!A:J,10,0),"")</f>
        <v>439541 (USD)</v>
      </c>
    </row>
    <row r="225" spans="1:9" x14ac:dyDescent="0.3">
      <c r="A225">
        <v>221</v>
      </c>
      <c r="B225" t="s">
        <v>435</v>
      </c>
      <c r="C225" t="s">
        <v>436</v>
      </c>
      <c r="D225" t="str">
        <f t="shared" si="6"/>
        <v>221. V10309</v>
      </c>
      <c r="E225" s="5" t="str">
        <f t="shared" ca="1" si="7"/>
        <v>Công ty TNHH Logisteed Việt Nam</v>
      </c>
      <c r="F225" t="str">
        <f>IFERROR(VLOOKUP(Table1[[#This Row],[Tên đối tượng]],'DANH MỤC ĐỐI TƯỢNG'!A:E,5,0),"")</f>
        <v>Số 20, Sông Thao, Phường 2, Quận Tân Bình, Thành phố Hồ Chí Minh, Việt Nam</v>
      </c>
      <c r="G225" t="str">
        <f>_xlfn.IFNA(VLOOKUP(Table1[[#This Row],[Tên đối tượng]],'DANH MỤC ĐỐI TƯỢNG'!A:F,6,0),"")</f>
        <v>0311333675</v>
      </c>
      <c r="H225" t="str">
        <f>_xlfn.IFNA(VLOOKUP(Table1[[#This Row],[Tên đối tượng]],'DANH MỤC ĐỐI TƯỢNG'!A:I,9,0),"")</f>
        <v>Mizuho Bank, Ltd - CN HCM</v>
      </c>
      <c r="I225" t="str">
        <f>_xlfn.IFNA(VLOOKUP(Table1[[#This Row],[Tên đối tượng]],'DANH MỤC ĐỐI TƯỢNG'!A:J,10,0),"")</f>
        <v>H15-796-516600</v>
      </c>
    </row>
    <row r="226" spans="1:9" x14ac:dyDescent="0.3">
      <c r="A226">
        <v>222</v>
      </c>
      <c r="B226" t="s">
        <v>437</v>
      </c>
      <c r="C226" t="s">
        <v>438</v>
      </c>
      <c r="D226" t="str">
        <f t="shared" si="6"/>
        <v>222. V10097</v>
      </c>
      <c r="E226" s="5" t="str">
        <f t="shared" ca="1" si="7"/>
        <v>CÔNG TY TNHH HÓA CHẤT PETROLIMEX</v>
      </c>
      <c r="F226" t="str">
        <f>IFERROR(VLOOKUP(Table1[[#This Row],[Tên đối tượng]],'DANH MỤC ĐỐI TƯỢNG'!A:E,5,0),"")</f>
        <v>Số 229 phố Tây Sơn, quận Đống Đa, Tp. Hà Nội</v>
      </c>
      <c r="G226" t="str">
        <f>_xlfn.IFNA(VLOOKUP(Table1[[#This Row],[Tên đối tượng]],'DANH MỤC ĐỐI TƯỢNG'!A:F,6,0),"")</f>
        <v>0101463614-007</v>
      </c>
      <c r="H226" t="str">
        <f>_xlfn.IFNA(VLOOKUP(Table1[[#This Row],[Tên đối tượng]],'DANH MỤC ĐỐI TƯỢNG'!A:I,9,0),"")</f>
        <v>Sở giao dịch Ngân hàng TMCP Ngoại Thương Việt Nam</v>
      </c>
      <c r="I226" t="str">
        <f>_xlfn.IFNA(VLOOKUP(Table1[[#This Row],[Tên đối tượng]],'DANH MỤC ĐỐI TƯỢNG'!A:J,10,0),"")</f>
        <v>001.100.1546014</v>
      </c>
    </row>
    <row r="227" spans="1:9" x14ac:dyDescent="0.3">
      <c r="A227">
        <v>223</v>
      </c>
      <c r="B227" t="s">
        <v>439</v>
      </c>
      <c r="C227" t="s">
        <v>440</v>
      </c>
      <c r="D227" t="str">
        <f t="shared" si="6"/>
        <v>223. V10283</v>
      </c>
      <c r="E227" s="5" t="str">
        <f t="shared" ca="1" si="7"/>
        <v>Công ty TNHH Hóa chất và Thiết bị Atec</v>
      </c>
      <c r="F227" t="str">
        <f>IFERROR(VLOOKUP(Table1[[#This Row],[Tên đối tượng]],'DANH MỤC ĐỐI TƯỢNG'!A:E,5,0),"")</f>
        <v>Đường TS6-1, Khu công nghiệp Tiên Sơn, xã Hoàn Sơn, huyện Tiên Du, tỉnh Bắc Ninh</v>
      </c>
      <c r="G227">
        <f>_xlfn.IFNA(VLOOKUP(Table1[[#This Row],[Tên đối tượng]],'DANH MỤC ĐỐI TƯỢNG'!A:F,6,0),"")</f>
        <v>0</v>
      </c>
      <c r="H227" t="str">
        <f>_xlfn.IFNA(VLOOKUP(Table1[[#This Row],[Tên đối tượng]],'DANH MỤC ĐỐI TƯỢNG'!A:I,9,0),"")</f>
        <v>Ngân hàng TMCP ngoại thương Việt Nam-CN Bắc Ninh</v>
      </c>
      <c r="I227" t="str">
        <f>_xlfn.IFNA(VLOOKUP(Table1[[#This Row],[Tên đối tượng]],'DANH MỤC ĐỐI TƯỢNG'!A:J,10,0),"")</f>
        <v>035.100.07.36878</v>
      </c>
    </row>
    <row r="228" spans="1:9" x14ac:dyDescent="0.3">
      <c r="A228">
        <v>224</v>
      </c>
      <c r="B228" t="s">
        <v>441</v>
      </c>
      <c r="C228" t="s">
        <v>442</v>
      </c>
      <c r="D228" t="str">
        <f t="shared" si="6"/>
        <v>224. V10361</v>
      </c>
      <c r="E228" s="5" t="str">
        <f t="shared" ca="1" si="7"/>
        <v>Công ty TNHH công nghệ Tân Phương Vinh</v>
      </c>
      <c r="F228" t="str">
        <f>IFERROR(VLOOKUP(Table1[[#This Row],[Tên đối tượng]],'DANH MỤC ĐỐI TƯỢNG'!A:E,5,0),"")</f>
        <v>728 Võ Văn Kiệt,Phường 01, Quận 5, Thành phố Hồ Chí Minh, VN</v>
      </c>
      <c r="G228">
        <f>_xlfn.IFNA(VLOOKUP(Table1[[#This Row],[Tên đối tượng]],'DANH MỤC ĐỐI TƯỢNG'!A:F,6,0),"")</f>
        <v>0</v>
      </c>
      <c r="H228" t="str">
        <f>_xlfn.IFNA(VLOOKUP(Table1[[#This Row],[Tên đối tượng]],'DANH MỤC ĐỐI TƯỢNG'!A:I,9,0),"")</f>
        <v>Ngân hàng NN &amp; PTNT Việt Nam, CN Sài Gòn</v>
      </c>
      <c r="I228" t="str">
        <f>_xlfn.IFNA(VLOOKUP(Table1[[#This Row],[Tên đối tượng]],'DANH MỤC ĐỐI TƯỢNG'!A:J,10,0),"")</f>
        <v>1600201023280</v>
      </c>
    </row>
    <row r="229" spans="1:9" x14ac:dyDescent="0.3">
      <c r="A229">
        <v>225</v>
      </c>
      <c r="B229" t="s">
        <v>443</v>
      </c>
      <c r="C229" t="s">
        <v>444</v>
      </c>
      <c r="D229" t="str">
        <f t="shared" si="6"/>
        <v>225. V10189</v>
      </c>
      <c r="E229" s="5" t="str">
        <f t="shared" ca="1" si="7"/>
        <v>Công ty TNHH In và Quảng cáo Đại Thành</v>
      </c>
      <c r="F229" t="str">
        <f>IFERROR(VLOOKUP(Table1[[#This Row],[Tên đối tượng]],'DANH MỤC ĐỐI TƯỢNG'!A:E,5,0),"")</f>
        <v>Số 383 Lê Lợi, P.Lê Lợi, Q.Ngô Quyền, TP.Hải Phòng</v>
      </c>
      <c r="G229" t="str">
        <f>_xlfn.IFNA(VLOOKUP(Table1[[#This Row],[Tên đối tượng]],'DANH MỤC ĐỐI TƯỢNG'!A:F,6,0),"")</f>
        <v>0200630256</v>
      </c>
      <c r="H229" t="str">
        <f>_xlfn.IFNA(VLOOKUP(Table1[[#This Row],[Tên đối tượng]],'DANH MỤC ĐỐI TƯỢNG'!A:I,9,0),"")</f>
        <v>TMCP Quân Đội - Hải Phòng</v>
      </c>
      <c r="I229" t="str">
        <f>_xlfn.IFNA(VLOOKUP(Table1[[#This Row],[Tên đối tượng]],'DANH MỤC ĐỐI TƯỢNG'!A:J,10,0),"")</f>
        <v>2511100291004</v>
      </c>
    </row>
    <row r="230" spans="1:9" x14ac:dyDescent="0.3">
      <c r="A230">
        <v>226</v>
      </c>
      <c r="B230" t="s">
        <v>445</v>
      </c>
      <c r="C230" t="s">
        <v>446</v>
      </c>
      <c r="D230" t="str">
        <f t="shared" si="6"/>
        <v>226. V10255</v>
      </c>
      <c r="E230" s="5" t="str">
        <f t="shared" ca="1" si="7"/>
        <v>Công ty TNHH In và quảng cáo Hợp Thành</v>
      </c>
      <c r="F230" t="str">
        <f>IFERROR(VLOOKUP(Table1[[#This Row],[Tên đối tượng]],'DANH MỤC ĐỐI TƯỢNG'!A:E,5,0),"")</f>
        <v>le loi254Hai Phong</v>
      </c>
      <c r="G230">
        <f>_xlfn.IFNA(VLOOKUP(Table1[[#This Row],[Tên đối tượng]],'DANH MỤC ĐỐI TƯỢNG'!A:F,6,0),"")</f>
        <v>0</v>
      </c>
      <c r="H230">
        <f>_xlfn.IFNA(VLOOKUP(Table1[[#This Row],[Tên đối tượng]],'DANH MỤC ĐỐI TƯỢNG'!A:I,9,0),"")</f>
        <v>0</v>
      </c>
      <c r="I230">
        <f>_xlfn.IFNA(VLOOKUP(Table1[[#This Row],[Tên đối tượng]],'DANH MỤC ĐỐI TƯỢNG'!A:J,10,0),"")</f>
        <v>0</v>
      </c>
    </row>
    <row r="231" spans="1:9" x14ac:dyDescent="0.3">
      <c r="A231">
        <v>227</v>
      </c>
      <c r="B231" t="s">
        <v>447</v>
      </c>
      <c r="C231" t="s">
        <v>448</v>
      </c>
      <c r="D231" t="str">
        <f t="shared" si="6"/>
        <v>227. V10331</v>
      </c>
      <c r="E231" s="5" t="str">
        <f t="shared" ca="1" si="7"/>
        <v>Công ty TNHH In và Quảng cáo Phúc Sơn</v>
      </c>
      <c r="F231" t="str">
        <f>IFERROR(VLOOKUP(Table1[[#This Row],[Tên đối tượng]],'DANH MỤC ĐỐI TƯỢNG'!A:E,5,0),"")</f>
        <v>Số 282 Lê Lợi, Phường Lê Lợi, Quận Ngô Quyền, TP. Hải Phòng</v>
      </c>
      <c r="G231">
        <f>_xlfn.IFNA(VLOOKUP(Table1[[#This Row],[Tên đối tượng]],'DANH MỤC ĐỐI TƯỢNG'!A:F,6,0),"")</f>
        <v>0</v>
      </c>
      <c r="H231" t="str">
        <f>_xlfn.IFNA(VLOOKUP(Table1[[#This Row],[Tên đối tượng]],'DANH MỤC ĐỐI TƯỢNG'!A:I,9,0),"")</f>
        <v>Asia Commercial Joint Stock Bank / Ngô Quyền, Hải Phòng</v>
      </c>
      <c r="I231" t="str">
        <f>_xlfn.IFNA(VLOOKUP(Table1[[#This Row],[Tên đối tượng]],'DANH MỤC ĐỐI TƯỢNG'!A:J,10,0),"")</f>
        <v>69398949</v>
      </c>
    </row>
    <row r="232" spans="1:9" x14ac:dyDescent="0.3">
      <c r="A232">
        <v>228</v>
      </c>
      <c r="B232" t="s">
        <v>449</v>
      </c>
      <c r="C232" t="s">
        <v>450</v>
      </c>
      <c r="D232" t="str">
        <f t="shared" si="6"/>
        <v>228. V10013</v>
      </c>
      <c r="E232" s="5" t="str">
        <f t="shared" ca="1" si="7"/>
        <v>Công ty TNHH in và sản xuất bao bì Tân Lạc Việt</v>
      </c>
      <c r="F232" t="str">
        <f>IFERROR(VLOOKUP(Table1[[#This Row],[Tên đối tượng]],'DANH MỤC ĐỐI TƯỢNG'!A:E,5,0),"")</f>
        <v>Số 111 Trần Huy Liệu, P. Bắc Sơn, Q.Kiến An, TP.Hải Phòng</v>
      </c>
      <c r="G232" t="str">
        <f>_xlfn.IFNA(VLOOKUP(Table1[[#This Row],[Tên đối tượng]],'DANH MỤC ĐỐI TƯỢNG'!A:F,6,0),"")</f>
        <v>0200820313</v>
      </c>
      <c r="H232" t="str">
        <f>_xlfn.IFNA(VLOOKUP(Table1[[#This Row],[Tên đối tượng]],'DANH MỤC ĐỐI TƯỢNG'!A:I,9,0),"")</f>
        <v>Ngân hàng TMCP Hàng Hải Việt Nam - CN Hải Phòng</v>
      </c>
      <c r="I232" t="str">
        <f>_xlfn.IFNA(VLOOKUP(Table1[[#This Row],[Tên đối tượng]],'DANH MỤC ĐỐI TƯỢNG'!A:J,10,0),"")</f>
        <v>020 0101 0027 463</v>
      </c>
    </row>
    <row r="233" spans="1:9" x14ac:dyDescent="0.3">
      <c r="A233">
        <v>229</v>
      </c>
      <c r="B233" t="s">
        <v>451</v>
      </c>
      <c r="C233" t="s">
        <v>6172</v>
      </c>
      <c r="D233" t="str">
        <f t="shared" si="6"/>
        <v>229. V10376</v>
      </c>
      <c r="E233" s="5" t="str">
        <f t="shared" ca="1" si="7"/>
        <v>Công ty TNHH Deep C Blue</v>
      </c>
      <c r="F233" t="str">
        <f>IFERROR(VLOOKUP(Table1[[#This Row],[Tên đối tượng]],'DANH MỤC ĐỐI TƯỢNG'!A:E,5,0),"")</f>
        <v>Lô đất KT02, Khu công nghiệp Đình vũ,P. Đông Hải 2,Q. Hải An, thuộc KKT Đình vũ, Cát Hải, TP Hải Phòng</v>
      </c>
      <c r="G233" t="str">
        <f>_xlfn.IFNA(VLOOKUP(Table1[[#This Row],[Tên đối tượng]],'DANH MỤC ĐỐI TƯỢNG'!A:F,6,0),"")</f>
        <v>0201631911</v>
      </c>
      <c r="H233">
        <f>_xlfn.IFNA(VLOOKUP(Table1[[#This Row],[Tên đối tượng]],'DANH MỤC ĐỐI TƯỢNG'!A:I,9,0),"")</f>
        <v>0</v>
      </c>
      <c r="I233">
        <f>_xlfn.IFNA(VLOOKUP(Table1[[#This Row],[Tên đối tượng]],'DANH MỤC ĐỐI TƯỢNG'!A:J,10,0),"")</f>
        <v>0</v>
      </c>
    </row>
    <row r="234" spans="1:9" x14ac:dyDescent="0.3">
      <c r="A234">
        <v>230</v>
      </c>
      <c r="B234" t="s">
        <v>452</v>
      </c>
      <c r="C234" t="s">
        <v>453</v>
      </c>
      <c r="D234" t="str">
        <f t="shared" si="6"/>
        <v>230. V10060</v>
      </c>
      <c r="E234" s="5" t="str">
        <f t="shared" ca="1" si="7"/>
        <v>Công ty TNHH Inter Art Sài Gòn</v>
      </c>
      <c r="F234" t="str">
        <f>IFERROR(VLOOKUP(Table1[[#This Row],[Tên đối tượng]],'DANH MỤC ĐỐI TƯỢNG'!A:E,5,0),"")</f>
        <v>Lầu 5, Alpha tower, 151 Nguyễn Đình Chiểu, P.6, Quận 3, Hồ Chí Minh</v>
      </c>
      <c r="G234">
        <f>_xlfn.IFNA(VLOOKUP(Table1[[#This Row],[Tên đối tượng]],'DANH MỤC ĐỐI TƯỢNG'!A:F,6,0),"")</f>
        <v>0</v>
      </c>
      <c r="H234">
        <f>_xlfn.IFNA(VLOOKUP(Table1[[#This Row],[Tên đối tượng]],'DANH MỤC ĐỐI TƯỢNG'!A:I,9,0),"")</f>
        <v>0</v>
      </c>
      <c r="I234">
        <f>_xlfn.IFNA(VLOOKUP(Table1[[#This Row],[Tên đối tượng]],'DANH MỤC ĐỐI TƯỢNG'!A:J,10,0),"")</f>
        <v>0</v>
      </c>
    </row>
    <row r="235" spans="1:9" x14ac:dyDescent="0.3">
      <c r="A235">
        <v>231</v>
      </c>
      <c r="B235" t="s">
        <v>454</v>
      </c>
      <c r="C235" t="s">
        <v>455</v>
      </c>
      <c r="D235" t="str">
        <f t="shared" si="6"/>
        <v>231. V10214</v>
      </c>
      <c r="E235" s="5" t="str">
        <f t="shared" ca="1" si="7"/>
        <v>Công ty TNHH ITVC Toàn Cầu</v>
      </c>
      <c r="F235" t="str">
        <f>IFERROR(VLOOKUP(Table1[[#This Row],[Tên đối tượng]],'DANH MỤC ĐỐI TƯỢNG'!A:E,5,0),"")</f>
        <v>Thôn Trang quan, xã An Đồng, H.An Dương, Hải phòng</v>
      </c>
      <c r="G235">
        <f>_xlfn.IFNA(VLOOKUP(Table1[[#This Row],[Tên đối tượng]],'DANH MỤC ĐỐI TƯỢNG'!A:F,6,0),"")</f>
        <v>0</v>
      </c>
      <c r="H235">
        <f>_xlfn.IFNA(VLOOKUP(Table1[[#This Row],[Tên đối tượng]],'DANH MỤC ĐỐI TƯỢNG'!A:I,9,0),"")</f>
        <v>0</v>
      </c>
      <c r="I235">
        <f>_xlfn.IFNA(VLOOKUP(Table1[[#This Row],[Tên đối tượng]],'DANH MỤC ĐỐI TƯỢNG'!A:J,10,0),"")</f>
        <v>0</v>
      </c>
    </row>
    <row r="236" spans="1:9" x14ac:dyDescent="0.3">
      <c r="A236">
        <v>232</v>
      </c>
      <c r="B236" t="s">
        <v>456</v>
      </c>
      <c r="C236" t="s">
        <v>457</v>
      </c>
      <c r="D236" t="str">
        <f t="shared" si="6"/>
        <v>232. V10134</v>
      </c>
      <c r="E236" s="5" t="str">
        <f t="shared" ca="1" si="7"/>
        <v>Công ty TNHH Jade M-Tech</v>
      </c>
      <c r="F236" t="str">
        <f>IFERROR(VLOOKUP(Table1[[#This Row],[Tên đối tượng]],'DANH MỤC ĐỐI TƯỢNG'!A:E,5,0),"")</f>
        <v>Phường Liên Mạc, Thành phố Hà Nội, Việt Nam</v>
      </c>
      <c r="G236">
        <f>_xlfn.IFNA(VLOOKUP(Table1[[#This Row],[Tên đối tượng]],'DANH MỤC ĐỐI TƯỢNG'!A:F,6,0),"")</f>
        <v>0</v>
      </c>
      <c r="H236">
        <f>_xlfn.IFNA(VLOOKUP(Table1[[#This Row],[Tên đối tượng]],'DANH MỤC ĐỐI TƯỢNG'!A:I,9,0),"")</f>
        <v>0</v>
      </c>
      <c r="I236">
        <f>_xlfn.IFNA(VLOOKUP(Table1[[#This Row],[Tên đối tượng]],'DANH MỤC ĐỐI TƯỢNG'!A:J,10,0),"")</f>
        <v>0</v>
      </c>
    </row>
    <row r="237" spans="1:9" x14ac:dyDescent="0.3">
      <c r="A237">
        <v>233</v>
      </c>
      <c r="B237" t="s">
        <v>458</v>
      </c>
      <c r="C237" t="s">
        <v>459</v>
      </c>
      <c r="D237" t="str">
        <f t="shared" si="6"/>
        <v>233. V10301</v>
      </c>
      <c r="E237" s="5" t="str">
        <f t="shared" ca="1" si="7"/>
        <v>Công ty TNHH Jellyfish HR</v>
      </c>
      <c r="F237" t="str">
        <f>IFERROR(VLOOKUP(Table1[[#This Row],[Tên đối tượng]],'DANH MỤC ĐỐI TƯỢNG'!A:E,5,0),"")</f>
        <v>,phố Duy Tân, phường Dịch Vọng,Tầng 12A, tòa nhà CMC,quận Cầu Giấy,thành phố Hà Nội</v>
      </c>
      <c r="G237">
        <f>_xlfn.IFNA(VLOOKUP(Table1[[#This Row],[Tên đối tượng]],'DANH MỤC ĐỐI TƯỢNG'!A:F,6,0),"")</f>
        <v>0</v>
      </c>
      <c r="H237">
        <f>_xlfn.IFNA(VLOOKUP(Table1[[#This Row],[Tên đối tượng]],'DANH MỤC ĐỐI TƯỢNG'!A:I,9,0),"")</f>
        <v>0</v>
      </c>
      <c r="I237">
        <f>_xlfn.IFNA(VLOOKUP(Table1[[#This Row],[Tên đối tượng]],'DANH MỤC ĐỐI TƯỢNG'!A:J,10,0),"")</f>
        <v>0</v>
      </c>
    </row>
    <row r="238" spans="1:9" x14ac:dyDescent="0.3">
      <c r="A238">
        <v>234</v>
      </c>
      <c r="B238" t="s">
        <v>460</v>
      </c>
      <c r="C238" t="s">
        <v>461</v>
      </c>
      <c r="D238" t="str">
        <f t="shared" si="6"/>
        <v>234. V10230</v>
      </c>
      <c r="E238" s="5" t="str">
        <f t="shared" ca="1" si="7"/>
        <v>Công ty TNHH Joyo Mark (Việt Nam)</v>
      </c>
      <c r="F238" t="str">
        <f>IFERROR(VLOOKUP(Table1[[#This Row],[Tên đối tượng]],'DANH MỤC ĐỐI TƯỢNG'!A:E,5,0),"")</f>
        <v>Lô số 10, đường TS-19, Khu công nghiệp Tiên Sơn, TX Từ Sơn, Tỉnh Bắc Ninh</v>
      </c>
      <c r="G238">
        <f>_xlfn.IFNA(VLOOKUP(Table1[[#This Row],[Tên đối tượng]],'DANH MỤC ĐỐI TƯỢNG'!A:F,6,0),"")</f>
        <v>0</v>
      </c>
      <c r="H238" t="str">
        <f>_xlfn.IFNA(VLOOKUP(Table1[[#This Row],[Tên đối tượng]],'DANH MỤC ĐỐI TƯỢNG'!A:I,9,0),"")</f>
        <v>Mizuho bank, Ltd - Hanoi Branch</v>
      </c>
      <c r="I238" t="str">
        <f>_xlfn.IFNA(VLOOKUP(Table1[[#This Row],[Tên đối tượng]],'DANH MỤC ĐỐI TƯỢNG'!A:J,10,0),"")</f>
        <v>F15-795-006338</v>
      </c>
    </row>
    <row r="239" spans="1:9" x14ac:dyDescent="0.3">
      <c r="A239">
        <v>235</v>
      </c>
      <c r="B239" t="s">
        <v>462</v>
      </c>
      <c r="C239" t="s">
        <v>463</v>
      </c>
      <c r="D239" t="str">
        <f t="shared" si="6"/>
        <v>235. V10328</v>
      </c>
      <c r="E239" s="5" t="str">
        <f t="shared" ca="1" si="7"/>
        <v>CÔNG TY TNHH KAMOGAWA VIỆT NAM</v>
      </c>
      <c r="F239" t="str">
        <f>IFERROR(VLOOKUP(Table1[[#This Row],[Tên đối tượng]],'DANH MỤC ĐỐI TƯỢNG'!A:E,5,0),"")</f>
        <v>Nhà máy số 12, Lô P-7, tổ hợp nhà máy Thăng Long, Xã Võng La,</v>
      </c>
      <c r="G239">
        <f>_xlfn.IFNA(VLOOKUP(Table1[[#This Row],[Tên đối tượng]],'DANH MỤC ĐỐI TƯỢNG'!A:F,6,0),"")</f>
        <v>0</v>
      </c>
      <c r="H239" t="str">
        <f>_xlfn.IFNA(VLOOKUP(Table1[[#This Row],[Tên đối tượng]],'DANH MỤC ĐỐI TƯỢNG'!A:I,9,0),"")</f>
        <v>Ngân hàng MUFG, LTD - CN TP Hà Nội</v>
      </c>
      <c r="I239" t="str">
        <f>_xlfn.IFNA(VLOOKUP(Table1[[#This Row],[Tên đối tượng]],'DANH MỤC ĐỐI TƯỢNG'!A:J,10,0),"")</f>
        <v>540617</v>
      </c>
    </row>
    <row r="240" spans="1:9" x14ac:dyDescent="0.3">
      <c r="A240">
        <v>236</v>
      </c>
      <c r="B240" t="s">
        <v>464</v>
      </c>
      <c r="C240" t="s">
        <v>465</v>
      </c>
      <c r="D240" t="str">
        <f t="shared" si="6"/>
        <v>236. V10280</v>
      </c>
      <c r="E240" s="5" t="str">
        <f t="shared" ca="1" si="7"/>
        <v>Công ty TNHH Kanepackage Việt Nam</v>
      </c>
      <c r="F240" t="str">
        <f>IFERROR(VLOOKUP(Table1[[#This Row],[Tên đối tượng]],'DANH MỤC ĐỐI TƯỢNG'!A:E,5,0),"")</f>
        <v>Lô I6-KCN Thăng Long-Đông Anh-Hà Nội</v>
      </c>
      <c r="G240">
        <f>_xlfn.IFNA(VLOOKUP(Table1[[#This Row],[Tên đối tượng]],'DANH MỤC ĐỐI TƯỢNG'!A:F,6,0),"")</f>
        <v>0</v>
      </c>
      <c r="H240" t="str">
        <f>_xlfn.IFNA(VLOOKUP(Table1[[#This Row],[Tên đối tượng]],'DANH MỤC ĐỐI TƯỢNG'!A:I,9,0),"")</f>
        <v>Ngân hàng Mizuho-CN thành phố Hà Nội</v>
      </c>
      <c r="I240" t="str">
        <f>_xlfn.IFNA(VLOOKUP(Table1[[#This Row],[Tên đối tượng]],'DANH MỤC ĐỐI TƯỢNG'!A:J,10,0),"")</f>
        <v>H15-795-002025 (VND)/F15-795-002017 (USD)</v>
      </c>
    </row>
    <row r="241" spans="1:9" x14ac:dyDescent="0.3">
      <c r="A241">
        <v>237</v>
      </c>
      <c r="B241" t="s">
        <v>466</v>
      </c>
      <c r="C241" t="s">
        <v>467</v>
      </c>
      <c r="D241" t="str">
        <f t="shared" si="6"/>
        <v>237. V10090</v>
      </c>
      <c r="E241" s="5" t="str">
        <f t="shared" ca="1" si="7"/>
        <v>Công ty TNHH KD &amp; SX VTTB Trường Phát</v>
      </c>
      <c r="F241" t="str">
        <f>IFERROR(VLOOKUP(Table1[[#This Row],[Tên đối tượng]],'DANH MỤC ĐỐI TƯỢNG'!A:E,5,0),"")</f>
        <v>Tầng 5B 65 Lê Trung Nghĩa, Phường 12, Quận Tân Bình, TP.HCM</v>
      </c>
      <c r="G241" t="str">
        <f>_xlfn.IFNA(VLOOKUP(Table1[[#This Row],[Tên đối tượng]],'DANH MỤC ĐỐI TƯỢNG'!A:F,6,0),"")</f>
        <v>0303987579</v>
      </c>
      <c r="H241" t="str">
        <f>_xlfn.IFNA(VLOOKUP(Table1[[#This Row],[Tên đối tượng]],'DANH MỤC ĐỐI TƯỢNG'!A:I,9,0),"")</f>
        <v>INDOVINA - CN TP.HCM</v>
      </c>
      <c r="I241" t="str">
        <f>_xlfn.IFNA(VLOOKUP(Table1[[#This Row],[Tên đối tượng]],'DANH MỤC ĐỐI TƯỢNG'!A:J,10,0),"")</f>
        <v>1007505-001</v>
      </c>
    </row>
    <row r="242" spans="1:9" x14ac:dyDescent="0.3">
      <c r="A242">
        <v>238</v>
      </c>
      <c r="B242" t="s">
        <v>468</v>
      </c>
      <c r="C242" t="s">
        <v>469</v>
      </c>
      <c r="D242" t="str">
        <f t="shared" si="6"/>
        <v>238. V10260</v>
      </c>
      <c r="E242" s="5" t="str">
        <f t="shared" ca="1" si="7"/>
        <v>Công ty TNHH KDDI Việt nam</v>
      </c>
      <c r="F242" t="str">
        <f>IFERROR(VLOOKUP(Table1[[#This Row],[Tên đối tượng]],'DANH MỤC ĐỐI TƯỢNG'!A:E,5,0),"")</f>
        <v>Tầng 15 Tòa nhà ICON4, 243A La Thành, Láng Hạ, Đống Đa, HN</v>
      </c>
      <c r="G242" t="str">
        <f>_xlfn.IFNA(VLOOKUP(Table1[[#This Row],[Tên đối tượng]],'DANH MỤC ĐỐI TƯỢNG'!A:F,6,0),"")</f>
        <v>0100971460</v>
      </c>
      <c r="H242" t="str">
        <f>_xlfn.IFNA(VLOOKUP(Table1[[#This Row],[Tên đối tượng]],'DANH MỤC ĐỐI TƯỢNG'!A:I,9,0),"")</f>
        <v>Sumitomo Mitsui Banking Corporation - Ha Noi Branch</v>
      </c>
      <c r="I242" t="str">
        <f>_xlfn.IFNA(VLOOKUP(Table1[[#This Row],[Tên đối tượng]],'DANH MỤC ĐỐI TƯỢNG'!A:J,10,0),"")</f>
        <v>1300386-1</v>
      </c>
    </row>
    <row r="243" spans="1:9" x14ac:dyDescent="0.3">
      <c r="A243">
        <v>239</v>
      </c>
      <c r="B243" t="s">
        <v>470</v>
      </c>
      <c r="C243" t="s">
        <v>471</v>
      </c>
      <c r="D243" t="str">
        <f t="shared" si="6"/>
        <v>239. V10158</v>
      </c>
      <c r="E243" s="5" t="str">
        <f t="shared" ca="1" si="7"/>
        <v>Công ty TNHH KDIC</v>
      </c>
      <c r="F243" t="str">
        <f>IFERROR(VLOOKUP(Table1[[#This Row],[Tên đối tượng]],'DANH MỤC ĐỐI TƯỢNG'!A:E,5,0),"")</f>
        <v>Nhà ở liền kề 6A, ô 12, Khu đô thị Làng Việt Kiều Châu Âu, phường Mộ Lao, Quận Hà Đông, Thành phố Hà Nội, Việt Nam</v>
      </c>
      <c r="G243" t="str">
        <f>_xlfn.IFNA(VLOOKUP(Table1[[#This Row],[Tên đối tượng]],'DANH MỤC ĐỐI TƯỢNG'!A:F,6,0),"")</f>
        <v>0105771497</v>
      </c>
      <c r="H243" t="str">
        <f>_xlfn.IFNA(VLOOKUP(Table1[[#This Row],[Tên đối tượng]],'DANH MỤC ĐỐI TƯỢNG'!A:I,9,0),"")</f>
        <v>TMCP Công Thương Việt Nam - CN Quang Trung</v>
      </c>
      <c r="I243" t="str">
        <f>_xlfn.IFNA(VLOOKUP(Table1[[#This Row],[Tên đối tượng]],'DANH MỤC ĐỐI TƯỢNG'!A:J,10,0),"")</f>
        <v>102010001479663</v>
      </c>
    </row>
    <row r="244" spans="1:9" x14ac:dyDescent="0.3">
      <c r="A244">
        <v>240</v>
      </c>
      <c r="B244" t="s">
        <v>472</v>
      </c>
      <c r="C244" t="s">
        <v>473</v>
      </c>
      <c r="D244" t="str">
        <f t="shared" si="6"/>
        <v>240. V10142</v>
      </c>
      <c r="E244" s="5" t="str">
        <f t="shared" ca="1" si="7"/>
        <v>Công Ty TNHH Keyence Việt Nam</v>
      </c>
      <c r="F244" t="str">
        <f>IFERROR(VLOOKUP(Table1[[#This Row],[Tên đối tượng]],'DANH MỤC ĐỐI TƯỢNG'!A:E,5,0),"")</f>
        <v>Tầng 27 và 28, Tháp 1, Tòa nhà Capital Place, Số 29 Đường Liễu Giai, Phường Ngọc Khánh, Quận Ba Đình, Thành phố Hà Nội, Việt Nam</v>
      </c>
      <c r="G244" t="str">
        <f>_xlfn.IFNA(VLOOKUP(Table1[[#This Row],[Tên đối tượng]],'DANH MỤC ĐỐI TƯỢNG'!A:F,6,0),"")</f>
        <v>0106467242</v>
      </c>
      <c r="H244" t="str">
        <f>_xlfn.IFNA(VLOOKUP(Table1[[#This Row],[Tên đối tượng]],'DANH MỤC ĐỐI TƯỢNG'!A:I,9,0),"")</f>
        <v>Mizuho Bank, LTD-Ha Noi branch</v>
      </c>
      <c r="I244" t="str">
        <f>_xlfn.IFNA(VLOOKUP(Table1[[#This Row],[Tên đối tượng]],'DANH MỤC ĐỐI TƯỢNG'!A:J,10,0),"")</f>
        <v>H15-795-014292 (VND)</v>
      </c>
    </row>
    <row r="245" spans="1:9" x14ac:dyDescent="0.3">
      <c r="A245">
        <v>241</v>
      </c>
      <c r="B245" t="s">
        <v>474</v>
      </c>
      <c r="C245" t="s">
        <v>475</v>
      </c>
      <c r="D245" t="str">
        <f t="shared" si="6"/>
        <v>241. V10297</v>
      </c>
      <c r="E245" s="5" t="str">
        <f t="shared" ca="1" si="7"/>
        <v>Công ty TNHH Khí công nghiệp Messer Hải Phòng</v>
      </c>
      <c r="F245" t="str">
        <f>IFERROR(VLOOKUP(Table1[[#This Row],[Tên đối tượng]],'DANH MỤC ĐỐI TƯỢNG'!A:E,5,0),"")</f>
        <v>Thị trấn An Dương,huyện An Dươngthành phố Hải Phòng, Việt Nam</v>
      </c>
      <c r="G245">
        <f>_xlfn.IFNA(VLOOKUP(Table1[[#This Row],[Tên đối tượng]],'DANH MỤC ĐỐI TƯỢNG'!A:F,6,0),"")</f>
        <v>0</v>
      </c>
      <c r="H245">
        <f>_xlfn.IFNA(VLOOKUP(Table1[[#This Row],[Tên đối tượng]],'DANH MỤC ĐỐI TƯỢNG'!A:I,9,0),"")</f>
        <v>0</v>
      </c>
      <c r="I245">
        <f>_xlfn.IFNA(VLOOKUP(Table1[[#This Row],[Tên đối tượng]],'DANH MỤC ĐỐI TƯỢNG'!A:J,10,0),"")</f>
        <v>0</v>
      </c>
    </row>
    <row r="246" spans="1:9" x14ac:dyDescent="0.3">
      <c r="A246">
        <v>242</v>
      </c>
      <c r="B246" t="s">
        <v>476</v>
      </c>
      <c r="C246" t="s">
        <v>477</v>
      </c>
      <c r="D246" t="str">
        <f t="shared" si="6"/>
        <v>242. V10053</v>
      </c>
      <c r="E246" s="5" t="str">
        <f t="shared" ca="1" si="7"/>
        <v>Công ty TNHH Kinh doanh lốp xe Bridgestone Việt Nam</v>
      </c>
      <c r="F246" t="str">
        <f>IFERROR(VLOOKUP(Table1[[#This Row],[Tên đối tượng]],'DANH MỤC ĐỐI TƯỢNG'!A:E,5,0),"")</f>
        <v>56-58-60 Hai Bà Trưng, Phường Bến Nghé, Quận 1, TP. HCM</v>
      </c>
      <c r="G246" t="str">
        <f>_xlfn.IFNA(VLOOKUP(Table1[[#This Row],[Tên đối tượng]],'DANH MỤC ĐỐI TƯỢNG'!A:F,6,0),"")</f>
        <v>0309875328</v>
      </c>
      <c r="H246" t="str">
        <f>_xlfn.IFNA(VLOOKUP(Table1[[#This Row],[Tên đối tượng]],'DANH MỤC ĐỐI TƯỢNG'!A:I,9,0),"")</f>
        <v>TM CP Á Châu - CN Bến Thành</v>
      </c>
      <c r="I246" t="str">
        <f>_xlfn.IFNA(VLOOKUP(Table1[[#This Row],[Tên đối tượng]],'DANH MỤC ĐỐI TƯỢNG'!A:J,10,0),"")</f>
        <v>94468339</v>
      </c>
    </row>
    <row r="247" spans="1:9" x14ac:dyDescent="0.3">
      <c r="A247">
        <v>243</v>
      </c>
      <c r="B247" t="s">
        <v>478</v>
      </c>
      <c r="C247" t="s">
        <v>479</v>
      </c>
      <c r="D247" t="str">
        <f t="shared" si="6"/>
        <v>243. V10339</v>
      </c>
      <c r="E247" s="5" t="str">
        <f t="shared" ca="1" si="7"/>
        <v>Công ty TNHH Kintetsu World Express Việt Nam</v>
      </c>
      <c r="F247" t="str">
        <f>IFERROR(VLOOKUP(Table1[[#This Row],[Tên đối tượng]],'DANH MỤC ĐỐI TƯỢNG'!A:E,5,0),"")</f>
        <v>51 Yên Thế, Phường 2, Quận Tân Bình, Thành Phố Hồ Chí Minh</v>
      </c>
      <c r="G247">
        <f>_xlfn.IFNA(VLOOKUP(Table1[[#This Row],[Tên đối tượng]],'DANH MỤC ĐỐI TƯỢNG'!A:F,6,0),"")</f>
        <v>0</v>
      </c>
      <c r="H247" t="str">
        <f>_xlfn.IFNA(VLOOKUP(Table1[[#This Row],[Tên đối tượng]],'DANH MỤC ĐỐI TƯỢNG'!A:I,9,0),"")</f>
        <v>Vietcombank / Hồ Chí Minh</v>
      </c>
      <c r="I247" t="str">
        <f>_xlfn.IFNA(VLOOKUP(Table1[[#This Row],[Tên đối tượng]],'DANH MỤC ĐỐI TƯỢNG'!A:J,10,0),"")</f>
        <v>0071002406766</v>
      </c>
    </row>
    <row r="248" spans="1:9" x14ac:dyDescent="0.3">
      <c r="A248">
        <v>244</v>
      </c>
      <c r="B248" t="s">
        <v>480</v>
      </c>
      <c r="C248" t="s">
        <v>481</v>
      </c>
      <c r="D248" t="str">
        <f t="shared" si="6"/>
        <v>244. V10334</v>
      </c>
      <c r="E248" s="5" t="str">
        <f t="shared" ca="1" si="7"/>
        <v>Công ty TNHH Kosaido HR Việt Nam</v>
      </c>
      <c r="F248" t="str">
        <f>IFERROR(VLOOKUP(Table1[[#This Row],[Tên đối tượng]],'DANH MỤC ĐỐI TƯỢNG'!A:E,5,0),"")</f>
        <v>Số 132, đường Hàm Nghi,   phường Bến Thành, Quận 1, thành phố Hồ Chí Minh</v>
      </c>
      <c r="G248">
        <f>_xlfn.IFNA(VLOOKUP(Table1[[#This Row],[Tên đối tượng]],'DANH MỤC ĐỐI TƯỢNG'!A:F,6,0),"")</f>
        <v>0</v>
      </c>
      <c r="H248" t="str">
        <f>_xlfn.IFNA(VLOOKUP(Table1[[#This Row],[Tên đối tượng]],'DANH MỤC ĐỐI TƯỢNG'!A:I,9,0),"")</f>
        <v>Sumitomo Mitsui banking corporation / Hồ Chí Minh</v>
      </c>
      <c r="I248" t="str">
        <f>_xlfn.IFNA(VLOOKUP(Table1[[#This Row],[Tên đối tượng]],'DANH MỤC ĐỐI TƯỢNG'!A:J,10,0),"")</f>
        <v>10047502</v>
      </c>
    </row>
    <row r="249" spans="1:9" x14ac:dyDescent="0.3">
      <c r="A249">
        <v>245</v>
      </c>
      <c r="B249" t="s">
        <v>482</v>
      </c>
      <c r="C249" t="s">
        <v>483</v>
      </c>
      <c r="D249" t="str">
        <f t="shared" si="6"/>
        <v>245. V10055</v>
      </c>
      <c r="E249" s="5" t="str">
        <f t="shared" ca="1" si="7"/>
        <v>Công ty TNHH KSMC</v>
      </c>
      <c r="F249" t="str">
        <f>IFERROR(VLOOKUP(Table1[[#This Row],[Tên đối tượng]],'DANH MỤC ĐỐI TƯỢNG'!A:E,5,0),"")</f>
        <v>Số 61, ngõ 53, phố Đức Giang, phường Đức Giang, quận Long Biên, Hà Nội</v>
      </c>
      <c r="G249" t="str">
        <f>_xlfn.IFNA(VLOOKUP(Table1[[#This Row],[Tên đối tượng]],'DANH MỤC ĐỐI TƯỢNG'!A:F,6,0),"")</f>
        <v>0101129056</v>
      </c>
      <c r="H249" t="str">
        <f>_xlfn.IFNA(VLOOKUP(Table1[[#This Row],[Tên đối tượng]],'DANH MỤC ĐỐI TƯỢNG'!A:I,9,0),"")</f>
        <v>Ngân hàng TMCP Công Thương Việt Nam - CN Chương Dương-Hà Nội</v>
      </c>
      <c r="I249" t="str">
        <f>_xlfn.IFNA(VLOOKUP(Table1[[#This Row],[Tên đối tượng]],'DANH MỤC ĐỐI TƯỢNG'!A:J,10,0),"")</f>
        <v>102010000049625</v>
      </c>
    </row>
    <row r="250" spans="1:9" x14ac:dyDescent="0.3">
      <c r="A250">
        <v>246</v>
      </c>
      <c r="B250" t="s">
        <v>484</v>
      </c>
      <c r="C250" t="s">
        <v>485</v>
      </c>
      <c r="D250" t="str">
        <f t="shared" si="6"/>
        <v>246. V10330</v>
      </c>
      <c r="E250" s="5" t="str">
        <f t="shared" ca="1" si="7"/>
        <v>Công ty TNHH KUBOTA KASUI VIỆT NAM</v>
      </c>
      <c r="F250" t="str">
        <f>IFERROR(VLOOKUP(Table1[[#This Row],[Tên đối tượng]],'DANH MỤC ĐỐI TƯỢNG'!A:E,5,0),"")</f>
        <v>Số 3 đường 20, Khu công nghiệp Sóng Thần 2, Phường Dĩ An, Thị xã Dĩ An, Tỉnh Bình Dương, Việt Nam</v>
      </c>
      <c r="G250">
        <f>_xlfn.IFNA(VLOOKUP(Table1[[#This Row],[Tên đối tượng]],'DANH MỤC ĐỐI TƯỢNG'!A:F,6,0),"")</f>
        <v>0</v>
      </c>
      <c r="H250" t="str">
        <f>_xlfn.IFNA(VLOOKUP(Table1[[#This Row],[Tên đối tượng]],'DANH MỤC ĐỐI TƯỢNG'!A:I,9,0),"")</f>
        <v>Vietcombank / Thủ Đức, Hồ Chí Minh</v>
      </c>
      <c r="I250" t="str">
        <f>_xlfn.IFNA(VLOOKUP(Table1[[#This Row],[Tên đối tượng]],'DANH MỤC ĐỐI TƯỢNG'!A:J,10,0),"")</f>
        <v>018.100.0014723</v>
      </c>
    </row>
    <row r="251" spans="1:9" x14ac:dyDescent="0.3">
      <c r="A251">
        <v>247</v>
      </c>
      <c r="B251" t="s">
        <v>486</v>
      </c>
      <c r="C251" t="s">
        <v>487</v>
      </c>
      <c r="D251" t="str">
        <f t="shared" si="6"/>
        <v>247. V10295</v>
      </c>
      <c r="E251" s="5" t="str">
        <f t="shared" ca="1" si="7"/>
        <v>Công ty TNHH Ký Hiệu</v>
      </c>
      <c r="F251" t="str">
        <f>IFERROR(VLOOKUP(Table1[[#This Row],[Tên đối tượng]],'DANH MỤC ĐỐI TƯỢNG'!A:E,5,0),"")</f>
        <v>Số 45, đường Võ Thị Sáu, Phường Đa Kao, Quận 1thành phố Hồ Chí Minh</v>
      </c>
      <c r="G251">
        <f>_xlfn.IFNA(VLOOKUP(Table1[[#This Row],[Tên đối tượng]],'DANH MỤC ĐỐI TƯỢNG'!A:F,6,0),"")</f>
        <v>0</v>
      </c>
      <c r="H251" t="str">
        <f>_xlfn.IFNA(VLOOKUP(Table1[[#This Row],[Tên đối tượng]],'DANH MỤC ĐỐI TƯỢNG'!A:I,9,0),"")</f>
        <v>Sumitomo Mitsui Banking Corporation – CN Hồ Chí Minh</v>
      </c>
      <c r="I251" t="str">
        <f>_xlfn.IFNA(VLOOKUP(Table1[[#This Row],[Tên đối tượng]],'DANH MỤC ĐỐI TƯỢNG'!A:J,10,0),"")</f>
        <v>18002781</v>
      </c>
    </row>
    <row r="252" spans="1:9" x14ac:dyDescent="0.3">
      <c r="A252">
        <v>248</v>
      </c>
      <c r="B252" t="s">
        <v>488</v>
      </c>
      <c r="C252" t="s">
        <v>489</v>
      </c>
      <c r="D252" t="str">
        <f t="shared" si="6"/>
        <v>248. V10109</v>
      </c>
      <c r="E252" s="5" t="str">
        <f t="shared" ca="1" si="7"/>
        <v>Công ty TNHH Kỹ Nghệ Thăng Long</v>
      </c>
      <c r="F252" t="str">
        <f>IFERROR(VLOOKUP(Table1[[#This Row],[Tên đối tượng]],'DANH MỤC ĐỐI TƯỢNG'!A:E,5,0),"")</f>
        <v>161 Trần Não, Phường Bình An, Quận 2, TP Hồ Chí Minh</v>
      </c>
      <c r="G252" t="str">
        <f>_xlfn.IFNA(VLOOKUP(Table1[[#This Row],[Tên đối tượng]],'DANH MỤC ĐỐI TƯỢNG'!A:F,6,0),"")</f>
        <v>0301591483</v>
      </c>
      <c r="H252" t="str">
        <f>_xlfn.IFNA(VLOOKUP(Table1[[#This Row],[Tên đối tượng]],'DANH MỤC ĐỐI TƯỢNG'!A:I,9,0),"")</f>
        <v>Thương mại cổ phần Á Châu - Chi nhánh Sài Gòn</v>
      </c>
      <c r="I252" t="str">
        <f>_xlfn.IFNA(VLOOKUP(Table1[[#This Row],[Tên đối tượng]],'DANH MỤC ĐỐI TƯỢNG'!A:J,10,0),"")</f>
        <v>17464259</v>
      </c>
    </row>
    <row r="253" spans="1:9" x14ac:dyDescent="0.3">
      <c r="A253">
        <v>249</v>
      </c>
      <c r="B253" t="s">
        <v>490</v>
      </c>
      <c r="C253" t="s">
        <v>491</v>
      </c>
      <c r="D253" t="str">
        <f t="shared" si="6"/>
        <v>249. V10153</v>
      </c>
      <c r="E253" s="5" t="str">
        <f t="shared" ca="1" si="7"/>
        <v>Công ty TNHH kỹ thuật công nghiệp Nhật Việt</v>
      </c>
      <c r="F253" t="str">
        <f>IFERROR(VLOOKUP(Table1[[#This Row],[Tên đối tượng]],'DANH MỤC ĐỐI TƯỢNG'!A:E,5,0),"")</f>
        <v>Số 53 ngõ 121, đường Sài Đồng, P. Sài Đồng, Q. Long Biên, Tp. Hà Nội, Việt Nam</v>
      </c>
      <c r="G253" t="str">
        <f>_xlfn.IFNA(VLOOKUP(Table1[[#This Row],[Tên đối tượng]],'DANH MỤC ĐỐI TƯỢNG'!A:F,6,0),"")</f>
        <v>0106312087</v>
      </c>
      <c r="H253" t="str">
        <f>_xlfn.IFNA(VLOOKUP(Table1[[#This Row],[Tên đối tượng]],'DANH MỤC ĐỐI TƯỢNG'!A:I,9,0),"")</f>
        <v>Sở giao dịch-Ngân hàng TMCP Ngoại Thương Việt Nam</v>
      </c>
      <c r="I253" t="str">
        <f>_xlfn.IFNA(VLOOKUP(Table1[[#This Row],[Tên đối tượng]],'DANH MỤC ĐỐI TƯỢNG'!A:J,10,0),"")</f>
        <v>0011004144107</v>
      </c>
    </row>
    <row r="254" spans="1:9" x14ac:dyDescent="0.3">
      <c r="A254">
        <v>250</v>
      </c>
      <c r="B254" t="s">
        <v>492</v>
      </c>
      <c r="C254" t="s">
        <v>493</v>
      </c>
      <c r="D254" t="str">
        <f t="shared" si="6"/>
        <v>250. V10282</v>
      </c>
      <c r="E254" s="5" t="str">
        <f t="shared" ca="1" si="7"/>
        <v>Công ty TNHH kỹ thuật điện hiệp lực</v>
      </c>
      <c r="F254" t="str">
        <f>IFERROR(VLOOKUP(Table1[[#This Row],[Tên đối tượng]],'DANH MỤC ĐỐI TƯỢNG'!A:E,5,0),"")</f>
        <v>Số nhà 97/4, Trần Thị Cờ, khu phố 6, Phường Thới An, Quận 12, Thành phố Hồ Chí Minh Việt Nam.</v>
      </c>
      <c r="G254">
        <f>_xlfn.IFNA(VLOOKUP(Table1[[#This Row],[Tên đối tượng]],'DANH MỤC ĐỐI TƯỢNG'!A:F,6,0),"")</f>
        <v>0</v>
      </c>
      <c r="H254" t="str">
        <f>_xlfn.IFNA(VLOOKUP(Table1[[#This Row],[Tên đối tượng]],'DANH MỤC ĐỐI TƯỢNG'!A:I,9,0),"")</f>
        <v>Ngân hàng nông nghiệp và phát triển nông thôn-CN An Phú</v>
      </c>
      <c r="I254" t="str">
        <f>_xlfn.IFNA(VLOOKUP(Table1[[#This Row],[Tên đối tượng]],'DANH MỤC ĐỐI TƯỢNG'!A:J,10,0),"")</f>
        <v>1606201030320</v>
      </c>
    </row>
    <row r="255" spans="1:9" x14ac:dyDescent="0.3">
      <c r="A255">
        <v>251</v>
      </c>
      <c r="B255" t="s">
        <v>494</v>
      </c>
      <c r="C255" t="s">
        <v>495</v>
      </c>
      <c r="D255" t="str">
        <f t="shared" si="6"/>
        <v>251. V10035</v>
      </c>
      <c r="E255" s="5" t="str">
        <f t="shared" ca="1" si="7"/>
        <v>Công ty TNHH kỹ thuật quốc tế Connection</v>
      </c>
      <c r="F255" t="str">
        <f>IFERROR(VLOOKUP(Table1[[#This Row],[Tên đối tượng]],'DANH MỤC ĐỐI TƯỢNG'!A:E,5,0),"")</f>
        <v>Số 711 đường Thiên Lôi - Phường Vĩnh Niệm - Quận Lê Chân - Hải Phòng</v>
      </c>
      <c r="G255" t="str">
        <f>_xlfn.IFNA(VLOOKUP(Table1[[#This Row],[Tên đối tượng]],'DANH MỤC ĐỐI TƯỢNG'!A:F,6,0),"")</f>
        <v>0201269392</v>
      </c>
      <c r="H255" t="str">
        <f>_xlfn.IFNA(VLOOKUP(Table1[[#This Row],[Tên đối tượng]],'DANH MỤC ĐỐI TƯỢNG'!A:I,9,0),"")</f>
        <v>NH Nông nghiệp- CN Lê Chân - PGD Trần Nguyên Hãn - Hải Phòng</v>
      </c>
      <c r="I255" t="str">
        <f>_xlfn.IFNA(VLOOKUP(Table1[[#This Row],[Tên đối tượng]],'DANH MỤC ĐỐI TƯỢNG'!A:J,10,0),"")</f>
        <v>2112201020365</v>
      </c>
    </row>
    <row r="256" spans="1:9" x14ac:dyDescent="0.3">
      <c r="A256">
        <v>252</v>
      </c>
      <c r="B256" t="s">
        <v>496</v>
      </c>
      <c r="C256" t="s">
        <v>497</v>
      </c>
      <c r="D256" t="str">
        <f t="shared" si="6"/>
        <v>252. V10139</v>
      </c>
      <c r="E256" s="5" t="str">
        <f t="shared" ca="1" si="7"/>
        <v>Công ty TNHH kỹ thuật Tiêu Điểm</v>
      </c>
      <c r="F256" t="str">
        <f>IFERROR(VLOOKUP(Table1[[#This Row],[Tên đối tượng]],'DANH MỤC ĐỐI TƯỢNG'!A:E,5,0),"")</f>
        <v>L4 Tòa nhà Vạn Đạt Lô II-1. Đường số 8, KCN Tân Bình, P.Tây Thạnh, Q.Tân Phú, TP.HCM</v>
      </c>
      <c r="G256" t="str">
        <f>_xlfn.IFNA(VLOOKUP(Table1[[#This Row],[Tên đối tượng]],'DANH MỤC ĐỐI TƯỢNG'!A:F,6,0),"")</f>
        <v>0302733959</v>
      </c>
      <c r="H256" t="str">
        <f>_xlfn.IFNA(VLOOKUP(Table1[[#This Row],[Tên đối tượng]],'DANH MỤC ĐỐI TƯỢNG'!A:I,9,0),"")</f>
        <v>Vietin Bank-Ho Chi Minh City Branch</v>
      </c>
      <c r="I256" t="str">
        <f>_xlfn.IFNA(VLOOKUP(Table1[[#This Row],[Tên đối tượng]],'DANH MỤC ĐỐI TƯỢNG'!A:J,10,0),"")</f>
        <v>118000040083</v>
      </c>
    </row>
    <row r="257" spans="1:9" x14ac:dyDescent="0.3">
      <c r="A257">
        <v>253</v>
      </c>
      <c r="B257" t="s">
        <v>498</v>
      </c>
      <c r="C257" t="s">
        <v>499</v>
      </c>
      <c r="D257" t="str">
        <f t="shared" si="6"/>
        <v>253. V10162</v>
      </c>
      <c r="E257" s="5" t="str">
        <f t="shared" ca="1" si="7"/>
        <v>Công ty TNHH Liên doanh Oval Việt Nam</v>
      </c>
      <c r="F257" t="str">
        <f>IFERROR(VLOOKUP(Table1[[#This Row],[Tên đối tượng]],'DANH MỤC ĐỐI TƯỢNG'!A:E,5,0),"")</f>
        <v>Số 106, Đường Nguyễn Văn Trỗi, phường 8, quận Phú Nhuận, TP.Hồ Chí Minh (Tòa nhà Centre Point)</v>
      </c>
      <c r="G257" t="str">
        <f>_xlfn.IFNA(VLOOKUP(Table1[[#This Row],[Tên đối tượng]],'DANH MỤC ĐỐI TƯỢNG'!A:F,6,0),"")</f>
        <v>0305098374</v>
      </c>
      <c r="H257" t="str">
        <f>_xlfn.IFNA(VLOOKUP(Table1[[#This Row],[Tên đối tượng]],'DANH MỤC ĐỐI TƯỢNG'!A:I,9,0),"")</f>
        <v>TMCP Xăng dầu Petrolimex, CN Sài Gòn</v>
      </c>
      <c r="I257" t="str">
        <f>_xlfn.IFNA(VLOOKUP(Table1[[#This Row],[Tên đối tượng]],'DANH MỤC ĐỐI TƯỢNG'!A:J,10,0),"")</f>
        <v>4417040212884</v>
      </c>
    </row>
    <row r="258" spans="1:9" x14ac:dyDescent="0.3">
      <c r="A258">
        <v>254</v>
      </c>
      <c r="B258" t="s">
        <v>500</v>
      </c>
      <c r="C258" t="s">
        <v>501</v>
      </c>
      <c r="D258" t="str">
        <f t="shared" si="6"/>
        <v>254. V10281</v>
      </c>
      <c r="E258" s="5" t="str">
        <f t="shared" ca="1" si="7"/>
        <v>Công ty TNHH LMS Technologies Việt Nam</v>
      </c>
      <c r="F258" t="str">
        <f>IFERROR(VLOOKUP(Table1[[#This Row],[Tên đối tượng]],'DANH MỤC ĐỐI TƯỢNG'!A:E,5,0),"")</f>
        <v>Phòng 6.7C, Tầng 6, Tòa nhà E.Town 2, số 364, đường Cộng Hòa, Phường 13, Quận Tân Bình, Thành phố Hồ Chí Minh, Việt Nam</v>
      </c>
      <c r="G258" t="str">
        <f>_xlfn.IFNA(VLOOKUP(Table1[[#This Row],[Tên đối tượng]],'DANH MỤC ĐỐI TƯỢNG'!A:F,6,0),"")</f>
        <v>0313090844</v>
      </c>
      <c r="H258" t="str">
        <f>_xlfn.IFNA(VLOOKUP(Table1[[#This Row],[Tên đối tượng]],'DANH MỤC ĐỐI TƯỢNG'!A:I,9,0),"")</f>
        <v>Ngân hàng TMCP ngoại thương Việt Nam-chi nhánh Tân Bình</v>
      </c>
      <c r="I258" t="str">
        <f>_xlfn.IFNA(VLOOKUP(Table1[[#This Row],[Tên đối tượng]],'DANH MỤC ĐỐI TƯỢNG'!A:J,10,0),"")</f>
        <v>044.100.0680888</v>
      </c>
    </row>
    <row r="259" spans="1:9" x14ac:dyDescent="0.3">
      <c r="A259">
        <v>255</v>
      </c>
      <c r="B259" t="s">
        <v>502</v>
      </c>
      <c r="C259" t="s">
        <v>503</v>
      </c>
      <c r="D259" t="str">
        <f t="shared" si="6"/>
        <v>255. V10335</v>
      </c>
      <c r="E259" s="5" t="str">
        <f t="shared" ca="1" si="7"/>
        <v>Công ty TNHH Long Chương</v>
      </c>
      <c r="F259" t="str">
        <f>IFERROR(VLOOKUP(Table1[[#This Row],[Tên đối tượng]],'DANH MỤC ĐỐI TƯỢNG'!A:E,5,0),"")</f>
        <v>Số 10, Lô 18Đ, ngã 5 sân bay Cát bi, P.Đằng Lâm,Q.Hải An, Hải phòng</v>
      </c>
      <c r="G259" t="str">
        <f>_xlfn.IFNA(VLOOKUP(Table1[[#This Row],[Tên đối tượng]],'DANH MỤC ĐỐI TƯỢNG'!A:F,6,0),"")</f>
        <v>0201269353</v>
      </c>
      <c r="H259" t="str">
        <f>_xlfn.IFNA(VLOOKUP(Table1[[#This Row],[Tên đối tượng]],'DANH MỤC ĐỐI TƯỢNG'!A:I,9,0),"")</f>
        <v>Ngân hàng TMCP Á Châu - CN Hải phòng</v>
      </c>
      <c r="I259" t="str">
        <f>_xlfn.IFNA(VLOOKUP(Table1[[#This Row],[Tên đối tượng]],'DANH MỤC ĐỐI TƯỢNG'!A:J,10,0),"")</f>
        <v>157463799</v>
      </c>
    </row>
    <row r="260" spans="1:9" x14ac:dyDescent="0.3">
      <c r="A260">
        <v>256</v>
      </c>
      <c r="B260" t="s">
        <v>504</v>
      </c>
      <c r="C260" t="s">
        <v>505</v>
      </c>
      <c r="D260" t="str">
        <f t="shared" si="6"/>
        <v>256. V10310</v>
      </c>
      <c r="E260" s="5" t="str">
        <f t="shared" ca="1" si="7"/>
        <v>CÔNG TY TNHH M.TEC VIỆT NAM</v>
      </c>
      <c r="F260" t="str">
        <f>IFERROR(VLOOKUP(Table1[[#This Row],[Tên đối tượng]],'DANH MỤC ĐỐI TƯỢNG'!A:E,5,0),"")</f>
        <v>Phòng 407, Tầng 4, Tòa nhà DMC, Số 535 Kim Mã, Phường Ngọc Khánh, Quận Ba Đình, Hà Nội</v>
      </c>
      <c r="G260">
        <f>_xlfn.IFNA(VLOOKUP(Table1[[#This Row],[Tên đối tượng]],'DANH MỤC ĐỐI TƯỢNG'!A:F,6,0),"")</f>
        <v>0</v>
      </c>
      <c r="H260" t="str">
        <f>_xlfn.IFNA(VLOOKUP(Table1[[#This Row],[Tên đối tượng]],'DANH MỤC ĐỐI TƯỢNG'!A:I,9,0),"")</f>
        <v>Vietcombank - CN Ba Đình</v>
      </c>
      <c r="I260" t="str">
        <f>_xlfn.IFNA(VLOOKUP(Table1[[#This Row],[Tên đối tượng]],'DANH MỤC ĐỐI TƯỢNG'!A:J,10,0),"")</f>
        <v>0611001927382</v>
      </c>
    </row>
    <row r="261" spans="1:9" x14ac:dyDescent="0.3">
      <c r="A261">
        <v>257</v>
      </c>
      <c r="B261" t="s">
        <v>506</v>
      </c>
      <c r="C261" t="s">
        <v>507</v>
      </c>
      <c r="D261" t="str">
        <f t="shared" ref="D261:D324" si="8">A261&amp;". "&amp;B261</f>
        <v>257. V10358</v>
      </c>
      <c r="E261" s="5" t="str">
        <f t="shared" ref="E261:E324" ca="1" si="9">IF(B261&lt;&gt;"",HYPERLINK($A$2&amp;D261,C261),"")</f>
        <v>Công ty TNHH May mặc Tùng Phát Lộc</v>
      </c>
      <c r="F261" t="str">
        <f>IFERROR(VLOOKUP(Table1[[#This Row],[Tên đối tượng]],'DANH MỤC ĐỐI TƯỢNG'!A:E,5,0),"")</f>
        <v>73/2 đường Tân Thới Hiệp 22, P. Tân Thới Hiệp, Q. 12, Tp. Hồ Chí Minh, Việt Nam</v>
      </c>
      <c r="G261">
        <f>_xlfn.IFNA(VLOOKUP(Table1[[#This Row],[Tên đối tượng]],'DANH MỤC ĐỐI TƯỢNG'!A:F,6,0),"")</f>
        <v>0</v>
      </c>
      <c r="H261" t="str">
        <f>_xlfn.IFNA(VLOOKUP(Table1[[#This Row],[Tên đối tượng]],'DANH MỤC ĐỐI TƯỢNG'!A:I,9,0),"")</f>
        <v>Vietcombank / Bắc Sài gòn</v>
      </c>
      <c r="I261" t="str">
        <f>_xlfn.IFNA(VLOOKUP(Table1[[#This Row],[Tên đối tượng]],'DANH MỤC ĐỐI TƯỢNG'!A:J,10,0),"")</f>
        <v>050 100 006 7914</v>
      </c>
    </row>
    <row r="262" spans="1:9" x14ac:dyDescent="0.3">
      <c r="A262">
        <v>258</v>
      </c>
      <c r="B262" t="s">
        <v>508</v>
      </c>
      <c r="C262" t="s">
        <v>509</v>
      </c>
      <c r="D262" t="str">
        <f t="shared" si="8"/>
        <v>258. V10215</v>
      </c>
      <c r="E262" s="5" t="str">
        <f t="shared" ca="1" si="9"/>
        <v>Công ty TNHH Máy và Dịch vụ Kỹ thuật Đức Sơn</v>
      </c>
      <c r="F262" t="str">
        <f>IFERROR(VLOOKUP(Table1[[#This Row],[Tên đối tượng]],'DANH MỤC ĐỐI TƯỢNG'!A:E,5,0),"")</f>
        <v>Lô B, tổ 102, Hoàng Cầu, Phường Ô Chợ Dừa, quận Đống Đa, TP Hà Nội</v>
      </c>
      <c r="G262" t="str">
        <f>_xlfn.IFNA(VLOOKUP(Table1[[#This Row],[Tên đối tượng]],'DANH MỤC ĐỐI TƯỢNG'!A:F,6,0),"")</f>
        <v>0101718774</v>
      </c>
      <c r="H262" t="str">
        <f>_xlfn.IFNA(VLOOKUP(Table1[[#This Row],[Tên đối tượng]],'DANH MỤC ĐỐI TƯỢNG'!A:I,9,0),"")</f>
        <v>TMCP Ngoại Thương Việt Nam - Sở giao dịch</v>
      </c>
      <c r="I262" t="str">
        <f>_xlfn.IFNA(VLOOKUP(Table1[[#This Row],[Tên đối tượng]],'DANH MỤC ĐỐI TƯỢNG'!A:J,10,0),"")</f>
        <v>0011001320391</v>
      </c>
    </row>
    <row r="263" spans="1:9" x14ac:dyDescent="0.3">
      <c r="A263">
        <v>259</v>
      </c>
      <c r="B263" t="s">
        <v>510</v>
      </c>
      <c r="C263" t="s">
        <v>511</v>
      </c>
      <c r="D263" t="str">
        <f t="shared" si="8"/>
        <v>259. V10094</v>
      </c>
      <c r="E263" s="5" t="str">
        <f t="shared" ca="1" si="9"/>
        <v>Công ty TNHH Mễ Đình</v>
      </c>
      <c r="F263" t="str">
        <f>IFERROR(VLOOKUP(Table1[[#This Row],[Tên đối tượng]],'DANH MỤC ĐỐI TƯỢNG'!A:E,5,0),"")</f>
        <v>22 Đường C1, Phường 13, Quận Tân Bình, Thành phố Hồ Chí Minh</v>
      </c>
      <c r="G263" t="str">
        <f>_xlfn.IFNA(VLOOKUP(Table1[[#This Row],[Tên đối tượng]],'DANH MỤC ĐỐI TƯỢNG'!A:F,6,0),"")</f>
        <v>0304362604</v>
      </c>
      <c r="H263" t="str">
        <f>_xlfn.IFNA(VLOOKUP(Table1[[#This Row],[Tên đối tượng]],'DANH MỤC ĐỐI TƯỢNG'!A:I,9,0),"")</f>
        <v>TMCP Á Châu ( ACB) - CN Sài Gòn</v>
      </c>
      <c r="I263" t="str">
        <f>_xlfn.IFNA(VLOOKUP(Table1[[#This Row],[Tên đối tượng]],'DANH MỤC ĐỐI TƯỢNG'!A:J,10,0),"")</f>
        <v>19199639</v>
      </c>
    </row>
    <row r="264" spans="1:9" x14ac:dyDescent="0.3">
      <c r="A264">
        <v>260</v>
      </c>
      <c r="B264" t="s">
        <v>512</v>
      </c>
      <c r="C264" t="s">
        <v>513</v>
      </c>
      <c r="D264" t="str">
        <f t="shared" si="8"/>
        <v>260. V10275</v>
      </c>
      <c r="E264" s="5" t="str">
        <f t="shared" ca="1" si="9"/>
        <v>Công ty TNHH Meda Hà nội</v>
      </c>
      <c r="F264" t="str">
        <f>IFERROR(VLOOKUP(Table1[[#This Row],[Tên đối tượng]],'DANH MỤC ĐỐI TƯỢNG'!A:E,5,0),"")</f>
        <v>Số 26, ngõ Nguyễn Đồng Chi, P.Cầu diễn, Q.Nam Từ Liêm, Hà nội</v>
      </c>
      <c r="G264" t="str">
        <f>_xlfn.IFNA(VLOOKUP(Table1[[#This Row],[Tên đối tượng]],'DANH MỤC ĐỐI TƯỢNG'!A:F,6,0),"")</f>
        <v>0105791158</v>
      </c>
      <c r="H264" t="str">
        <f>_xlfn.IFNA(VLOOKUP(Table1[[#This Row],[Tên đối tượng]],'DANH MỤC ĐỐI TƯỢNG'!A:I,9,0),"")</f>
        <v>Ngân hàng TMCP Đầu tư và phát triển Việt Nam - CN Tây Hà nội</v>
      </c>
      <c r="I264" t="str">
        <f>_xlfn.IFNA(VLOOKUP(Table1[[#This Row],[Tên đối tượng]],'DANH MỤC ĐỐI TƯỢNG'!A:J,10,0),"")</f>
        <v>260-10-00-014755-9</v>
      </c>
    </row>
    <row r="265" spans="1:9" x14ac:dyDescent="0.3">
      <c r="A265">
        <v>261</v>
      </c>
      <c r="B265" t="s">
        <v>514</v>
      </c>
      <c r="C265" t="s">
        <v>515</v>
      </c>
      <c r="D265" t="str">
        <f t="shared" si="8"/>
        <v>261. V10064</v>
      </c>
      <c r="E265" s="5" t="str">
        <f t="shared" ca="1" si="9"/>
        <v>Công ty TNHH Megatech Việt Nam</v>
      </c>
      <c r="F265" t="str">
        <f>IFERROR(VLOOKUP(Table1[[#This Row],[Tên đối tượng]],'DANH MỤC ĐỐI TƯỢNG'!A:E,5,0),"")</f>
        <v>Nhà xưởng X2, Khu nhà xưởng cho thuê Hải Thành, P.Hải Thành, Q.Dương Kinh, TP Hải Phòng</v>
      </c>
      <c r="G265" t="str">
        <f>_xlfn.IFNA(VLOOKUP(Table1[[#This Row],[Tên đối tượng]],'DANH MỤC ĐỐI TƯỢNG'!A:F,6,0),"")</f>
        <v>0201285203</v>
      </c>
      <c r="H265" t="str">
        <f>_xlfn.IFNA(VLOOKUP(Table1[[#This Row],[Tên đối tượng]],'DANH MỤC ĐỐI TƯỢNG'!A:I,9,0),"")</f>
        <v>Vietcombank - CN Hải Phòng</v>
      </c>
      <c r="I265" t="str">
        <f>_xlfn.IFNA(VLOOKUP(Table1[[#This Row],[Tên đối tượng]],'DANH MỤC ĐỐI TƯỢNG'!A:J,10,0),"")</f>
        <v>003 100 015 930 2</v>
      </c>
    </row>
    <row r="266" spans="1:9" x14ac:dyDescent="0.3">
      <c r="A266">
        <v>262</v>
      </c>
      <c r="B266" t="s">
        <v>516</v>
      </c>
      <c r="C266" t="s">
        <v>517</v>
      </c>
      <c r="D266" t="str">
        <f t="shared" si="8"/>
        <v>262. V10321</v>
      </c>
      <c r="E266" s="5" t="str">
        <f t="shared" ca="1" si="9"/>
        <v>Công ty TNHH Menkar</v>
      </c>
      <c r="F266" t="str">
        <f>IFERROR(VLOOKUP(Table1[[#This Row],[Tên đối tượng]],'DANH MỤC ĐỐI TƯỢNG'!A:E,5,0),"")</f>
        <v>Số 447 Quán Rẽ-xã Mỹ Đức-huyện An Lão-Tp Hải Phòng</v>
      </c>
      <c r="G266">
        <f>_xlfn.IFNA(VLOOKUP(Table1[[#This Row],[Tên đối tượng]],'DANH MỤC ĐỐI TƯỢNG'!A:F,6,0),"")</f>
        <v>0</v>
      </c>
      <c r="H266" t="str">
        <f>_xlfn.IFNA(VLOOKUP(Table1[[#This Row],[Tên đối tượng]],'DANH MỤC ĐỐI TƯỢNG'!A:I,9,0),"")</f>
        <v>Ngân hàng TMCP Quân đội-PGD Kiến An-Hải Phòng</v>
      </c>
      <c r="I266" t="str">
        <f>_xlfn.IFNA(VLOOKUP(Table1[[#This Row],[Tên đối tượng]],'DANH MỤC ĐỐI TƯỢNG'!A:J,10,0),"")</f>
        <v>2581124666888</v>
      </c>
    </row>
    <row r="267" spans="1:9" x14ac:dyDescent="0.3">
      <c r="A267">
        <v>263</v>
      </c>
      <c r="B267" t="s">
        <v>518</v>
      </c>
      <c r="C267" t="s">
        <v>519</v>
      </c>
      <c r="D267" t="str">
        <f t="shared" si="8"/>
        <v>263. V10363</v>
      </c>
      <c r="E267" s="5" t="str">
        <f t="shared" ca="1" si="9"/>
        <v>Công ty TNHH Misumi Việt Nam</v>
      </c>
      <c r="F267" t="str">
        <f>IFERROR(VLOOKUP(Table1[[#This Row],[Tên đối tượng]],'DANH MỤC ĐỐI TƯỢNG'!A:E,5,0),"")</f>
        <v>Lô số 15, đường TS 11,khu công nghiệp Tiên Sơn, xã Hoàn Sơn,huyện Tiên Du,tỉnh Bắc Ninh, Việt Nam</v>
      </c>
      <c r="G267">
        <f>_xlfn.IFNA(VLOOKUP(Table1[[#This Row],[Tên đối tượng]],'DANH MỤC ĐỐI TƯỢNG'!A:F,6,0),"")</f>
        <v>0</v>
      </c>
      <c r="H267" t="str">
        <f>_xlfn.IFNA(VLOOKUP(Table1[[#This Row],[Tên đối tượng]],'DANH MỤC ĐỐI TƯỢNG'!A:I,9,0),"")</f>
        <v>Ngân hàng TMCP công thương Việt Nam-CN Quang Minh</v>
      </c>
      <c r="I267" t="str">
        <f>_xlfn.IFNA(VLOOKUP(Table1[[#This Row],[Tên đối tượng]],'DANH MỤC ĐỐI TƯỢNG'!A:J,10,0),"")</f>
        <v>112002620808</v>
      </c>
    </row>
    <row r="268" spans="1:9" x14ac:dyDescent="0.3">
      <c r="A268">
        <v>264</v>
      </c>
      <c r="B268" t="s">
        <v>520</v>
      </c>
      <c r="C268" t="s">
        <v>521</v>
      </c>
      <c r="D268" t="str">
        <f t="shared" si="8"/>
        <v>264. V10316</v>
      </c>
      <c r="E268" s="5" t="str">
        <f t="shared" ca="1" si="9"/>
        <v>Công ty TNHH một thành viên cao su CHƯ PĂH</v>
      </c>
      <c r="F268" t="str">
        <f>IFERROR(VLOOKUP(Table1[[#This Row],[Tên đối tượng]],'DANH MỤC ĐỐI TƯỢNG'!A:E,5,0),"")</f>
        <v>01 Nguyễn Thị Minh Khai, Thị Trấn Phú Hòa, huyện Chư Păh, tỉnh Gia Lai, Việt Nam</v>
      </c>
      <c r="G268">
        <f>_xlfn.IFNA(VLOOKUP(Table1[[#This Row],[Tên đối tượng]],'DANH MỤC ĐỐI TƯỢNG'!A:F,6,0),"")</f>
        <v>0</v>
      </c>
      <c r="H268" t="str">
        <f>_xlfn.IFNA(VLOOKUP(Table1[[#This Row],[Tên đối tượng]],'DANH MỤC ĐỐI TƯỢNG'!A:I,9,0),"")</f>
        <v>Ngân hàng TMCP Sài Gòn-Hà Nội</v>
      </c>
      <c r="I268" t="str">
        <f>_xlfn.IFNA(VLOOKUP(Table1[[#This Row],[Tên đối tượng]],'DANH MỤC ĐỐI TƯỢNG'!A:J,10,0),"")</f>
        <v>1001783943</v>
      </c>
    </row>
    <row r="269" spans="1:9" x14ac:dyDescent="0.3">
      <c r="A269">
        <v>265</v>
      </c>
      <c r="B269" t="s">
        <v>522</v>
      </c>
      <c r="C269" t="s">
        <v>523</v>
      </c>
      <c r="D269" t="str">
        <f t="shared" si="8"/>
        <v>265. V10106</v>
      </c>
      <c r="E269" s="5" t="str">
        <f t="shared" ca="1" si="9"/>
        <v>Công Ty TNHH Một Thành Viên Cơ Khí Hoàng Sơn</v>
      </c>
      <c r="F269" t="str">
        <f>IFERROR(VLOOKUP(Table1[[#This Row],[Tên đối tượng]],'DANH MỤC ĐỐI TƯỢNG'!A:E,5,0),"")</f>
        <v>Số 15A, Tổ 6, Đường 5/3, Hùng Vương, Q. Hồng Bàng, TP.Hải Phòng</v>
      </c>
      <c r="G269" t="str">
        <f>_xlfn.IFNA(VLOOKUP(Table1[[#This Row],[Tên đối tượng]],'DANH MỤC ĐỐI TƯỢNG'!A:F,6,0),"")</f>
        <v>0201012492</v>
      </c>
      <c r="H269" t="str">
        <f>_xlfn.IFNA(VLOOKUP(Table1[[#This Row],[Tên đối tượng]],'DANH MỤC ĐỐI TƯỢNG'!A:I,9,0),"")</f>
        <v>VIB - Hồng Bàng - Hải Phòng</v>
      </c>
      <c r="I269" t="str">
        <f>_xlfn.IFNA(VLOOKUP(Table1[[#This Row],[Tên đối tượng]],'DANH MỤC ĐỐI TƯỢNG'!A:J,10,0),"")</f>
        <v>012704060017161</v>
      </c>
    </row>
    <row r="270" spans="1:9" x14ac:dyDescent="0.3">
      <c r="A270">
        <v>266</v>
      </c>
      <c r="B270" t="s">
        <v>524</v>
      </c>
      <c r="C270" t="s">
        <v>525</v>
      </c>
      <c r="D270" t="str">
        <f t="shared" si="8"/>
        <v>266. V10199</v>
      </c>
      <c r="E270" s="5" t="str">
        <f t="shared" ca="1" si="9"/>
        <v>Công ty TNHH một thành viên cơ khí Minh Lượng</v>
      </c>
      <c r="F270" t="str">
        <f>IFERROR(VLOOKUP(Table1[[#This Row],[Tên đối tượng]],'DANH MỤC ĐỐI TƯỢNG'!A:E,5,0),"")</f>
        <v>Số 761 đường 5/5, phường Hùng Vương, quận Hồng Bàng, Hải Phòng</v>
      </c>
      <c r="G270" t="str">
        <f>_xlfn.IFNA(VLOOKUP(Table1[[#This Row],[Tên đối tượng]],'DANH MỤC ĐỐI TƯỢNG'!A:F,6,0),"")</f>
        <v>0201114021</v>
      </c>
      <c r="H270" t="str">
        <f>_xlfn.IFNA(VLOOKUP(Table1[[#This Row],[Tên đối tượng]],'DANH MỤC ĐỐI TƯỢNG'!A:I,9,0),"")</f>
        <v>Á Châu - PGD Quán Toan</v>
      </c>
      <c r="I270" t="str">
        <f>_xlfn.IFNA(VLOOKUP(Table1[[#This Row],[Tên đối tượng]],'DANH MỤC ĐỐI TƯỢNG'!A:J,10,0),"")</f>
        <v>90889119</v>
      </c>
    </row>
    <row r="271" spans="1:9" x14ac:dyDescent="0.3">
      <c r="A271">
        <v>267</v>
      </c>
      <c r="B271" t="s">
        <v>526</v>
      </c>
      <c r="C271" t="s">
        <v>527</v>
      </c>
      <c r="D271" t="str">
        <f t="shared" si="8"/>
        <v>267. V10248</v>
      </c>
      <c r="E271" s="5" t="str">
        <f t="shared" ca="1" si="9"/>
        <v>Công ty TNHH công nghệ máy đo khí Riken Việt</v>
      </c>
      <c r="F271" t="str">
        <f>IFERROR(VLOOKUP(Table1[[#This Row],[Tên đối tượng]],'DANH MỤC ĐỐI TƯỢNG'!A:E,5,0),"")</f>
        <v>79/1 Lý Chính Thắng, Phường Võ Thị Sáu, Quận 3, Thành phố Hồ Chí Minh, Việt Nam</v>
      </c>
      <c r="G271" t="str">
        <f>_xlfn.IFNA(VLOOKUP(Table1[[#This Row],[Tên đối tượng]],'DANH MỤC ĐỐI TƯỢNG'!A:F,6,0),"")</f>
        <v>0312975474</v>
      </c>
      <c r="H271" t="str">
        <f>_xlfn.IFNA(VLOOKUP(Table1[[#This Row],[Tên đối tượng]],'DANH MỤC ĐỐI TƯỢNG'!A:I,9,0),"")</f>
        <v>Ngân hàng TMCP Ngoại thương Việt Nam - Chi nhánh Gia Định</v>
      </c>
      <c r="I271" t="str">
        <f>_xlfn.IFNA(VLOOKUP(Table1[[#This Row],[Tên đối tượng]],'DANH MỤC ĐỐI TƯỢNG'!A:J,10,0),"")</f>
        <v>1015054191</v>
      </c>
    </row>
    <row r="272" spans="1:9" x14ac:dyDescent="0.3">
      <c r="A272">
        <v>268</v>
      </c>
      <c r="B272" t="s">
        <v>528</v>
      </c>
      <c r="C272" t="s">
        <v>529</v>
      </c>
      <c r="D272" t="str">
        <f t="shared" si="8"/>
        <v>268. V10368</v>
      </c>
      <c r="E272" s="5" t="str">
        <f t="shared" ca="1" si="9"/>
        <v>Công ty TNHH Một thành viên thoát nước Hải Phòng</v>
      </c>
      <c r="F272" t="str">
        <f>IFERROR(VLOOKUP(Table1[[#This Row],[Tên đối tượng]],'DANH MỤC ĐỐI TƯỢNG'!A:E,5,0),"")</f>
        <v>Số 1 Lý Tự Trọng - P.Minh Khai, Q. Hồng Bàng, TP Hải Phòng</v>
      </c>
      <c r="G272">
        <f>_xlfn.IFNA(VLOOKUP(Table1[[#This Row],[Tên đối tượng]],'DANH MỤC ĐỐI TƯỢNG'!A:F,6,0),"")</f>
        <v>0</v>
      </c>
      <c r="H272" t="str">
        <f>_xlfn.IFNA(VLOOKUP(Table1[[#This Row],[Tên đối tượng]],'DANH MỤC ĐỐI TƯỢNG'!A:I,9,0),"")</f>
        <v>Ngân hàng TMCP Đầu tư và phát triển Việt Nam - CN Hải Phòng</v>
      </c>
      <c r="I272" t="str">
        <f>_xlfn.IFNA(VLOOKUP(Table1[[#This Row],[Tên đối tượng]],'DANH MỤC ĐỐI TƯỢNG'!A:J,10,0),"")</f>
        <v>32110000000911</v>
      </c>
    </row>
    <row r="273" spans="1:9" x14ac:dyDescent="0.3">
      <c r="A273">
        <v>269</v>
      </c>
      <c r="B273" t="s">
        <v>530</v>
      </c>
      <c r="C273" t="s">
        <v>531</v>
      </c>
      <c r="D273" t="str">
        <f t="shared" si="8"/>
        <v>269. V10184</v>
      </c>
      <c r="E273" s="5" t="str">
        <f t="shared" ca="1" si="9"/>
        <v>Công ty TNHH MTV Điện Lực Hải Phòng</v>
      </c>
      <c r="F273" t="str">
        <f>IFERROR(VLOOKUP(Table1[[#This Row],[Tên đối tượng]],'DANH MỤC ĐỐI TƯỢNG'!A:E,5,0),"")</f>
        <v>Số 9 Trần Hưng Đạo - Quận Hồng Bàng - TP. Hải Phòng</v>
      </c>
      <c r="G273" t="str">
        <f>_xlfn.IFNA(VLOOKUP(Table1[[#This Row],[Tên đối tượng]],'DANH MỤC ĐỐI TƯỢNG'!A:F,6,0),"")</f>
        <v>0200340211</v>
      </c>
      <c r="H273" t="str">
        <f>_xlfn.IFNA(VLOOKUP(Table1[[#This Row],[Tên đối tượng]],'DANH MỤC ĐỐI TƯỢNG'!A:I,9,0),"")</f>
        <v>NH TMCP ngoại thương Việt Nam - CN Hải phòng</v>
      </c>
      <c r="I273" t="str">
        <f>_xlfn.IFNA(VLOOKUP(Table1[[#This Row],[Tên đối tượng]],'DANH MỤC ĐỐI TƯỢNG'!A:J,10,0),"")</f>
        <v>0031002016688</v>
      </c>
    </row>
    <row r="274" spans="1:9" x14ac:dyDescent="0.3">
      <c r="A274">
        <v>270</v>
      </c>
      <c r="B274" t="s">
        <v>532</v>
      </c>
      <c r="C274" t="s">
        <v>533</v>
      </c>
      <c r="D274" t="str">
        <f t="shared" si="8"/>
        <v>270. V10150</v>
      </c>
      <c r="E274" s="5" t="str">
        <f t="shared" ca="1" si="9"/>
        <v>Công ty TNHH MTV Micro Precision Calibration Việt Nam</v>
      </c>
      <c r="F274" t="str">
        <f>IFERROR(VLOOKUP(Table1[[#This Row],[Tên đối tượng]],'DANH MỤC ĐỐI TƯỢNG'!A:E,5,0),"")</f>
        <v>Phòng 201, Lầu 2, tòa nhà văn phòng Sacom-chíp Sáng (BCIS), Lô T2-4, Đường D1, Khu công nghệ cao quận 9, TP.HCM</v>
      </c>
      <c r="G274" t="str">
        <f>_xlfn.IFNA(VLOOKUP(Table1[[#This Row],[Tên đối tượng]],'DANH MỤC ĐỐI TƯỢNG'!A:F,6,0),"")</f>
        <v>0311586524</v>
      </c>
      <c r="H274" t="str">
        <f>_xlfn.IFNA(VLOOKUP(Table1[[#This Row],[Tên đối tượng]],'DANH MỤC ĐỐI TƯỢNG'!A:I,9,0),"")</f>
        <v>Vietcombank - CN Thủ Đức, PGD Bình Thọ,Tp HCM</v>
      </c>
      <c r="I274" t="str">
        <f>_xlfn.IFNA(VLOOKUP(Table1[[#This Row],[Tên đối tượng]],'DANH MỤC ĐỐI TƯỢNG'!A:J,10,0),"")</f>
        <v>0381000359568</v>
      </c>
    </row>
    <row r="275" spans="1:9" x14ac:dyDescent="0.3">
      <c r="A275">
        <v>271</v>
      </c>
      <c r="B275" t="s">
        <v>534</v>
      </c>
      <c r="C275" t="s">
        <v>535</v>
      </c>
      <c r="D275" t="str">
        <f t="shared" si="8"/>
        <v>271. V10023</v>
      </c>
      <c r="E275" s="5" t="str">
        <f t="shared" ca="1" si="9"/>
        <v>Công ty TNHH NEC Việt Nam</v>
      </c>
      <c r="F275" t="str">
        <f>IFERROR(VLOOKUP(Table1[[#This Row],[Tên đối tượng]],'DANH MỤC ĐỐI TƯỢNG'!A:E,5,0),"")</f>
        <v>Tầng 12, 52 Lê Đại Hành,Phường Lê Đại Hành, Quận Hai Bà Trưng, Thành phố Hà Nội</v>
      </c>
      <c r="G275" t="str">
        <f>_xlfn.IFNA(VLOOKUP(Table1[[#This Row],[Tên đối tượng]],'DANH MỤC ĐỐI TƯỢNG'!A:F,6,0),"")</f>
        <v>0101942800</v>
      </c>
      <c r="H275" t="str">
        <f>_xlfn.IFNA(VLOOKUP(Table1[[#This Row],[Tên đối tượng]],'DANH MỤC ĐỐI TƯỢNG'!A:I,9,0),"")</f>
        <v>Sumitomo Mitsui Banking Corporation - chi nhánh Hà Nội</v>
      </c>
      <c r="I275" t="str">
        <f>_xlfn.IFNA(VLOOKUP(Table1[[#This Row],[Tên đối tượng]],'DANH MỤC ĐỐI TƯỢNG'!A:J,10,0),"")</f>
        <v>1000333-1 (VND)</v>
      </c>
    </row>
    <row r="276" spans="1:9" x14ac:dyDescent="0.3">
      <c r="A276">
        <v>272</v>
      </c>
      <c r="B276" t="s">
        <v>536</v>
      </c>
      <c r="C276" t="s">
        <v>537</v>
      </c>
      <c r="D276" t="str">
        <f t="shared" si="8"/>
        <v>272. V10357</v>
      </c>
      <c r="E276" s="5" t="str">
        <f t="shared" ca="1" si="9"/>
        <v>Công ty TNHH Nichias Việt Nam</v>
      </c>
      <c r="F276" t="str">
        <f>IFERROR(VLOOKUP(Table1[[#This Row],[Tên đối tượng]],'DANH MỤC ĐỐI TƯỢNG'!A:E,5,0),"")</f>
        <v>Phòng 12-K, Tầng 12, Center Building, Hapulico Complex, Số 1 Nguyễn Huy Tưởng, phường Thanh Xuân Trung,quận Thanh Xuân, thành ph</v>
      </c>
      <c r="G276">
        <f>_xlfn.IFNA(VLOOKUP(Table1[[#This Row],[Tên đối tượng]],'DANH MỤC ĐỐI TƯỢNG'!A:F,6,0),"")</f>
        <v>0</v>
      </c>
      <c r="H276" t="str">
        <f>_xlfn.IFNA(VLOOKUP(Table1[[#This Row],[Tên đối tượng]],'DANH MỤC ĐỐI TƯỢNG'!A:I,9,0),"")</f>
        <v>MIZUHO BANK , LTD - Hà Nội</v>
      </c>
      <c r="I276" t="str">
        <f>_xlfn.IFNA(VLOOKUP(Table1[[#This Row],[Tên đối tượng]],'DANH MỤC ĐỐI TƯỢNG'!A:J,10,0),"")</f>
        <v>F15-795-009213 (USD) / H15-795-009221 (VND)</v>
      </c>
    </row>
    <row r="277" spans="1:9" x14ac:dyDescent="0.3">
      <c r="A277">
        <v>273</v>
      </c>
      <c r="B277" t="s">
        <v>538</v>
      </c>
      <c r="C277" t="s">
        <v>539</v>
      </c>
      <c r="D277" t="str">
        <f t="shared" si="8"/>
        <v>273. V10345</v>
      </c>
      <c r="E277" s="5" t="str">
        <f t="shared" ca="1" si="9"/>
        <v>Công ty TNHH Nichiden Việt Nam</v>
      </c>
      <c r="F277" t="str">
        <f>IFERROR(VLOOKUP(Table1[[#This Row],[Tên đối tượng]],'DANH MỤC ĐỐI TƯỢNG'!A:E,5,0),"")</f>
        <v>12A, The Galleria building. 258 Nam Kỳ Khởi Nghĩa, Phường Võ Thị Sáu, Quận 3, Thành phố Hồ Chí Minh, Việt Nam</v>
      </c>
      <c r="G277">
        <f>_xlfn.IFNA(VLOOKUP(Table1[[#This Row],[Tên đối tượng]],'DANH MỤC ĐỐI TƯỢNG'!A:F,6,0),"")</f>
        <v>0</v>
      </c>
      <c r="H277" t="str">
        <f>_xlfn.IFNA(VLOOKUP(Table1[[#This Row],[Tên đối tượng]],'DANH MỤC ĐỐI TƯỢNG'!A:I,9,0),"")</f>
        <v>Sumitomo Mitsui banking corporation - CN Hồ Chí Minh</v>
      </c>
      <c r="I277" t="str">
        <f>_xlfn.IFNA(VLOOKUP(Table1[[#This Row],[Tên đối tượng]],'DANH MỤC ĐỐI TƯỢNG'!A:J,10,0),"")</f>
        <v>10072902</v>
      </c>
    </row>
    <row r="278" spans="1:9" x14ac:dyDescent="0.3">
      <c r="A278">
        <v>274</v>
      </c>
      <c r="B278" t="s">
        <v>540</v>
      </c>
      <c r="C278" t="s">
        <v>541</v>
      </c>
      <c r="D278" t="str">
        <f t="shared" si="8"/>
        <v>274. V10206</v>
      </c>
      <c r="E278" s="5" t="str">
        <f t="shared" ca="1" si="9"/>
        <v>Công ty TNHH Nippon Express Engineering (Việt Nam)</v>
      </c>
      <c r="F278" t="str">
        <f>IFERROR(VLOOKUP(Table1[[#This Row],[Tên đối tượng]],'DANH MỤC ĐỐI TƯỢNG'!A:E,5,0),"")</f>
        <v>Khu E, tầng 7, số 12 Trần Phú, quận Ngô Quyền, thành phố Hải Phòng, Việt Nam</v>
      </c>
      <c r="G278" t="str">
        <f>_xlfn.IFNA(VLOOKUP(Table1[[#This Row],[Tên đối tượng]],'DANH MỤC ĐỐI TƯỢNG'!A:F,6,0),"")</f>
        <v>0201380111</v>
      </c>
      <c r="H278" t="str">
        <f>_xlfn.IFNA(VLOOKUP(Table1[[#This Row],[Tên đối tượng]],'DANH MỤC ĐỐI TƯỢNG'!A:I,9,0),"")</f>
        <v>Vietcombank - CN Hải Phòng</v>
      </c>
      <c r="I278" t="str">
        <f>_xlfn.IFNA(VLOOKUP(Table1[[#This Row],[Tên đối tượng]],'DANH MỤC ĐỐI TƯỢNG'!A:J,10,0),"")</f>
        <v>0031000184980</v>
      </c>
    </row>
    <row r="279" spans="1:9" x14ac:dyDescent="0.3">
      <c r="A279">
        <v>275</v>
      </c>
      <c r="B279" t="s">
        <v>542</v>
      </c>
      <c r="C279" t="s">
        <v>543</v>
      </c>
      <c r="D279" t="str">
        <f t="shared" si="8"/>
        <v>275. V10056</v>
      </c>
      <c r="E279" s="5" t="str">
        <f t="shared" ca="1" si="9"/>
        <v>Công ty TNHH NNMSAFETY</v>
      </c>
      <c r="F279" t="str">
        <f>IFERROR(VLOOKUP(Table1[[#This Row],[Tên đối tượng]],'DANH MỤC ĐỐI TƯỢNG'!A:E,5,0),"")</f>
        <v>Số nhà 14, ngõ 28, phố Nguyên Hồng, phường Láng Hạ, quận Đống Đa, thành phố Hà Nội</v>
      </c>
      <c r="G279" t="str">
        <f>_xlfn.IFNA(VLOOKUP(Table1[[#This Row],[Tên đối tượng]],'DANH MỤC ĐỐI TƯỢNG'!A:F,6,0),"")</f>
        <v>0106200030</v>
      </c>
      <c r="H279" t="str">
        <f>_xlfn.IFNA(VLOOKUP(Table1[[#This Row],[Tên đối tượng]],'DANH MỤC ĐỐI TƯỢNG'!A:I,9,0),"")</f>
        <v>ACB - PGD Trần Duy Hưng</v>
      </c>
      <c r="I279" t="str">
        <f>_xlfn.IFNA(VLOOKUP(Table1[[#This Row],[Tên đối tượng]],'DANH MỤC ĐỐI TƯỢNG'!A:J,10,0),"")</f>
        <v>163967329</v>
      </c>
    </row>
    <row r="280" spans="1:9" x14ac:dyDescent="0.3">
      <c r="A280">
        <v>276</v>
      </c>
      <c r="B280" t="s">
        <v>544</v>
      </c>
      <c r="C280" t="s">
        <v>545</v>
      </c>
      <c r="D280" t="str">
        <f t="shared" si="8"/>
        <v>276. V10200</v>
      </c>
      <c r="E280" s="5" t="str">
        <f t="shared" ca="1" si="9"/>
        <v>Công ty TNHH Nomura Fotranco</v>
      </c>
      <c r="F280" t="str">
        <f>IFERROR(VLOOKUP(Table1[[#This Row],[Tên đối tượng]],'DANH MỤC ĐỐI TƯỢNG'!A:E,5,0),"")</f>
        <v>174 Lê Lai, P.Máy chai, Q.Ngô quyền, Hải phòng</v>
      </c>
      <c r="G280" t="str">
        <f>_xlfn.IFNA(VLOOKUP(Table1[[#This Row],[Tên đối tượng]],'DANH MỤC ĐỐI TƯỢNG'!A:F,6,0),"")</f>
        <v>0200108314</v>
      </c>
      <c r="H280" t="str">
        <f>_xlfn.IFNA(VLOOKUP(Table1[[#This Row],[Tên đối tượng]],'DANH MỤC ĐỐI TƯỢNG'!A:I,9,0),"")</f>
        <v>TMCP ngoại thương Việt Nam - CN Hải phòng</v>
      </c>
      <c r="I280" t="str">
        <f>_xlfn.IFNA(VLOOKUP(Table1[[#This Row],[Tên đối tượng]],'DANH MỤC ĐỐI TƯỢNG'!A:J,10,0),"")</f>
        <v>003 100 0002997</v>
      </c>
    </row>
    <row r="281" spans="1:9" x14ac:dyDescent="0.3">
      <c r="A281">
        <v>277</v>
      </c>
      <c r="B281" t="s">
        <v>546</v>
      </c>
      <c r="C281" t="s">
        <v>547</v>
      </c>
      <c r="D281" t="str">
        <f t="shared" si="8"/>
        <v>277. V10115</v>
      </c>
      <c r="E281" s="5" t="str">
        <f t="shared" ca="1" si="9"/>
        <v>Công ty TNHH Ojitex Hải Phòng</v>
      </c>
      <c r="F281" t="str">
        <f>IFERROR(VLOOKUP(Table1[[#This Row],[Tên đối tượng]],'DANH MỤC ĐỐI TƯỢNG'!A:E,5,0),"")</f>
        <v>Lô B1/2/7/8, Khu công nghiệp Nomura Hải Phòng, huyện An Dương, thành phố Hải Phòng, Việt Nam</v>
      </c>
      <c r="G281" t="str">
        <f>_xlfn.IFNA(VLOOKUP(Table1[[#This Row],[Tên đối tượng]],'DANH MỤC ĐỐI TƯỢNG'!A:F,6,0),"")</f>
        <v>0200575693</v>
      </c>
      <c r="H281" t="str">
        <f>_xlfn.IFNA(VLOOKUP(Table1[[#This Row],[Tên đối tượng]],'DANH MỤC ĐỐI TƯỢNG'!A:I,9,0),"")</f>
        <v>Mizuho Corporate Bank, Ltd - CN thành phố Hà Nội</v>
      </c>
      <c r="I281" t="str">
        <f>_xlfn.IFNA(VLOOKUP(Table1[[#This Row],[Tên đối tượng]],'DANH MỤC ĐỐI TƯỢNG'!A:J,10,0),"")</f>
        <v>F15-795-001639</v>
      </c>
    </row>
    <row r="282" spans="1:9" x14ac:dyDescent="0.3">
      <c r="A282">
        <v>278</v>
      </c>
      <c r="B282" t="s">
        <v>548</v>
      </c>
      <c r="C282" t="s">
        <v>549</v>
      </c>
      <c r="D282" t="str">
        <f t="shared" si="8"/>
        <v>278. V10020</v>
      </c>
      <c r="E282" s="5" t="str">
        <f t="shared" ca="1" si="9"/>
        <v>Công ty TNHH Osco International</v>
      </c>
      <c r="F282" t="str">
        <f>IFERROR(VLOOKUP(Table1[[#This Row],[Tên đối tượng]],'DANH MỤC ĐỐI TƯỢNG'!A:E,5,0),"")</f>
        <v>Thửa đất số 118, Cụm công nghiệp thị trấn Phùng, thị trấn Phùng, Huyện Đan Phượng, Thành phố Hà Nội, Việt Nam</v>
      </c>
      <c r="G282" t="str">
        <f>_xlfn.IFNA(VLOOKUP(Table1[[#This Row],[Tên đối tượng]],'DANH MỤC ĐỐI TƯỢNG'!A:F,6,0),"")</f>
        <v>0102597963</v>
      </c>
      <c r="H282" t="str">
        <f>_xlfn.IFNA(VLOOKUP(Table1[[#This Row],[Tên đối tượng]],'DANH MỤC ĐỐI TƯỢNG'!A:I,9,0),"")</f>
        <v>Mizuho chi nhánh Hà Nội</v>
      </c>
      <c r="I282" t="str">
        <f>_xlfn.IFNA(VLOOKUP(Table1[[#This Row],[Tên đối tượng]],'DANH MỤC ĐỐI TƯỢNG'!A:J,10,0),"")</f>
        <v>H15-795-005706</v>
      </c>
    </row>
    <row r="283" spans="1:9" x14ac:dyDescent="0.3">
      <c r="A283">
        <v>279</v>
      </c>
      <c r="B283" t="s">
        <v>550</v>
      </c>
      <c r="C283" t="s">
        <v>551</v>
      </c>
      <c r="D283" t="str">
        <f t="shared" si="8"/>
        <v>279. V10007</v>
      </c>
      <c r="E283" s="5" t="str">
        <f t="shared" ca="1" si="9"/>
        <v>Công ty TNHH phát triển công nghệ Thái Sơn</v>
      </c>
      <c r="F283" t="str">
        <f>IFERROR(VLOOKUP(Table1[[#This Row],[Tên đối tượng]],'DANH MỤC ĐỐI TƯỢNG'!A:E,5,0),"")</f>
        <v>99B Tổ 70, Hồ Quỳnh, P.Thanh Nhàn, Q.Hai Bà Trưng, TP.Hà Nội</v>
      </c>
      <c r="G283" t="str">
        <f>_xlfn.IFNA(VLOOKUP(Table1[[#This Row],[Tên đối tượng]],'DANH MỤC ĐỐI TƯỢNG'!A:F,6,0),"")</f>
        <v>0101300842</v>
      </c>
      <c r="H283" t="str">
        <f>_xlfn.IFNA(VLOOKUP(Table1[[#This Row],[Tên đối tượng]],'DANH MỤC ĐỐI TƯỢNG'!A:I,9,0),"")</f>
        <v>NH TMCP Ngoại Thương VN - CN Thăng Long</v>
      </c>
      <c r="I283" t="str">
        <f>_xlfn.IFNA(VLOOKUP(Table1[[#This Row],[Tên đối tượng]],'DANH MỤC ĐỐI TƯỢNG'!A:J,10,0),"")</f>
        <v>049 100 147 4862</v>
      </c>
    </row>
    <row r="284" spans="1:9" x14ac:dyDescent="0.3">
      <c r="A284">
        <v>280</v>
      </c>
      <c r="B284" t="s">
        <v>552</v>
      </c>
      <c r="C284" t="s">
        <v>553</v>
      </c>
      <c r="D284" t="str">
        <f t="shared" si="8"/>
        <v>280. V10204</v>
      </c>
      <c r="E284" s="5" t="str">
        <f t="shared" ca="1" si="9"/>
        <v>Công ty TNHH Phúc Tăng</v>
      </c>
      <c r="F284" t="str">
        <f>IFERROR(VLOOKUP(Table1[[#This Row],[Tên đối tượng]],'DANH MỤC ĐỐI TƯỢNG'!A:E,5,0),"")</f>
        <v>Số 29/232 Trường Chinh, Kiến An, Hải Phòng</v>
      </c>
      <c r="G284" t="str">
        <f>_xlfn.IFNA(VLOOKUP(Table1[[#This Row],[Tên đối tượng]],'DANH MỤC ĐỐI TƯỢNG'!A:F,6,0),"")</f>
        <v>0200490584</v>
      </c>
      <c r="H284" t="str">
        <f>_xlfn.IFNA(VLOOKUP(Table1[[#This Row],[Tên đối tượng]],'DANH MỤC ĐỐI TƯỢNG'!A:I,9,0),"")</f>
        <v>VIB Bank - CN Hồng bàng</v>
      </c>
      <c r="I284" t="str">
        <f>_xlfn.IFNA(VLOOKUP(Table1[[#This Row],[Tên đối tượng]],'DANH MỤC ĐỐI TƯỢNG'!A:J,10,0),"")</f>
        <v>012704060002177</v>
      </c>
    </row>
    <row r="285" spans="1:9" x14ac:dyDescent="0.3">
      <c r="A285">
        <v>281</v>
      </c>
      <c r="B285" t="s">
        <v>554</v>
      </c>
      <c r="C285" t="s">
        <v>555</v>
      </c>
      <c r="D285" t="str">
        <f t="shared" si="8"/>
        <v>281. V10353</v>
      </c>
      <c r="E285" s="5" t="str">
        <f t="shared" ca="1" si="9"/>
        <v>Công ty TNHH Printec Ohtomi</v>
      </c>
      <c r="F285" t="str">
        <f>IFERROR(VLOOKUP(Table1[[#This Row],[Tên đối tượng]],'DANH MỤC ĐỐI TƯỢNG'!A:E,5,0),"")</f>
        <v>Số 7, đường 3a, khu công nghiệp, đô thị và dịch vụ VSIP Bắc Ninh, phường Phù Chẩn, TP Từ Sơn, TỈnh Bắc Ninh, Việt Nam</v>
      </c>
      <c r="G285">
        <f>_xlfn.IFNA(VLOOKUP(Table1[[#This Row],[Tên đối tượng]],'DANH MỤC ĐỐI TƯỢNG'!A:F,6,0),"")</f>
        <v>0</v>
      </c>
      <c r="H285" t="str">
        <f>_xlfn.IFNA(VLOOKUP(Table1[[#This Row],[Tên đối tượng]],'DANH MỤC ĐỐI TƯỢNG'!A:I,9,0),"")</f>
        <v>Vietcombank / Bắc Ninh</v>
      </c>
      <c r="I285" t="str">
        <f>_xlfn.IFNA(VLOOKUP(Table1[[#This Row],[Tên đối tượng]],'DANH MỤC ĐỐI TƯỢNG'!A:J,10,0),"")</f>
        <v>0351370797044</v>
      </c>
    </row>
    <row r="286" spans="1:9" x14ac:dyDescent="0.3">
      <c r="A286">
        <v>282</v>
      </c>
      <c r="B286" t="s">
        <v>556</v>
      </c>
      <c r="C286" t="s">
        <v>557</v>
      </c>
      <c r="D286" t="str">
        <f t="shared" si="8"/>
        <v>282. V10066</v>
      </c>
      <c r="E286" s="5" t="str">
        <f t="shared" ca="1" si="9"/>
        <v>Công ty TNHH quảng cáo-in ấn-trang trí nội ngoại thất Hoa Việt</v>
      </c>
      <c r="F286" t="str">
        <f>IFERROR(VLOOKUP(Table1[[#This Row],[Tên đối tượng]],'DANH MỤC ĐỐI TƯỢNG'!A:E,5,0),"")</f>
        <v>Số 23/70/11 Đông Khê, quận Ngô Quyền HP</v>
      </c>
      <c r="G286" t="str">
        <f>_xlfn.IFNA(VLOOKUP(Table1[[#This Row],[Tên đối tượng]],'DANH MỤC ĐỐI TƯỢNG'!A:F,6,0),"")</f>
        <v>0200964160</v>
      </c>
      <c r="H286" t="str">
        <f>_xlfn.IFNA(VLOOKUP(Table1[[#This Row],[Tên đối tượng]],'DANH MỤC ĐỐI TƯỢNG'!A:I,9,0),"")</f>
        <v>Ngân hàng TMCP Quân Đội - CN Hải Phòng</v>
      </c>
      <c r="I286" t="str">
        <f>_xlfn.IFNA(VLOOKUP(Table1[[#This Row],[Tên đối tượng]],'DANH MỤC ĐỐI TƯỢNG'!A:J,10,0),"")</f>
        <v>2541100155007</v>
      </c>
    </row>
    <row r="287" spans="1:9" x14ac:dyDescent="0.3">
      <c r="A287">
        <v>283</v>
      </c>
      <c r="B287" t="s">
        <v>558</v>
      </c>
      <c r="C287" t="s">
        <v>559</v>
      </c>
      <c r="D287" t="str">
        <f t="shared" si="8"/>
        <v>283. V10374</v>
      </c>
      <c r="E287" s="5" t="str">
        <f t="shared" ca="1" si="9"/>
        <v>Công ty TNHH Quang Huy</v>
      </c>
      <c r="F287" t="str">
        <f>IFERROR(VLOOKUP(Table1[[#This Row],[Tên đối tượng]],'DANH MỤC ĐỐI TƯỢNG'!A:E,5,0),"")</f>
        <v>Số 3B Trần Khánh Dư, Phường Máy Tơ, Quận Ngô Quyền, TP Hải Phòng</v>
      </c>
      <c r="G287">
        <f>_xlfn.IFNA(VLOOKUP(Table1[[#This Row],[Tên đối tượng]],'DANH MỤC ĐỐI TƯỢNG'!A:F,6,0),"")</f>
        <v>0</v>
      </c>
      <c r="H287" t="str">
        <f>_xlfn.IFNA(VLOOKUP(Table1[[#This Row],[Tên đối tượng]],'DANH MỤC ĐỐI TƯỢNG'!A:I,9,0),"")</f>
        <v>Ngân hàng ACB - CN Duyên Hải</v>
      </c>
      <c r="I287" t="str">
        <f>_xlfn.IFNA(VLOOKUP(Table1[[#This Row],[Tên đối tượng]],'DANH MỤC ĐỐI TƯỢNG'!A:J,10,0),"")</f>
        <v>80569719</v>
      </c>
    </row>
    <row r="288" spans="1:9" x14ac:dyDescent="0.3">
      <c r="A288">
        <v>284</v>
      </c>
      <c r="B288" t="s">
        <v>560</v>
      </c>
      <c r="C288" t="s">
        <v>561</v>
      </c>
      <c r="D288" t="str">
        <f t="shared" si="8"/>
        <v>284. V10294</v>
      </c>
      <c r="E288" s="5" t="str">
        <f t="shared" ca="1" si="9"/>
        <v>CÔNG TY TNHH QUỐC TẾ THIỀN SINH THÁI</v>
      </c>
      <c r="F288" t="str">
        <f>IFERROR(VLOOKUP(Table1[[#This Row],[Tên đối tượng]],'DANH MỤC ĐỐI TƯỢNG'!A:E,5,0),"")</f>
        <v>48 Đường A4, Phường 12 Quận Tân Bình, Thành phố Hồ Chí Minh</v>
      </c>
      <c r="G288">
        <f>_xlfn.IFNA(VLOOKUP(Table1[[#This Row],[Tên đối tượng]],'DANH MỤC ĐỐI TƯỢNG'!A:F,6,0),"")</f>
        <v>0</v>
      </c>
      <c r="H288" t="str">
        <f>_xlfn.IFNA(VLOOKUP(Table1[[#This Row],[Tên đối tượng]],'DANH MỤC ĐỐI TƯỢNG'!A:I,9,0),"")</f>
        <v>Ngân hàng TNHH một thành viên Public Việt Nam-CN Hồ Chí Minh</v>
      </c>
      <c r="I288" t="str">
        <f>_xlfn.IFNA(VLOOKUP(Table1[[#This Row],[Tên đối tượng]],'DANH MỤC ĐỐI TƯỢNG'!A:J,10,0),"")</f>
        <v>030-6-00-00-04654</v>
      </c>
    </row>
    <row r="289" spans="1:9" x14ac:dyDescent="0.3">
      <c r="A289">
        <v>285</v>
      </c>
      <c r="B289" t="s">
        <v>562</v>
      </c>
      <c r="C289" t="s">
        <v>563</v>
      </c>
      <c r="D289" t="str">
        <f t="shared" si="8"/>
        <v>285. V10293</v>
      </c>
      <c r="E289" s="5" t="str">
        <f t="shared" ca="1" si="9"/>
        <v>Công ty TNHH Rentokil Initial (Việt Nam)</v>
      </c>
      <c r="F289" t="str">
        <f>IFERROR(VLOOKUP(Table1[[#This Row],[Tên đối tượng]],'DANH MỤC ĐỐI TƯỢNG'!A:E,5,0),"")</f>
        <v>phường 15,  Số 268, đường Tô Hiến Thành, quận 10 thành phố Hồ Chí Minh</v>
      </c>
      <c r="G289">
        <f>_xlfn.IFNA(VLOOKUP(Table1[[#This Row],[Tên đối tượng]],'DANH MỤC ĐỐI TƯỢNG'!A:F,6,0),"")</f>
        <v>0</v>
      </c>
      <c r="H289">
        <f>_xlfn.IFNA(VLOOKUP(Table1[[#This Row],[Tên đối tượng]],'DANH MỤC ĐỐI TƯỢNG'!A:I,9,0),"")</f>
        <v>0</v>
      </c>
      <c r="I289">
        <f>_xlfn.IFNA(VLOOKUP(Table1[[#This Row],[Tên đối tượng]],'DANH MỤC ĐỐI TƯỢNG'!A:J,10,0),"")</f>
        <v>0</v>
      </c>
    </row>
    <row r="290" spans="1:9" x14ac:dyDescent="0.3">
      <c r="A290">
        <v>286</v>
      </c>
      <c r="B290" t="s">
        <v>564</v>
      </c>
      <c r="C290" t="s">
        <v>565</v>
      </c>
      <c r="D290" t="str">
        <f t="shared" si="8"/>
        <v>286. V10380</v>
      </c>
      <c r="E290" s="5" t="str">
        <f ca="1">IF(B290&lt;&gt;"",HYPERLINK($A$2&amp;D290,C290),"")</f>
        <v>Công ty TNHH Sắc Việt</v>
      </c>
      <c r="F290" t="str">
        <f>IFERROR(VLOOKUP(Table1[[#This Row],[Tên đối tượng]],'DANH MỤC ĐỐI TƯỢNG'!A:E,5,0),"")</f>
        <v>Số 177/213 Thiên Lôi - Vĩnh Niệm - Lê Chân- hải Phòng</v>
      </c>
      <c r="G290">
        <f>_xlfn.IFNA(VLOOKUP(Table1[[#This Row],[Tên đối tượng]],'DANH MỤC ĐỐI TƯỢNG'!A:F,6,0),"")</f>
        <v>0</v>
      </c>
      <c r="H290" t="str">
        <f>_xlfn.IFNA(VLOOKUP(Table1[[#This Row],[Tên đối tượng]],'DANH MỤC ĐỐI TƯỢNG'!A:I,9,0),"")</f>
        <v>Ngân hàng TMCP kỹ thương Việt Nam -Techcombank CN Hải Phòng</v>
      </c>
      <c r="I290" t="str">
        <f>_xlfn.IFNA(VLOOKUP(Table1[[#This Row],[Tên đối tượng]],'DANH MỤC ĐỐI TƯỢNG'!A:J,10,0),"")</f>
        <v>10920843572014</v>
      </c>
    </row>
    <row r="291" spans="1:9" x14ac:dyDescent="0.3">
      <c r="A291">
        <v>287</v>
      </c>
      <c r="B291" t="s">
        <v>566</v>
      </c>
      <c r="C291" t="s">
        <v>567</v>
      </c>
      <c r="D291" t="str">
        <f t="shared" si="8"/>
        <v>287. V10161</v>
      </c>
      <c r="E291" s="5" t="str">
        <f t="shared" ca="1" si="9"/>
        <v>CÔNG TY TNHH SAEHWA IMC VINA</v>
      </c>
      <c r="F291" t="str">
        <f>IFERROR(VLOOKUP(Table1[[#This Row],[Tên đối tượng]],'DANH MỤC ĐỐI TƯỢNG'!A:E,5,0),"")</f>
        <v>26, Cheomdan yeonsin-ro 29beon-gil, Buk-gu, Gwangju, 61089, Korea</v>
      </c>
      <c r="G291">
        <f>_xlfn.IFNA(VLOOKUP(Table1[[#This Row],[Tên đối tượng]],'DANH MỤC ĐỐI TƯỢNG'!A:F,6,0),"")</f>
        <v>0</v>
      </c>
      <c r="H291">
        <f>_xlfn.IFNA(VLOOKUP(Table1[[#This Row],[Tên đối tượng]],'DANH MỤC ĐỐI TƯỢNG'!A:I,9,0),"")</f>
        <v>0</v>
      </c>
      <c r="I291">
        <f>_xlfn.IFNA(VLOOKUP(Table1[[#This Row],[Tên đối tượng]],'DANH MỤC ĐỐI TƯỢNG'!A:J,10,0),"")</f>
        <v>0</v>
      </c>
    </row>
    <row r="292" spans="1:9" x14ac:dyDescent="0.3">
      <c r="A292">
        <v>288</v>
      </c>
      <c r="B292" t="s">
        <v>568</v>
      </c>
      <c r="C292" t="s">
        <v>569</v>
      </c>
      <c r="D292" t="str">
        <f t="shared" si="8"/>
        <v>288. V10025</v>
      </c>
      <c r="E292" s="5" t="str">
        <f t="shared" ca="1" si="9"/>
        <v>Công ty TNHH Sản xuất - Thương mại Tân Quốc Hưng</v>
      </c>
      <c r="F292" t="str">
        <f>IFERROR(VLOOKUP(Table1[[#This Row],[Tên đối tượng]],'DANH MỤC ĐỐI TƯỢNG'!A:E,5,0),"")</f>
        <v>428 Quốc lộ 1A, khu phố 3, P.Bình Hưng Hòa B, Q. Bình Tân, TP.HCM, Việt Nam</v>
      </c>
      <c r="G292" t="str">
        <f>_xlfn.IFNA(VLOOKUP(Table1[[#This Row],[Tên đối tượng]],'DANH MỤC ĐỐI TƯỢNG'!A:F,6,0),"")</f>
        <v>0304239713</v>
      </c>
      <c r="H292" t="str">
        <f>_xlfn.IFNA(VLOOKUP(Table1[[#This Row],[Tên đối tượng]],'DANH MỤC ĐỐI TƯỢNG'!A:I,9,0),"")</f>
        <v>NH EXIM BANK, CN CHỢ LỚN</v>
      </c>
      <c r="I292" t="str">
        <f>_xlfn.IFNA(VLOOKUP(Table1[[#This Row],[Tên đối tượng]],'DANH MỤC ĐỐI TƯỢNG'!A:J,10,0),"")</f>
        <v>100414851011290</v>
      </c>
    </row>
    <row r="293" spans="1:9" x14ac:dyDescent="0.3">
      <c r="A293">
        <v>289</v>
      </c>
      <c r="B293" t="s">
        <v>570</v>
      </c>
      <c r="C293" t="s">
        <v>571</v>
      </c>
      <c r="D293" t="str">
        <f t="shared" si="8"/>
        <v>289. V10257</v>
      </c>
      <c r="E293" s="5" t="str">
        <f t="shared" ca="1" si="9"/>
        <v>Công ty TNHH Sản Xuất Bảo Hộ Lao Động Bảo An</v>
      </c>
      <c r="F293" t="str">
        <f>IFERROR(VLOOKUP(Table1[[#This Row],[Tên đối tượng]],'DANH MỤC ĐỐI TƯỢNG'!A:E,5,0),"")</f>
        <v>Số 1 Bến Bính, Phường Minh Khai, Quận Hồng Bàng, Thành phố Hải Phòng</v>
      </c>
      <c r="G293" t="str">
        <f>_xlfn.IFNA(VLOOKUP(Table1[[#This Row],[Tên đối tượng]],'DANH MỤC ĐỐI TƯỢNG'!A:F,6,0),"")</f>
        <v>0201616737</v>
      </c>
      <c r="H293" t="str">
        <f>_xlfn.IFNA(VLOOKUP(Table1[[#This Row],[Tên đối tượng]],'DANH MỤC ĐỐI TƯỢNG'!A:I,9,0),"")</f>
        <v>ACB Chi Nhánh Hải Phòng</v>
      </c>
      <c r="I293" t="str">
        <f>_xlfn.IFNA(VLOOKUP(Table1[[#This Row],[Tên đối tượng]],'DANH MỤC ĐỐI TƯỢNG'!A:J,10,0),"")</f>
        <v>194632799</v>
      </c>
    </row>
    <row r="294" spans="1:9" x14ac:dyDescent="0.3">
      <c r="A294">
        <v>290</v>
      </c>
      <c r="B294" t="s">
        <v>572</v>
      </c>
      <c r="C294" t="s">
        <v>573</v>
      </c>
      <c r="D294" t="str">
        <f t="shared" si="8"/>
        <v>290. V10151</v>
      </c>
      <c r="E294" s="5" t="str">
        <f ca="1">IF(B294&lt;&gt;"",HYPERLINK($A$2&amp;D294,C294),"")</f>
        <v>Công ty TNHH sản xuất thương mại Đức Hợp</v>
      </c>
      <c r="F294" t="str">
        <f>IFERROR(VLOOKUP(Table1[[#This Row],[Tên đối tượng]],'DANH MỤC ĐỐI TƯỢNG'!A:E,5,0),"")</f>
        <v>Thôn Nội Hợp, xã Nam Phong, huyện Phú Xuyên, thành phố Hà Nội</v>
      </c>
      <c r="G294" t="str">
        <f>_xlfn.IFNA(VLOOKUP(Table1[[#This Row],[Tên đối tượng]],'DANH MỤC ĐỐI TƯỢNG'!A:F,6,0),"")</f>
        <v>0500479398</v>
      </c>
      <c r="H294" t="str">
        <f>_xlfn.IFNA(VLOOKUP(Table1[[#This Row],[Tên đối tượng]],'DANH MỤC ĐỐI TƯỢNG'!A:I,9,0),"")</f>
        <v>Ngân hàng TMCP Công thương - CN Hoàng Mai</v>
      </c>
      <c r="I294" t="str">
        <f>_xlfn.IFNA(VLOOKUP(Table1[[#This Row],[Tên đối tượng]],'DANH MỤC ĐỐI TƯỢNG'!A:J,10,0),"")</f>
        <v>102010001617090</v>
      </c>
    </row>
    <row r="295" spans="1:9" x14ac:dyDescent="0.3">
      <c r="A295">
        <v>291</v>
      </c>
      <c r="B295" t="s">
        <v>574</v>
      </c>
      <c r="C295" t="s">
        <v>575</v>
      </c>
      <c r="D295" t="str">
        <f t="shared" si="8"/>
        <v>291. V10062</v>
      </c>
      <c r="E295" s="5" t="str">
        <f t="shared" ca="1" si="9"/>
        <v>Công Ty TNHH sản xuất thương mại Quang Minh</v>
      </c>
      <c r="F295" t="str">
        <f>IFERROR(VLOOKUP(Table1[[#This Row],[Tên đối tượng]],'DANH MỤC ĐỐI TƯỢNG'!A:E,5,0),"")</f>
        <v>Thôn 1 Do Nha-Tân Tiến-An Dương-Hải Phòng</v>
      </c>
      <c r="G295" t="str">
        <f>_xlfn.IFNA(VLOOKUP(Table1[[#This Row],[Tên đối tượng]],'DANH MỤC ĐỐI TƯỢNG'!A:F,6,0),"")</f>
        <v>0200826756</v>
      </c>
      <c r="H295" t="str">
        <f>_xlfn.IFNA(VLOOKUP(Table1[[#This Row],[Tên đối tượng]],'DANH MỤC ĐỐI TƯỢNG'!A:I,9,0),"")</f>
        <v>Ngân hàng TMCP Sài Gòn-Hà Nội - PGD Quán Toan,CN Hải Phòng</v>
      </c>
      <c r="I295" t="str">
        <f>_xlfn.IFNA(VLOOKUP(Table1[[#This Row],[Tên đối tượng]],'DANH MỤC ĐỐI TƯỢNG'!A:J,10,0),"")</f>
        <v>1001098272</v>
      </c>
    </row>
    <row r="296" spans="1:9" x14ac:dyDescent="0.3">
      <c r="A296">
        <v>292</v>
      </c>
      <c r="B296" t="s">
        <v>576</v>
      </c>
      <c r="C296" t="s">
        <v>577</v>
      </c>
      <c r="D296" t="str">
        <f t="shared" si="8"/>
        <v>292. V10342</v>
      </c>
      <c r="E296" s="5" t="str">
        <f t="shared" ca="1" si="9"/>
        <v>Công ty TNHH sản xuất thương mại và dịch vụ Đăng Phát</v>
      </c>
      <c r="F296" t="str">
        <f>IFERROR(VLOOKUP(Table1[[#This Row],[Tên đối tượng]],'DANH MỤC ĐỐI TƯỢNG'!A:E,5,0),"")</f>
        <v>Đội 4, thôn Lạc Thị,xã Ngọc Hồi, huyện Thanh Trì, Tp. Hà Nội</v>
      </c>
      <c r="G296">
        <f>_xlfn.IFNA(VLOOKUP(Table1[[#This Row],[Tên đối tượng]],'DANH MỤC ĐỐI TƯỢNG'!A:F,6,0),"")</f>
        <v>0</v>
      </c>
      <c r="H296" t="str">
        <f>_xlfn.IFNA(VLOOKUP(Table1[[#This Row],[Tên đối tượng]],'DANH MỤC ĐỐI TƯỢNG'!A:I,9,0),"")</f>
        <v>NH BIDV - CN Nam Hà Nội</v>
      </c>
      <c r="I296" t="str">
        <f>_xlfn.IFNA(VLOOKUP(Table1[[#This Row],[Tên đối tượng]],'DANH MỤC ĐỐI TƯỢNG'!A:J,10,0),"")</f>
        <v>21310000361355</v>
      </c>
    </row>
    <row r="297" spans="1:9" x14ac:dyDescent="0.3">
      <c r="A297">
        <v>293</v>
      </c>
      <c r="B297" t="s">
        <v>578</v>
      </c>
      <c r="C297" t="s">
        <v>579</v>
      </c>
      <c r="D297" t="str">
        <f t="shared" si="8"/>
        <v>293. V10221</v>
      </c>
      <c r="E297" s="5" t="str">
        <f t="shared" ca="1" si="9"/>
        <v>Công ty TNHH Sản xuất thương mại xuất nhập khẩu Lửa Việt</v>
      </c>
      <c r="F297" t="str">
        <f>IFERROR(VLOOKUP(Table1[[#This Row],[Tên đối tượng]],'DANH MỤC ĐỐI TƯỢNG'!A:E,5,0),"")</f>
        <v>Tổ 18, cụm 2, P.Trung Hòa, Q.Cầu giấy, TP.Hà nội</v>
      </c>
      <c r="G297" t="str">
        <f>_xlfn.IFNA(VLOOKUP(Table1[[#This Row],[Tên đối tượng]],'DANH MỤC ĐỐI TƯỢNG'!A:F,6,0),"")</f>
        <v>0101365215</v>
      </c>
      <c r="H297" t="str">
        <f>_xlfn.IFNA(VLOOKUP(Table1[[#This Row],[Tên đối tượng]],'DANH MỤC ĐỐI TƯỢNG'!A:I,9,0),"")</f>
        <v>TMCP Đông Á - CN Hà nội</v>
      </c>
      <c r="I297" t="str">
        <f>_xlfn.IFNA(VLOOKUP(Table1[[#This Row],[Tên đối tượng]],'DANH MỤC ĐỐI TƯỢNG'!A:J,10,0),"")</f>
        <v>000546290001</v>
      </c>
    </row>
    <row r="298" spans="1:9" x14ac:dyDescent="0.3">
      <c r="A298">
        <v>294</v>
      </c>
      <c r="B298" t="s">
        <v>580</v>
      </c>
      <c r="C298" t="s">
        <v>581</v>
      </c>
      <c r="D298" t="str">
        <f t="shared" si="8"/>
        <v>294. V10190</v>
      </c>
      <c r="E298" s="5" t="str">
        <f t="shared" ca="1" si="9"/>
        <v>Công ty TNHH Sản xuất và Thương mại Tùng Chi</v>
      </c>
      <c r="F298" t="str">
        <f>IFERROR(VLOOKUP(Table1[[#This Row],[Tên đối tượng]],'DANH MỤC ĐỐI TƯỢNG'!A:E,5,0),"")</f>
        <v>Gác 2, Số 24 Cát Cụt, Phường An Biên, Quận Lê Chân, TP. Hải Phòng</v>
      </c>
      <c r="G298" t="str">
        <f>_xlfn.IFNA(VLOOKUP(Table1[[#This Row],[Tên đối tượng]],'DANH MỤC ĐỐI TƯỢNG'!A:F,6,0),"")</f>
        <v>0201318191</v>
      </c>
      <c r="H298" t="str">
        <f>_xlfn.IFNA(VLOOKUP(Table1[[#This Row],[Tên đối tượng]],'DANH MỤC ĐỐI TƯỢNG'!A:I,9,0),"")</f>
        <v>Ngân hàng TMCP Kỹ thương Việt Nam - CN Hải Phòng</v>
      </c>
      <c r="I298" t="str">
        <f>_xlfn.IFNA(VLOOKUP(Table1[[#This Row],[Tên đối tượng]],'DANH MỤC ĐỐI TƯỢNG'!A:J,10,0),"")</f>
        <v>19027725560997</v>
      </c>
    </row>
    <row r="299" spans="1:9" x14ac:dyDescent="0.3">
      <c r="A299">
        <v>295</v>
      </c>
      <c r="B299" t="s">
        <v>582</v>
      </c>
      <c r="C299" t="s">
        <v>583</v>
      </c>
      <c r="D299" t="str">
        <f t="shared" si="8"/>
        <v>295. V10279</v>
      </c>
      <c r="E299" s="5" t="str">
        <f t="shared" ca="1" si="9"/>
        <v>Công ty TNHH Shiogai Seiki Việt Nam</v>
      </c>
      <c r="F299" t="str">
        <f>IFERROR(VLOOKUP(Table1[[#This Row],[Tên đối tượng]],'DANH MỤC ĐỐI TƯỢNG'!A:E,5,0),"")</f>
        <v>224/4 đường 24-2, KCN Amata, phường Long Bình, Tp Biên Hòa, tỉnh Đồng Nai</v>
      </c>
      <c r="G299" t="str">
        <f>_xlfn.IFNA(VLOOKUP(Table1[[#This Row],[Tên đối tượng]],'DANH MỤC ĐỐI TƯỢNG'!A:F,6,0),"")</f>
        <v>3600715894</v>
      </c>
      <c r="H299" t="str">
        <f>_xlfn.IFNA(VLOOKUP(Table1[[#This Row],[Tên đối tượng]],'DANH MỤC ĐỐI TƯỢNG'!A:I,9,0),"")</f>
        <v>Ngân hàng Vietcombank-CN Đồng Nai</v>
      </c>
      <c r="I299" t="str">
        <f>_xlfn.IFNA(VLOOKUP(Table1[[#This Row],[Tên đối tượng]],'DANH MỤC ĐỐI TƯỢNG'!A:J,10,0),"")</f>
        <v>0121000968683</v>
      </c>
    </row>
    <row r="300" spans="1:9" x14ac:dyDescent="0.3">
      <c r="A300">
        <v>296</v>
      </c>
      <c r="B300" t="s">
        <v>584</v>
      </c>
      <c r="C300" t="s">
        <v>585</v>
      </c>
      <c r="D300" t="str">
        <f t="shared" si="8"/>
        <v>296. V10118</v>
      </c>
      <c r="E300" s="5" t="str">
        <f t="shared" ca="1" si="9"/>
        <v>Công ty TNHH Sinh Dương</v>
      </c>
      <c r="F300" t="str">
        <f>IFERROR(VLOOKUP(Table1[[#This Row],[Tên đối tượng]],'DANH MỤC ĐỐI TƯỢNG'!A:E,5,0),"")</f>
        <v>13 Tạm Thương, Phường Hàng Gai, Quận Hoàn Kiếm, Thành phố Hà Nội</v>
      </c>
      <c r="G300" t="str">
        <f>_xlfn.IFNA(VLOOKUP(Table1[[#This Row],[Tên đối tượng]],'DANH MỤC ĐỐI TƯỢNG'!A:F,6,0),"")</f>
        <v>0106135751</v>
      </c>
      <c r="H300" t="str">
        <f>_xlfn.IFNA(VLOOKUP(Table1[[#This Row],[Tên đối tượng]],'DANH MỤC ĐỐI TƯỢNG'!A:I,9,0),"")</f>
        <v>Ngân hàng TMCP Quân Đội-Chi nhánh Thăng Long</v>
      </c>
      <c r="I300" t="str">
        <f>_xlfn.IFNA(VLOOKUP(Table1[[#This Row],[Tên đối tượng]],'DANH MỤC ĐỐI TƯỢNG'!A:J,10,0),"")</f>
        <v>0541103111111</v>
      </c>
    </row>
    <row r="301" spans="1:9" x14ac:dyDescent="0.3">
      <c r="A301">
        <v>297</v>
      </c>
      <c r="B301" t="s">
        <v>586</v>
      </c>
      <c r="C301" t="s">
        <v>587</v>
      </c>
      <c r="D301" t="str">
        <f t="shared" si="8"/>
        <v>297. V10207</v>
      </c>
      <c r="E301" s="5" t="str">
        <f t="shared" ca="1" si="9"/>
        <v>Công ty TNHH Softbank Telecom Việt Nam</v>
      </c>
      <c r="F301" t="str">
        <f>IFERROR(VLOOKUP(Table1[[#This Row],[Tên đối tượng]],'DANH MỤC ĐỐI TƯỢNG'!A:E,5,0),"")</f>
        <v>#13-04, Tầng 13, Số 53 Quang Trung, P.Nguyễn Du, Q.Hai Bà Trưng, TP.Hà Nội</v>
      </c>
      <c r="G301" t="str">
        <f>_xlfn.IFNA(VLOOKUP(Table1[[#This Row],[Tên đối tượng]],'DANH MỤC ĐỐI TƯỢNG'!A:F,6,0),"")</f>
        <v>0106043204</v>
      </c>
      <c r="H301" t="str">
        <f>_xlfn.IFNA(VLOOKUP(Table1[[#This Row],[Tên đối tượng]],'DANH MỤC ĐỐI TƯỢNG'!A:I,9,0),"")</f>
        <v>Sumitomo Mitsui Banking Corporation, Hanoi Branch</v>
      </c>
      <c r="I301" t="str">
        <f>_xlfn.IFNA(VLOOKUP(Table1[[#This Row],[Tên đối tượng]],'DANH MỤC ĐỐI TƯỢNG'!A:J,10,0),"")</f>
        <v>10043301</v>
      </c>
    </row>
    <row r="302" spans="1:9" x14ac:dyDescent="0.3">
      <c r="A302">
        <v>298</v>
      </c>
      <c r="B302" t="s">
        <v>588</v>
      </c>
      <c r="C302" t="s">
        <v>5132</v>
      </c>
      <c r="D302" t="str">
        <f t="shared" si="8"/>
        <v>298. V10086</v>
      </c>
      <c r="E302" s="5" t="str">
        <f t="shared" ca="1" si="9"/>
        <v>Công ty TNHH S.T.D &amp; S</v>
      </c>
      <c r="F302" t="str">
        <f>IFERROR(VLOOKUP(Table1[[#This Row],[Tên đối tượng]],'DANH MỤC ĐỐI TƯỢNG'!A:E,5,0),"")</f>
        <v>Lô 25A Đường Trung Tâm, Khu công nghiệp Tân Tạo Mở Rộng, phường Tân Tạo A, quận Bình Tân, TP. Hồ Chí Minh</v>
      </c>
      <c r="G302">
        <f>_xlfn.IFNA(VLOOKUP(Table1[[#This Row],[Tên đối tượng]],'DANH MỤC ĐỐI TƯỢNG'!A:F,6,0),"")</f>
        <v>0</v>
      </c>
      <c r="H302" t="str">
        <f>_xlfn.IFNA(VLOOKUP(Table1[[#This Row],[Tên đối tượng]],'DANH MỤC ĐỐI TƯỢNG'!A:I,9,0),"")</f>
        <v>EXIMBANK</v>
      </c>
      <c r="I302" t="str">
        <f>_xlfn.IFNA(VLOOKUP(Table1[[#This Row],[Tên đối tượng]],'DANH MỤC ĐỐI TƯỢNG'!A:J,10,0),"")</f>
        <v>2000 148 5111 4946</v>
      </c>
    </row>
    <row r="303" spans="1:9" x14ac:dyDescent="0.3">
      <c r="A303">
        <v>299</v>
      </c>
      <c r="B303" t="s">
        <v>589</v>
      </c>
      <c r="C303" t="s">
        <v>590</v>
      </c>
      <c r="D303" t="str">
        <f t="shared" si="8"/>
        <v>299. V10356</v>
      </c>
      <c r="E303" s="5" t="str">
        <f t="shared" ca="1" si="9"/>
        <v>Công ty TNHH Sức Bật</v>
      </c>
      <c r="F303" t="str">
        <f>IFERROR(VLOOKUP(Table1[[#This Row],[Tên đối tượng]],'DANH MỤC ĐỐI TƯỢNG'!A:E,5,0),"")</f>
        <v>Phòng 606, Khu B, Tòa nhà Indochina, Park Tower,số 4 Nguyễn Đình Chiểu, Phường Đa Kao, Quận 1, Thành phố Hồ Chí Minh</v>
      </c>
      <c r="G303">
        <f>_xlfn.IFNA(VLOOKUP(Table1[[#This Row],[Tên đối tượng]],'DANH MỤC ĐỐI TƯỢNG'!A:F,6,0),"")</f>
        <v>0</v>
      </c>
      <c r="H303" t="str">
        <f>_xlfn.IFNA(VLOOKUP(Table1[[#This Row],[Tên đối tượng]],'DANH MỤC ĐỐI TƯỢNG'!A:I,9,0),"")</f>
        <v>Techcombank / CN Thắng Lợi, Hồ Chí Minh</v>
      </c>
      <c r="I303" t="str">
        <f>_xlfn.IFNA(VLOOKUP(Table1[[#This Row],[Tên đối tượng]],'DANH MỤC ĐỐI TƯỢNG'!A:J,10,0),"")</f>
        <v>11922345515018</v>
      </c>
    </row>
    <row r="304" spans="1:9" x14ac:dyDescent="0.3">
      <c r="A304">
        <v>300</v>
      </c>
      <c r="B304" t="s">
        <v>591</v>
      </c>
      <c r="C304" t="s">
        <v>592</v>
      </c>
      <c r="D304" t="str">
        <f t="shared" si="8"/>
        <v>300. V10272</v>
      </c>
      <c r="E304" s="5" t="str">
        <f t="shared" ca="1" si="9"/>
        <v>Công ty TNHH Sumiden International Trading Việt Nam</v>
      </c>
      <c r="F304" t="str">
        <f>IFERROR(VLOOKUP(Table1[[#This Row],[Tên đối tượng]],'DANH MỤC ĐỐI TƯỢNG'!A:E,5,0),"")</f>
        <v>#101, Số 18 Trần Hưng Đạo, P. Phan Chu Trinh, Q. Hoàn Kiếm, Hà Nội, Việt Nam</v>
      </c>
      <c r="G304" t="str">
        <f>_xlfn.IFNA(VLOOKUP(Table1[[#This Row],[Tên đối tượng]],'DANH MỤC ĐỐI TƯỢNG'!A:F,6,0),"")</f>
        <v>0106144604</v>
      </c>
      <c r="H304" t="str">
        <f>_xlfn.IFNA(VLOOKUP(Table1[[#This Row],[Tên đối tượng]],'DANH MỤC ĐỐI TƯỢNG'!A:I,9,0),"")</f>
        <v>Sumitomo Mitsui Banking Corporation - Hanoi Branch</v>
      </c>
      <c r="I304" t="str">
        <f>_xlfn.IFNA(VLOOKUP(Table1[[#This Row],[Tên đối tượng]],'DANH MỤC ĐỐI TƯỢNG'!A:J,10,0),"")</f>
        <v>100-43-901 (VND)</v>
      </c>
    </row>
    <row r="305" spans="1:9" x14ac:dyDescent="0.3">
      <c r="A305">
        <v>301</v>
      </c>
      <c r="B305" t="s">
        <v>593</v>
      </c>
      <c r="C305" t="s">
        <v>594</v>
      </c>
      <c r="D305" t="str">
        <f t="shared" si="8"/>
        <v>301. V10317</v>
      </c>
      <c r="E305" s="5" t="str">
        <f t="shared" ca="1" si="9"/>
        <v>CÔNG TY TNHH SUN-WA TECHNOS (VIỆT NAM)</v>
      </c>
      <c r="F305" t="str">
        <f>IFERROR(VLOOKUP(Table1[[#This Row],[Tên đối tượng]],'DANH MỤC ĐỐI TƯỢNG'!A:E,5,0),"")</f>
        <v>Tầng 12A, tháp B, tòa nhà Handiresco, số 521 đường Kim Mã, phường Ngọc Khánh, Quận Ba Đình,Thành phố Hà Nội, Việt Nam</v>
      </c>
      <c r="G305" t="str">
        <f>_xlfn.IFNA(VLOOKUP(Table1[[#This Row],[Tên đối tượng]],'DANH MỤC ĐỐI TƯỢNG'!A:F,6,0),"")</f>
        <v>0107347910</v>
      </c>
      <c r="H305" t="str">
        <f>_xlfn.IFNA(VLOOKUP(Table1[[#This Row],[Tên đối tượng]],'DANH MỤC ĐỐI TƯỢNG'!A:I,9,0),"")</f>
        <v>Ngân hàng thương mại cổ phần Kỹ thương Việt Nam - CN Ba Đình</v>
      </c>
      <c r="I305" t="str">
        <f>_xlfn.IFNA(VLOOKUP(Table1[[#This Row],[Tên đối tượng]],'DANH MỤC ĐỐI TƯỢNG'!A:J,10,0),"")</f>
        <v>19129112868686</v>
      </c>
    </row>
    <row r="306" spans="1:9" x14ac:dyDescent="0.3">
      <c r="A306">
        <v>302</v>
      </c>
      <c r="B306" t="s">
        <v>595</v>
      </c>
      <c r="C306" t="s">
        <v>596</v>
      </c>
      <c r="D306" t="str">
        <f t="shared" si="8"/>
        <v>302. V10157</v>
      </c>
      <c r="E306" s="5" t="str">
        <f t="shared" ca="1" si="9"/>
        <v>Công ty TNHH SX và TM Đại Hoàng</v>
      </c>
      <c r="F306" t="str">
        <f>IFERROR(VLOOKUP(Table1[[#This Row],[Tên đối tượng]],'DANH MỤC ĐỐI TƯỢNG'!A:E,5,0),"")</f>
        <v>103, B14 Tân Mai, Hoàng Mai, Hà Nội</v>
      </c>
      <c r="G306" t="str">
        <f>_xlfn.IFNA(VLOOKUP(Table1[[#This Row],[Tên đối tượng]],'DANH MỤC ĐỐI TƯỢNG'!A:F,6,0),"")</f>
        <v>0201240026</v>
      </c>
      <c r="H306" t="str">
        <f>_xlfn.IFNA(VLOOKUP(Table1[[#This Row],[Tên đối tượng]],'DANH MỤC ĐỐI TƯỢNG'!A:I,9,0),"")</f>
        <v>Techcombank - CN Nguyễn An Ninh, Hà Nội</v>
      </c>
      <c r="I306" t="str">
        <f>_xlfn.IFNA(VLOOKUP(Table1[[#This Row],[Tên đối tượng]],'DANH MỤC ĐỐI TƯỢNG'!A:J,10,0),"")</f>
        <v>14023527568881</v>
      </c>
    </row>
    <row r="307" spans="1:9" x14ac:dyDescent="0.3">
      <c r="A307">
        <v>303</v>
      </c>
      <c r="B307" t="s">
        <v>597</v>
      </c>
      <c r="C307" t="s">
        <v>598</v>
      </c>
      <c r="D307" t="str">
        <f t="shared" si="8"/>
        <v>303. V10059</v>
      </c>
      <c r="E307" s="5" t="str">
        <f t="shared" ca="1" si="9"/>
        <v>Công ty TNHH T.S.I Việt Nam</v>
      </c>
      <c r="F307" t="str">
        <f>IFERROR(VLOOKUP(Table1[[#This Row],[Tên đối tượng]],'DANH MỤC ĐỐI TƯỢNG'!A:E,5,0),"")</f>
        <v>Tầng 3, toà nhà Danka, số 258 Bà Triệu, Hai Bà Trưng, Hà Nội</v>
      </c>
      <c r="G307">
        <f>_xlfn.IFNA(VLOOKUP(Table1[[#This Row],[Tên đối tượng]],'DANH MỤC ĐỐI TƯỢNG'!A:F,6,0),"")</f>
        <v>0</v>
      </c>
      <c r="H307" t="str">
        <f>_xlfn.IFNA(VLOOKUP(Table1[[#This Row],[Tên đối tượng]],'DANH MỤC ĐỐI TƯỢNG'!A:I,9,0),"")</f>
        <v>Ngân hàng SMBC-chi nhánh Hà Nội</v>
      </c>
      <c r="I307" t="str">
        <f>_xlfn.IFNA(VLOOKUP(Table1[[#This Row],[Tên đối tượng]],'DANH MỤC ĐỐI TƯỢNG'!A:J,10,0),"")</f>
        <v>1860108-1</v>
      </c>
    </row>
    <row r="308" spans="1:9" x14ac:dyDescent="0.3">
      <c r="A308">
        <v>304</v>
      </c>
      <c r="B308" t="s">
        <v>599</v>
      </c>
      <c r="C308" t="s">
        <v>600</v>
      </c>
      <c r="D308" t="str">
        <f t="shared" si="8"/>
        <v>304. V10088</v>
      </c>
      <c r="E308" s="5" t="str">
        <f t="shared" ca="1" si="9"/>
        <v>Công ty TNHH Tài Nguyên Tri Thức Việt Năng</v>
      </c>
      <c r="F308" t="str">
        <f>IFERROR(VLOOKUP(Table1[[#This Row],[Tên đối tượng]],'DANH MỤC ĐỐI TƯỢNG'!A:E,5,0),"")</f>
        <v>41/7 Phạm Ngũ Lão, P3, Q. GV, TP HCM, Vietnam</v>
      </c>
      <c r="G308" t="str">
        <f>_xlfn.IFNA(VLOOKUP(Table1[[#This Row],[Tên đối tượng]],'DANH MỤC ĐỐI TƯỢNG'!A:F,6,0),"")</f>
        <v>0303987579</v>
      </c>
      <c r="H308" t="str">
        <f>_xlfn.IFNA(VLOOKUP(Table1[[#This Row],[Tên đối tượng]],'DANH MỤC ĐỐI TƯỢNG'!A:I,9,0),"")</f>
        <v>Ngoại Thương Việt Nam - CN Phú Thọ - HCM</v>
      </c>
      <c r="I308" t="str">
        <f>_xlfn.IFNA(VLOOKUP(Table1[[#This Row],[Tên đối tượng]],'DANH MỤC ĐỐI TƯỢNG'!A:J,10,0),"")</f>
        <v>042-1-00-377257-4</v>
      </c>
    </row>
    <row r="309" spans="1:9" x14ac:dyDescent="0.3">
      <c r="A309">
        <v>305</v>
      </c>
      <c r="B309" t="s">
        <v>601</v>
      </c>
      <c r="C309" t="s">
        <v>602</v>
      </c>
      <c r="D309" t="str">
        <f t="shared" si="8"/>
        <v>305. V10238</v>
      </c>
      <c r="E309" s="5" t="str">
        <f t="shared" ca="1" si="9"/>
        <v>Công ty TNHH Tamada Việt Nam</v>
      </c>
      <c r="F309" t="str">
        <f>IFERROR(VLOOKUP(Table1[[#This Row],[Tên đối tượng]],'DANH MỤC ĐỐI TƯỢNG'!A:E,5,0),"")</f>
        <v>Khu đất CN4.4B, KCN Đình Vũ, P.Đông Hải 2, Q.Hải An, TKKT Đình Vũ-Cát Hải, TP.Hải Phòng, Việt Nam</v>
      </c>
      <c r="G309" t="str">
        <f>_xlfn.IFNA(VLOOKUP(Table1[[#This Row],[Tên đối tượng]],'DANH MỤC ĐỐI TƯỢNG'!A:F,6,0),"")</f>
        <v>0201347234</v>
      </c>
      <c r="H309" t="str">
        <f>_xlfn.IFNA(VLOOKUP(Table1[[#This Row],[Tên đối tượng]],'DANH MỤC ĐỐI TƯỢNG'!A:I,9,0),"")</f>
        <v>Ngân hàng TMCP Công thương Việt Nam, CN Ngô Quyền, Hải Phòng</v>
      </c>
      <c r="I309" t="str">
        <f>_xlfn.IFNA(VLOOKUP(Table1[[#This Row],[Tên đối tượng]],'DANH MỤC ĐỐI TƯỢNG'!A:J,10,0),"")</f>
        <v>113000118711 (VND) / 110000202780 (USD)</v>
      </c>
    </row>
    <row r="310" spans="1:9" x14ac:dyDescent="0.3">
      <c r="A310">
        <v>306</v>
      </c>
      <c r="B310" t="s">
        <v>603</v>
      </c>
      <c r="C310" t="s">
        <v>604</v>
      </c>
      <c r="D310" t="str">
        <f t="shared" si="8"/>
        <v>306. V10119</v>
      </c>
      <c r="E310" s="5" t="str">
        <f t="shared" ca="1" si="9"/>
        <v>Công ty TNHH Tamsui Việt Nam</v>
      </c>
      <c r="F310" t="str">
        <f>IFERROR(VLOOKUP(Table1[[#This Row],[Tên đối tượng]],'DANH MỤC ĐỐI TƯỢNG'!A:E,5,0),"")</f>
        <v>Số 1, đường số 69, khu phố 1, phường Thạnh Mỹ Lợi, Thành phố Thủ Đức, Tp. Hồ Chí Minh, Việt Nam</v>
      </c>
      <c r="G310" t="str">
        <f>_xlfn.IFNA(VLOOKUP(Table1[[#This Row],[Tên đối tượng]],'DANH MỤC ĐỐI TƯỢNG'!A:F,6,0),"")</f>
        <v>0311105894</v>
      </c>
      <c r="H310" t="str">
        <f>_xlfn.IFNA(VLOOKUP(Table1[[#This Row],[Tên đối tượng]],'DANH MỤC ĐỐI TƯỢNG'!A:I,9,0),"")</f>
        <v>Vietcombank- CN Nam Sài Gòn</v>
      </c>
      <c r="I310" t="str">
        <f>_xlfn.IFNA(VLOOKUP(Table1[[#This Row],[Tên đối tượng]],'DANH MỤC ĐỐI TƯỢNG'!A:J,10,0),"")</f>
        <v>0181003346280</v>
      </c>
    </row>
    <row r="311" spans="1:9" x14ac:dyDescent="0.3">
      <c r="A311">
        <v>307</v>
      </c>
      <c r="B311" t="s">
        <v>605</v>
      </c>
      <c r="C311" t="s">
        <v>606</v>
      </c>
      <c r="D311" t="str">
        <f t="shared" si="8"/>
        <v>307. V10044</v>
      </c>
      <c r="E311" s="5" t="str">
        <f t="shared" ca="1" si="9"/>
        <v>Công ty TNHH Tân Thế Kỷ</v>
      </c>
      <c r="F311" t="str">
        <f>IFERROR(VLOOKUP(Table1[[#This Row],[Tên đối tượng]],'DANH MỤC ĐỐI TƯỢNG'!A:E,5,0),"")</f>
        <v>212 Tôn Đức Thắng, Đống Đa, Hà Nội</v>
      </c>
      <c r="G311">
        <f>_xlfn.IFNA(VLOOKUP(Table1[[#This Row],[Tên đối tượng]],'DANH MỤC ĐỐI TƯỢNG'!A:F,6,0),"")</f>
        <v>0</v>
      </c>
      <c r="H311" t="str">
        <f>_xlfn.IFNA(VLOOKUP(Table1[[#This Row],[Tên đối tượng]],'DANH MỤC ĐỐI TƯỢNG'!A:I,9,0),"")</f>
        <v>Ngân hàng TNHH MTV Hong Leong Bank Việt Nam - CN Hà Nội</v>
      </c>
      <c r="I311" t="str">
        <f>_xlfn.IFNA(VLOOKUP(Table1[[#This Row],[Tên đối tượng]],'DANH MỤC ĐỐI TƯỢNG'!A:J,10,0),"")</f>
        <v>10101-000001176-4</v>
      </c>
    </row>
    <row r="312" spans="1:9" x14ac:dyDescent="0.3">
      <c r="A312">
        <v>308</v>
      </c>
      <c r="B312" t="s">
        <v>607</v>
      </c>
      <c r="C312" t="s">
        <v>608</v>
      </c>
      <c r="D312" t="str">
        <f t="shared" si="8"/>
        <v>308. V10081</v>
      </c>
      <c r="E312" s="5" t="str">
        <f t="shared" ca="1" si="9"/>
        <v>Công ty TNHH Thiết bị 2H</v>
      </c>
      <c r="F312" t="str">
        <f>IFERROR(VLOOKUP(Table1[[#This Row],[Tên đối tượng]],'DANH MỤC ĐỐI TƯỢNG'!A:E,5,0),"")</f>
        <v>Số 16 Cẩm Hội, Đống Mác, Hai Bà Trưng, Hà Nội</v>
      </c>
      <c r="G312" t="str">
        <f>_xlfn.IFNA(VLOOKUP(Table1[[#This Row],[Tên đối tượng]],'DANH MỤC ĐỐI TƯỢNG'!A:F,6,0),"")</f>
        <v>0101473468</v>
      </c>
      <c r="H312" t="str">
        <f>_xlfn.IFNA(VLOOKUP(Table1[[#This Row],[Tên đối tượng]],'DANH MỤC ĐỐI TƯỢNG'!A:I,9,0),"")</f>
        <v>Ngân hàng Techcombank- CN Hà Nội</v>
      </c>
      <c r="I312" t="str">
        <f>_xlfn.IFNA(VLOOKUP(Table1[[#This Row],[Tên đối tượng]],'DANH MỤC ĐỐI TƯỢNG'!A:J,10,0),"")</f>
        <v>11120012744010</v>
      </c>
    </row>
    <row r="313" spans="1:9" x14ac:dyDescent="0.3">
      <c r="A313">
        <v>309</v>
      </c>
      <c r="B313" t="s">
        <v>609</v>
      </c>
      <c r="C313" t="s">
        <v>610</v>
      </c>
      <c r="D313" t="str">
        <f t="shared" si="8"/>
        <v>309. V10040</v>
      </c>
      <c r="E313" s="5" t="str">
        <f t="shared" ca="1" si="9"/>
        <v>Công ty TNHH Thiết bị công nghiệp N.A.G.O.Y.A</v>
      </c>
      <c r="F313" t="str">
        <f>IFERROR(VLOOKUP(Table1[[#This Row],[Tên đối tượng]],'DANH MỤC ĐỐI TƯỢNG'!A:E,5,0),"")</f>
        <v>Số 24-26 (Tầng 4-5), Đường 9A, Khu dân cư Trung Sơn, Bình Hưng, Bình Chánh, Hồ Chí Minh</v>
      </c>
      <c r="G313" t="str">
        <f>_xlfn.IFNA(VLOOKUP(Table1[[#This Row],[Tên đối tượng]],'DANH MỤC ĐỐI TƯỢNG'!A:F,6,0),"")</f>
        <v>0303135503</v>
      </c>
      <c r="H313" t="str">
        <f>_xlfn.IFNA(VLOOKUP(Table1[[#This Row],[Tên đối tượng]],'DANH MỤC ĐỐI TƯỢNG'!A:I,9,0),"")</f>
        <v>TMCP Á Châu - Hồ Chí Minh</v>
      </c>
      <c r="I313" t="str">
        <f>_xlfn.IFNA(VLOOKUP(Table1[[#This Row],[Tên đối tượng]],'DANH MỤC ĐỐI TƯỢNG'!A:J,10,0),"")</f>
        <v>7503209</v>
      </c>
    </row>
    <row r="314" spans="1:9" x14ac:dyDescent="0.3">
      <c r="A314">
        <v>310</v>
      </c>
      <c r="B314" t="s">
        <v>611</v>
      </c>
      <c r="C314" t="s">
        <v>612</v>
      </c>
      <c r="D314" t="str">
        <f t="shared" si="8"/>
        <v>310. V10172</v>
      </c>
      <c r="E314" s="5" t="str">
        <f t="shared" ca="1" si="9"/>
        <v>Công ty TNHH Thiết bị hóa chất Nakagawa Việt Nam</v>
      </c>
      <c r="F314" t="str">
        <f>IFERROR(VLOOKUP(Table1[[#This Row],[Tên đối tượng]],'DANH MỤC ĐỐI TƯỢNG'!A:E,5,0),"")</f>
        <v>Tầng 2, tòa nhà Detech, số 8 đường Tôn Thất Thuyết, Phường Mỹ Đình 2, Quận Nam Từ Liêm, Hà Nội</v>
      </c>
      <c r="G314" t="str">
        <f>_xlfn.IFNA(VLOOKUP(Table1[[#This Row],[Tên đối tượng]],'DANH MỤC ĐỐI TƯỢNG'!A:F,6,0),"")</f>
        <v>0103770434</v>
      </c>
      <c r="H314" t="str">
        <f>_xlfn.IFNA(VLOOKUP(Table1[[#This Row],[Tên đối tượng]],'DANH MỤC ĐỐI TƯỢNG'!A:I,9,0),"")</f>
        <v>Indovinabank- CN Đống Đa</v>
      </c>
      <c r="I314" t="str">
        <f>_xlfn.IFNA(VLOOKUP(Table1[[#This Row],[Tên đối tượng]],'DANH MỤC ĐỐI TƯỢNG'!A:J,10,0),"")</f>
        <v>2013483-001</v>
      </c>
    </row>
    <row r="315" spans="1:9" x14ac:dyDescent="0.3">
      <c r="A315">
        <v>311</v>
      </c>
      <c r="B315" t="s">
        <v>613</v>
      </c>
      <c r="C315" t="s">
        <v>614</v>
      </c>
      <c r="D315" t="str">
        <f t="shared" si="8"/>
        <v>311. V10323</v>
      </c>
      <c r="E315" s="5" t="str">
        <f t="shared" ca="1" si="9"/>
        <v>Công ty TNHH thiết bị PCCC Duyên Hải</v>
      </c>
      <c r="F315" t="str">
        <f>IFERROR(VLOOKUP(Table1[[#This Row],[Tên đối tượng]],'DANH MỤC ĐỐI TƯỢNG'!A:E,5,0),"")</f>
        <v>Số 3/178 Đông Hải, Đằng Giang, Ngô Quyền, Hải Phòng</v>
      </c>
      <c r="G315">
        <f>_xlfn.IFNA(VLOOKUP(Table1[[#This Row],[Tên đối tượng]],'DANH MỤC ĐỐI TƯỢNG'!A:F,6,0),"")</f>
        <v>0</v>
      </c>
      <c r="H315" t="str">
        <f>_xlfn.IFNA(VLOOKUP(Table1[[#This Row],[Tên đối tượng]],'DANH MỤC ĐỐI TƯỢNG'!A:I,9,0),"")</f>
        <v>Ngân hàng Vietinbank-CN Lê Chân</v>
      </c>
      <c r="I315" t="str">
        <f>_xlfn.IFNA(VLOOKUP(Table1[[#This Row],[Tên đối tượng]],'DANH MỤC ĐỐI TƯỢNG'!A:J,10,0),"")</f>
        <v>102010000209588</v>
      </c>
    </row>
    <row r="316" spans="1:9" x14ac:dyDescent="0.3">
      <c r="A316">
        <v>312</v>
      </c>
      <c r="B316" t="s">
        <v>615</v>
      </c>
      <c r="C316" t="s">
        <v>616</v>
      </c>
      <c r="D316" t="str">
        <f t="shared" si="8"/>
        <v>312. V10194</v>
      </c>
      <c r="E316" s="5" t="str">
        <f t="shared" ca="1" si="9"/>
        <v>Công ty TNHH Thiết bị phụ tùng An Phát</v>
      </c>
      <c r="F316" t="str">
        <f>IFERROR(VLOOKUP(Table1[[#This Row],[Tên đối tượng]],'DANH MỤC ĐỐI TƯỢNG'!A:E,5,0),"")</f>
        <v>Số 15 phố Lưu Quang Vũ, Tổ 26, Phường Trung Hòa, Quận Cầu Giấy, Thành phố Hà Nội, Việt Nam</v>
      </c>
      <c r="G316" t="str">
        <f>_xlfn.IFNA(VLOOKUP(Table1[[#This Row],[Tên đối tượng]],'DANH MỤC ĐỐI TƯỢNG'!A:F,6,0),"")</f>
        <v>0100950365</v>
      </c>
      <c r="H316" t="str">
        <f>_xlfn.IFNA(VLOOKUP(Table1[[#This Row],[Tên đối tượng]],'DANH MỤC ĐỐI TƯỢNG'!A:I,9,0),"")</f>
        <v>Ngân hàng Sacombank -Chi nhánh Hà Nội - PGD Bà Triệu</v>
      </c>
      <c r="I316" t="str">
        <f>_xlfn.IFNA(VLOOKUP(Table1[[#This Row],[Tên đối tượng]],'DANH MỤC ĐỐI TƯỢNG'!A:J,10,0),"")</f>
        <v>020001506766</v>
      </c>
    </row>
    <row r="317" spans="1:9" x14ac:dyDescent="0.3">
      <c r="A317">
        <v>313</v>
      </c>
      <c r="B317" t="s">
        <v>617</v>
      </c>
      <c r="C317" t="s">
        <v>618</v>
      </c>
      <c r="D317" t="str">
        <f t="shared" si="8"/>
        <v>313. V10212</v>
      </c>
      <c r="E317" s="5" t="str">
        <f t="shared" ca="1" si="9"/>
        <v>Công Ty TNHH Thiết Bị Y Tế và Vật Tư Khoa Học Kỹ Thuật Nam Thành</v>
      </c>
      <c r="F317" t="str">
        <f>IFERROR(VLOOKUP(Table1[[#This Row],[Tên đối tượng]],'DANH MỤC ĐỐI TƯỢNG'!A:E,5,0),"")</f>
        <v>Tổ Dân Phố 1, Phường Phú Lương, Quận Hà Đông, Hà Nội, Việt Nam</v>
      </c>
      <c r="G317" t="str">
        <f>_xlfn.IFNA(VLOOKUP(Table1[[#This Row],[Tên đối tượng]],'DANH MỤC ĐỐI TƯỢNG'!A:F,6,0),"")</f>
        <v>0105295865</v>
      </c>
      <c r="H317" t="str">
        <f>_xlfn.IFNA(VLOOKUP(Table1[[#This Row],[Tên đối tượng]],'DANH MỤC ĐỐI TƯỢNG'!A:I,9,0),"")</f>
        <v>Ngân hàng CPTM Á Châu - Chi Nhánh Hà Thành</v>
      </c>
      <c r="I317" t="str">
        <f>_xlfn.IFNA(VLOOKUP(Table1[[#This Row],[Tên đối tượng]],'DANH MỤC ĐỐI TƯỢNG'!A:J,10,0),"")</f>
        <v>104505369</v>
      </c>
    </row>
    <row r="318" spans="1:9" x14ac:dyDescent="0.3">
      <c r="A318">
        <v>314</v>
      </c>
      <c r="B318" t="s">
        <v>619</v>
      </c>
      <c r="C318" t="s">
        <v>620</v>
      </c>
      <c r="D318" t="str">
        <f t="shared" si="8"/>
        <v>314. V10149</v>
      </c>
      <c r="E318" s="5" t="str">
        <f t="shared" ca="1" si="9"/>
        <v>Công ty TNHH Thoát nước - Môi trường Tuấn Nam</v>
      </c>
      <c r="F318" t="str">
        <f>IFERROR(VLOOKUP(Table1[[#This Row],[Tên đối tượng]],'DANH MỤC ĐỐI TƯỢNG'!A:E,5,0),"")</f>
        <v>Số 84 Trần Nhật Duật, phường Cầu Đất, quận Ngô Quyền, Hải Phòng</v>
      </c>
      <c r="G318" t="str">
        <f>_xlfn.IFNA(VLOOKUP(Table1[[#This Row],[Tên đối tượng]],'DANH MỤC ĐỐI TƯỢNG'!A:F,6,0),"")</f>
        <v>0201296188</v>
      </c>
      <c r="H318" t="str">
        <f>_xlfn.IFNA(VLOOKUP(Table1[[#This Row],[Tên đối tượng]],'DANH MỤC ĐỐI TƯỢNG'!A:I,9,0),"")</f>
        <v>Ngân hàng TMCP Công thương Việt Nam - CN Hải Phòng - PGD Đằng Giang</v>
      </c>
      <c r="I318" t="str">
        <f>_xlfn.IFNA(VLOOKUP(Table1[[#This Row],[Tên đối tượng]],'DANH MỤC ĐỐI TƯỢNG'!A:J,10,0),"")</f>
        <v>113000104002</v>
      </c>
    </row>
    <row r="319" spans="1:9" x14ac:dyDescent="0.3">
      <c r="A319">
        <v>315</v>
      </c>
      <c r="B319" t="s">
        <v>621</v>
      </c>
      <c r="C319" t="s">
        <v>622</v>
      </c>
      <c r="D319" t="str">
        <f t="shared" si="8"/>
        <v>315. V10271</v>
      </c>
      <c r="E319" s="5" t="str">
        <f t="shared" ca="1" si="9"/>
        <v>Công ty TNHH Thông tin NTT (Việt Nam)</v>
      </c>
      <c r="F319" t="str">
        <f>IFERROR(VLOOKUP(Table1[[#This Row],[Tên đối tượng]],'DANH MỤC ĐỐI TƯỢNG'!A:E,5,0),"")</f>
        <v>Tòa nhà VINCOM Số 72 Lê Thánh Tôn, phường Bến Nghé, Quận 1, TP.HCM</v>
      </c>
      <c r="G319" t="str">
        <f>_xlfn.IFNA(VLOOKUP(Table1[[#This Row],[Tên đối tượng]],'DANH MỤC ĐỐI TƯỢNG'!A:F,6,0),"")</f>
        <v>0302534921</v>
      </c>
      <c r="H319">
        <f>_xlfn.IFNA(VLOOKUP(Table1[[#This Row],[Tên đối tượng]],'DANH MỤC ĐỐI TƯỢNG'!A:I,9,0),"")</f>
        <v>0</v>
      </c>
      <c r="I319">
        <f>_xlfn.IFNA(VLOOKUP(Table1[[#This Row],[Tên đối tượng]],'DANH MỤC ĐỐI TƯỢNG'!A:J,10,0),"")</f>
        <v>0</v>
      </c>
    </row>
    <row r="320" spans="1:9" x14ac:dyDescent="0.3">
      <c r="A320">
        <v>316</v>
      </c>
      <c r="B320" t="s">
        <v>623</v>
      </c>
      <c r="C320" t="s">
        <v>624</v>
      </c>
      <c r="D320" t="str">
        <f t="shared" si="8"/>
        <v>316. V10156</v>
      </c>
      <c r="E320" s="5" t="str">
        <f t="shared" ca="1" si="9"/>
        <v>Công ty TNHH Thương mại - Dịch vụ HB-KMIX</v>
      </c>
      <c r="F320" t="str">
        <f>IFERROR(VLOOKUP(Table1[[#This Row],[Tên đối tượng]],'DANH MỤC ĐỐI TƯỢNG'!A:E,5,0),"")</f>
        <v>167 Điện Biên Phủ, phường 15, quận Bình Thạnh, Tp. Hồ Chí Minh</v>
      </c>
      <c r="G320" t="str">
        <f>_xlfn.IFNA(VLOOKUP(Table1[[#This Row],[Tên đối tượng]],'DANH MỤC ĐỐI TƯỢNG'!A:F,6,0),"")</f>
        <v>0301934483</v>
      </c>
      <c r="H320" t="str">
        <f>_xlfn.IFNA(VLOOKUP(Table1[[#This Row],[Tên đối tượng]],'DANH MỤC ĐỐI TƯỢNG'!A:I,9,0),"")</f>
        <v>Vietcombank - CN Đông Sài Gòn</v>
      </c>
      <c r="I320" t="str">
        <f>_xlfn.IFNA(VLOOKUP(Table1[[#This Row],[Tên đối tượng]],'DANH MỤC ĐỐI TƯỢNG'!A:J,10,0),"")</f>
        <v>0181000388126</v>
      </c>
    </row>
    <row r="321" spans="1:9" x14ac:dyDescent="0.3">
      <c r="A321">
        <v>317</v>
      </c>
      <c r="B321" t="s">
        <v>625</v>
      </c>
      <c r="C321" t="s">
        <v>626</v>
      </c>
      <c r="D321" t="str">
        <f t="shared" si="8"/>
        <v>317. V10229</v>
      </c>
      <c r="E321" s="5" t="str">
        <f t="shared" ca="1" si="9"/>
        <v>Cong ty TNHH Thuong Mai &amp; Dich Vu Kim Thinh</v>
      </c>
      <c r="F321" t="str">
        <f>IFERROR(VLOOKUP(Table1[[#This Row],[Tên đối tượng]],'DANH MỤC ĐỐI TƯỢNG'!A:E,5,0),"")</f>
        <v>Số 200, Đường 48, P3 Q4Hồ Chí Minh City</v>
      </c>
      <c r="G321">
        <f>_xlfn.IFNA(VLOOKUP(Table1[[#This Row],[Tên đối tượng]],'DANH MỤC ĐỐI TƯỢNG'!A:F,6,0),"")</f>
        <v>0</v>
      </c>
      <c r="H321">
        <f>_xlfn.IFNA(VLOOKUP(Table1[[#This Row],[Tên đối tượng]],'DANH MỤC ĐỐI TƯỢNG'!A:I,9,0),"")</f>
        <v>0</v>
      </c>
      <c r="I321">
        <f>_xlfn.IFNA(VLOOKUP(Table1[[#This Row],[Tên đối tượng]],'DANH MỤC ĐỐI TƯỢNG'!A:J,10,0),"")</f>
        <v>0</v>
      </c>
    </row>
    <row r="322" spans="1:9" x14ac:dyDescent="0.3">
      <c r="A322">
        <v>318</v>
      </c>
      <c r="B322" t="s">
        <v>627</v>
      </c>
      <c r="C322" t="s">
        <v>628</v>
      </c>
      <c r="D322" t="str">
        <f t="shared" si="8"/>
        <v>318. V10251</v>
      </c>
      <c r="E322" s="5" t="str">
        <f t="shared" ca="1" si="9"/>
        <v>Công ty TNHH Thương Mại 19-3</v>
      </c>
      <c r="F322" t="str">
        <f>IFERROR(VLOOKUP(Table1[[#This Row],[Tên đối tượng]],'DANH MỤC ĐỐI TƯỢNG'!A:E,5,0),"")</f>
        <v>Số 85 Lán Bè, Lam Sơn, Lê Chân, Hải Phòng</v>
      </c>
      <c r="G322" t="str">
        <f>_xlfn.IFNA(VLOOKUP(Table1[[#This Row],[Tên đối tượng]],'DANH MỤC ĐỐI TƯỢNG'!A:F,6,0),"")</f>
        <v>0201637529</v>
      </c>
      <c r="H322" t="str">
        <f>_xlfn.IFNA(VLOOKUP(Table1[[#This Row],[Tên đối tượng]],'DANH MỤC ĐỐI TƯỢNG'!A:I,9,0),"")</f>
        <v>Ngân hàng TMCP Công thương Việt Nam, CN Lê Chân, Hải Phòng</v>
      </c>
      <c r="I322" t="str">
        <f>_xlfn.IFNA(VLOOKUP(Table1[[#This Row],[Tên đối tượng]],'DANH MỤC ĐỐI TƯỢNG'!A:J,10,0),"")</f>
        <v>102010002267337</v>
      </c>
    </row>
    <row r="323" spans="1:9" x14ac:dyDescent="0.3">
      <c r="A323">
        <v>319</v>
      </c>
      <c r="B323" t="s">
        <v>629</v>
      </c>
      <c r="C323" t="s">
        <v>630</v>
      </c>
      <c r="D323" t="str">
        <f t="shared" si="8"/>
        <v>319. V10030</v>
      </c>
      <c r="E323" s="5" t="str">
        <f t="shared" ca="1" si="9"/>
        <v>Công ty TNHH thương mại bảo hộ lao động N&amp;C</v>
      </c>
      <c r="F323" t="str">
        <f>IFERROR(VLOOKUP(Table1[[#This Row],[Tên đối tượng]],'DANH MỤC ĐỐI TƯỢNG'!A:E,5,0),"")</f>
        <v>Số 95 Phố Cấm, phường Gia Viên, quận Ngô Quyền, thành phố Hải Phòng</v>
      </c>
      <c r="G323" t="str">
        <f>_xlfn.IFNA(VLOOKUP(Table1[[#This Row],[Tên đối tượng]],'DANH MỤC ĐỐI TƯỢNG'!A:F,6,0),"")</f>
        <v>0201243771</v>
      </c>
      <c r="H323" t="str">
        <f>_xlfn.IFNA(VLOOKUP(Table1[[#This Row],[Tên đối tượng]],'DANH MỤC ĐỐI TƯỢNG'!A:I,9,0),"")</f>
        <v>Ngân hàng thương mại cổ phần Việt Nam Thịnh Vương- VP Bank - Chi nhánh Quang Trung Hải Phòng</v>
      </c>
      <c r="I323" t="str">
        <f>_xlfn.IFNA(VLOOKUP(Table1[[#This Row],[Tên đối tượng]],'DANH MỤC ĐỐI TƯỢNG'!A:J,10,0),"")</f>
        <v>240239566</v>
      </c>
    </row>
    <row r="324" spans="1:9" x14ac:dyDescent="0.3">
      <c r="A324">
        <v>320</v>
      </c>
      <c r="B324" t="s">
        <v>631</v>
      </c>
      <c r="C324" t="s">
        <v>632</v>
      </c>
      <c r="D324" t="str">
        <f t="shared" si="8"/>
        <v>320. V10315</v>
      </c>
      <c r="E324" s="5" t="str">
        <f t="shared" ca="1" si="9"/>
        <v>Công ty TNHH Thương mại Dịch vụ Anh Nghi Sơn</v>
      </c>
      <c r="F324" t="str">
        <f>IFERROR(VLOOKUP(Table1[[#This Row],[Tên đối tượng]],'DANH MỤC ĐỐI TƯỢNG'!A:E,5,0),"")</f>
        <v>Văn phòng 02, Tầng 08 Tòa nhà Pearl Plaza, 561A Điện Biên Phủ, Phường 25, Quận Bình Thạnh, Thành phố Hồ Chí Minh, Việt Nam</v>
      </c>
      <c r="G324">
        <f>_xlfn.IFNA(VLOOKUP(Table1[[#This Row],[Tên đối tượng]],'DANH MỤC ĐỐI TƯỢNG'!A:F,6,0),"")</f>
        <v>0</v>
      </c>
      <c r="H324" t="str">
        <f>_xlfn.IFNA(VLOOKUP(Table1[[#This Row],[Tên đối tượng]],'DANH MỤC ĐỐI TƯỢNG'!A:I,9,0),"")</f>
        <v>VP Bank / PGD Phú Lâm, CN Sài Gòn</v>
      </c>
      <c r="I324" t="str">
        <f>_xlfn.IFNA(VLOOKUP(Table1[[#This Row],[Tên đối tượng]],'DANH MỤC ĐỐI TƯỢNG'!A:J,10,0),"")</f>
        <v>76597537</v>
      </c>
    </row>
    <row r="325" spans="1:9" x14ac:dyDescent="0.3">
      <c r="A325">
        <v>321</v>
      </c>
      <c r="B325" t="s">
        <v>633</v>
      </c>
      <c r="C325" t="s">
        <v>634</v>
      </c>
      <c r="D325" t="str">
        <f t="shared" ref="D325:D388" si="10">A325&amp;". "&amp;B325</f>
        <v>321. V10333</v>
      </c>
      <c r="E325" s="5" t="str">
        <f t="shared" ref="E325:E388" ca="1" si="11">IF(B325&lt;&gt;"",HYPERLINK($A$2&amp;D325,C325),"")</f>
        <v>Công ty TNHH Thương Mại Dịch Vụ Công Nghiệp Thành Tín</v>
      </c>
      <c r="F325" t="str">
        <f>IFERROR(VLOOKUP(Table1[[#This Row],[Tên đối tượng]],'DANH MỤC ĐỐI TƯỢNG'!A:E,5,0),"")</f>
        <v>Số 792 Đại lộ Tôn Đức Thắng, phường Sở Dầu, quận Hồng Bàng, thành phố Hải Phòng, Việt Nam</v>
      </c>
      <c r="G325">
        <f>_xlfn.IFNA(VLOOKUP(Table1[[#This Row],[Tên đối tượng]],'DANH MỤC ĐỐI TƯỢNG'!A:F,6,0),"")</f>
        <v>0</v>
      </c>
      <c r="H325" t="str">
        <f>_xlfn.IFNA(VLOOKUP(Table1[[#This Row],[Tên đối tượng]],'DANH MỤC ĐỐI TƯỢNG'!A:I,9,0),"")</f>
        <v>Ngân hàng ACB Hải Phòng</v>
      </c>
      <c r="I325" t="str">
        <f>_xlfn.IFNA(VLOOKUP(Table1[[#This Row],[Tên đối tượng]],'DANH MỤC ĐỐI TƯỢNG'!A:J,10,0),"")</f>
        <v>204560799</v>
      </c>
    </row>
    <row r="326" spans="1:9" x14ac:dyDescent="0.3">
      <c r="A326">
        <v>322</v>
      </c>
      <c r="B326" t="s">
        <v>635</v>
      </c>
      <c r="C326" t="s">
        <v>636</v>
      </c>
      <c r="D326" t="str">
        <f t="shared" si="10"/>
        <v>322. V10208</v>
      </c>
      <c r="E326" s="5" t="str">
        <f t="shared" ca="1" si="11"/>
        <v>Công ty TNHH Thương mại Dịch vụ Đại Phú Cát</v>
      </c>
      <c r="F326" t="str">
        <f>IFERROR(VLOOKUP(Table1[[#This Row],[Tên đối tượng]],'DANH MỤC ĐỐI TƯỢNG'!A:E,5,0),"")</f>
        <v>436A/101 Đường 3/2, Phường 12, Quận 10, Thành Phố Hồ Chí Minh, Việt Nam</v>
      </c>
      <c r="G326" t="str">
        <f>_xlfn.IFNA(VLOOKUP(Table1[[#This Row],[Tên đối tượng]],'DANH MỤC ĐỐI TƯỢNG'!A:F,6,0),"")</f>
        <v>0311144413</v>
      </c>
      <c r="H326" t="str">
        <f>_xlfn.IFNA(VLOOKUP(Table1[[#This Row],[Tên đối tượng]],'DANH MỤC ĐỐI TƯỢNG'!A:I,9,0),"")</f>
        <v>Vietcombank - CN TP.HCM</v>
      </c>
      <c r="I326" t="str">
        <f>_xlfn.IFNA(VLOOKUP(Table1[[#This Row],[Tên đối tượng]],'DANH MỤC ĐỐI TƯỢNG'!A:J,10,0),"")</f>
        <v>0071000644444</v>
      </c>
    </row>
    <row r="327" spans="1:9" x14ac:dyDescent="0.3">
      <c r="A327">
        <v>323</v>
      </c>
      <c r="B327" t="s">
        <v>637</v>
      </c>
      <c r="C327" t="s">
        <v>638</v>
      </c>
      <c r="D327" t="str">
        <f t="shared" si="10"/>
        <v>323. V10076</v>
      </c>
      <c r="E327" s="5" t="str">
        <f t="shared" ca="1" si="11"/>
        <v>Công ty TNHH Thương mại -Dịch vụ kỹ thuật S.I.S</v>
      </c>
      <c r="F327" t="str">
        <f>IFERROR(VLOOKUP(Table1[[#This Row],[Tên đối tượng]],'DANH MỤC ĐỐI TƯỢNG'!A:E,5,0),"")</f>
        <v>55/14 Lê Thị Hồng Gấm, P. Nguyễn Thái Bình, Quận 1, TP.HCM</v>
      </c>
      <c r="G327" t="str">
        <f>_xlfn.IFNA(VLOOKUP(Table1[[#This Row],[Tên đối tượng]],'DANH MỤC ĐỐI TƯỢNG'!A:F,6,0),"")</f>
        <v>0302865828</v>
      </c>
      <c r="H327" t="str">
        <f>_xlfn.IFNA(VLOOKUP(Table1[[#This Row],[Tên đối tượng]],'DANH MỤC ĐỐI TƯỢNG'!A:I,9,0),"")</f>
        <v>Vietcombank - Hồ Chí Minh Branch</v>
      </c>
      <c r="I327" t="str">
        <f>_xlfn.IFNA(VLOOKUP(Table1[[#This Row],[Tên đối tượng]],'DANH MỤC ĐỐI TƯỢNG'!A:J,10,0),"")</f>
        <v>0071001071002</v>
      </c>
    </row>
    <row r="328" spans="1:9" x14ac:dyDescent="0.3">
      <c r="A328">
        <v>324</v>
      </c>
      <c r="B328" t="s">
        <v>639</v>
      </c>
      <c r="C328" t="s">
        <v>640</v>
      </c>
      <c r="D328" t="str">
        <f t="shared" si="10"/>
        <v>324. V10167</v>
      </c>
      <c r="E328" s="5" t="str">
        <f t="shared" ca="1" si="11"/>
        <v>Công ty TNHH Thương mại Dịch vụ Song Thành Công</v>
      </c>
      <c r="F328" t="str">
        <f>IFERROR(VLOOKUP(Table1[[#This Row],[Tên đối tượng]],'DANH MỤC ĐỐI TƯỢNG'!A:E,5,0),"")</f>
        <v>15 Cù Lao, Phường 2, Quận Phú Nhuận, TP.Hồ Chí Minh</v>
      </c>
      <c r="G328" t="str">
        <f>_xlfn.IFNA(VLOOKUP(Table1[[#This Row],[Tên đối tượng]],'DANH MỤC ĐỐI TƯỢNG'!A:F,6,0),"")</f>
        <v>0309279999</v>
      </c>
      <c r="H328" t="str">
        <f>_xlfn.IFNA(VLOOKUP(Table1[[#This Row],[Tên đối tượng]],'DANH MỤC ĐỐI TƯỢNG'!A:I,9,0),"")</f>
        <v>Đông Á - CN TP.HCM</v>
      </c>
      <c r="I328" t="str">
        <f>_xlfn.IFNA(VLOOKUP(Table1[[#This Row],[Tên đối tượng]],'DANH MỤC ĐỐI TƯỢNG'!A:J,10,0),"")</f>
        <v>004715920001</v>
      </c>
    </row>
    <row r="329" spans="1:9" x14ac:dyDescent="0.3">
      <c r="A329">
        <v>325</v>
      </c>
      <c r="B329" t="s">
        <v>641</v>
      </c>
      <c r="C329" t="s">
        <v>642</v>
      </c>
      <c r="D329" t="str">
        <f t="shared" si="10"/>
        <v>325. V10367</v>
      </c>
      <c r="E329" s="5" t="str">
        <f t="shared" ca="1" si="11"/>
        <v>CÔNG TY TNHH THƯƠNG MẠI DỊCH VỤ TINH HÀ</v>
      </c>
      <c r="F329" t="str">
        <f>IFERROR(VLOOKUP(Table1[[#This Row],[Tên đối tượng]],'DANH MỤC ĐỐI TƯỢNG'!A:E,5,0),"")</f>
        <v>Tầng 7, tòa nhà Diamond Flower, đường Lê Văn Lương,  phường Nhân Chính, quận Thanh Xuân, thành phố Hà Nội</v>
      </c>
      <c r="G329">
        <f>_xlfn.IFNA(VLOOKUP(Table1[[#This Row],[Tên đối tượng]],'DANH MỤC ĐỐI TƯỢNG'!A:F,6,0),"")</f>
        <v>0</v>
      </c>
      <c r="H329" t="str">
        <f>_xlfn.IFNA(VLOOKUP(Table1[[#This Row],[Tên đối tượng]],'DANH MỤC ĐỐI TƯỢNG'!A:I,9,0),"")</f>
        <v>Ngân hàng Indovina - CN Đống Đa</v>
      </c>
      <c r="I329" t="str">
        <f>_xlfn.IFNA(VLOOKUP(Table1[[#This Row],[Tên đối tượng]],'DANH MỤC ĐỐI TƯỢNG'!A:J,10,0),"")</f>
        <v>2002707-002</v>
      </c>
    </row>
    <row r="330" spans="1:9" x14ac:dyDescent="0.3">
      <c r="A330">
        <v>326</v>
      </c>
      <c r="B330" t="s">
        <v>643</v>
      </c>
      <c r="C330" t="s">
        <v>644</v>
      </c>
      <c r="D330" t="str">
        <f t="shared" si="10"/>
        <v>326. V10193</v>
      </c>
      <c r="E330" s="5" t="str">
        <f t="shared" ca="1" si="11"/>
        <v>Công ty TNHH Thương mại dịch vụ và sản xuất Tùng Lâm</v>
      </c>
      <c r="F330" t="str">
        <f>IFERROR(VLOOKUP(Table1[[#This Row],[Tên đối tượng]],'DANH MỤC ĐỐI TƯỢNG'!A:E,5,0),"")</f>
        <v>Số 57 Láng Hạ, Ba Đình, Hà Nội</v>
      </c>
      <c r="G330" t="str">
        <f>_xlfn.IFNA(VLOOKUP(Table1[[#This Row],[Tên đối tượng]],'DANH MỤC ĐỐI TƯỢNG'!A:F,6,0),"")</f>
        <v>0100278859</v>
      </c>
      <c r="H330" t="str">
        <f>_xlfn.IFNA(VLOOKUP(Table1[[#This Row],[Tên đối tượng]],'DANH MỤC ĐỐI TƯỢNG'!A:I,9,0),"")</f>
        <v>NH Vietcombank - Chi nhánh Bắc Ninh - PGD Từ Sơn - Bắc Ninh</v>
      </c>
      <c r="I330" t="str">
        <f>_xlfn.IFNA(VLOOKUP(Table1[[#This Row],[Tên đối tượng]],'DANH MỤC ĐỐI TƯỢNG'!A:J,10,0),"")</f>
        <v>0351.000.906.945</v>
      </c>
    </row>
    <row r="331" spans="1:9" x14ac:dyDescent="0.3">
      <c r="A331">
        <v>327</v>
      </c>
      <c r="B331" t="s">
        <v>645</v>
      </c>
      <c r="C331" t="s">
        <v>646</v>
      </c>
      <c r="D331" t="str">
        <f t="shared" si="10"/>
        <v>327. V10014</v>
      </c>
      <c r="E331" s="5" t="str">
        <f t="shared" ca="1" si="11"/>
        <v>Công ty TNHH thương mại Hoàng Phát</v>
      </c>
      <c r="F331" t="str">
        <f>IFERROR(VLOOKUP(Table1[[#This Row],[Tên đối tượng]],'DANH MỤC ĐỐI TƯỢNG'!A:E,5,0),"")</f>
        <v>Số 4 Lô 2A, đường Lê Hồng Phong, phường Đông Khê, quận Ngô Quyền, Hải Phòng, Việt Nam</v>
      </c>
      <c r="G331" t="str">
        <f>_xlfn.IFNA(VLOOKUP(Table1[[#This Row],[Tên đối tượng]],'DANH MỤC ĐỐI TƯỢNG'!A:F,6,0),"")</f>
        <v>0200552449</v>
      </c>
      <c r="H331" t="str">
        <f>_xlfn.IFNA(VLOOKUP(Table1[[#This Row],[Tên đối tượng]],'DANH MỤC ĐỐI TƯỢNG'!A:I,9,0),"")</f>
        <v>NH TMCP Công Thương Việt Nam - CN Đông Hải Phòng</v>
      </c>
      <c r="I331" t="str">
        <f>_xlfn.IFNA(VLOOKUP(Table1[[#This Row],[Tên đối tượng]],'DANH MỤC ĐỐI TƯỢNG'!A:J,10,0),"")</f>
        <v>119000131155</v>
      </c>
    </row>
    <row r="332" spans="1:9" x14ac:dyDescent="0.3">
      <c r="A332">
        <v>328</v>
      </c>
      <c r="B332" t="s">
        <v>647</v>
      </c>
      <c r="C332" t="s">
        <v>648</v>
      </c>
      <c r="D332" t="str">
        <f t="shared" si="10"/>
        <v>328. V10122</v>
      </c>
      <c r="E332" s="5" t="str">
        <f t="shared" ca="1" si="11"/>
        <v>Công ty TNHH Thương mại quốc tế ICD</v>
      </c>
      <c r="F332" t="str">
        <f>IFERROR(VLOOKUP(Table1[[#This Row],[Tên đối tượng]],'DANH MỤC ĐỐI TƯỢNG'!A:E,5,0),"")</f>
        <v>Số 27 Lô 1C, Khu đô thị Trung Yên, phường Trung Hòa, Quận Cầu Giấy, Thành phố Hà Nội</v>
      </c>
      <c r="G332" t="str">
        <f>_xlfn.IFNA(VLOOKUP(Table1[[#This Row],[Tên đối tượng]],'DANH MỤC ĐỐI TƯỢNG'!A:F,6,0),"")</f>
        <v>0102328488</v>
      </c>
      <c r="H332" t="str">
        <f>_xlfn.IFNA(VLOOKUP(Table1[[#This Row],[Tên đối tượng]],'DANH MỤC ĐỐI TƯỢNG'!A:I,9,0),"")</f>
        <v>Đầu tư và phát triển Việt Nam - CN Đông Đô</v>
      </c>
      <c r="I332" t="str">
        <f>_xlfn.IFNA(VLOOKUP(Table1[[#This Row],[Tên đối tượng]],'DANH MỤC ĐỐI TƯỢNG'!A:J,10,0),"")</f>
        <v>125 100 001 67454</v>
      </c>
    </row>
    <row r="333" spans="1:9" x14ac:dyDescent="0.3">
      <c r="A333">
        <v>329</v>
      </c>
      <c r="B333" t="s">
        <v>649</v>
      </c>
      <c r="C333" t="s">
        <v>650</v>
      </c>
      <c r="D333" t="str">
        <f t="shared" si="10"/>
        <v>329. V10240</v>
      </c>
      <c r="E333" s="5" t="str">
        <f t="shared" ca="1" si="11"/>
        <v>Công ty TNHH Thương mại Tuấn Nghị</v>
      </c>
      <c r="F333" t="str">
        <f>IFERROR(VLOOKUP(Table1[[#This Row],[Tên đối tượng]],'DANH MỤC ĐỐI TƯỢNG'!A:E,5,0),"")</f>
        <v>Số 65, Đường Lê Thánh Tông, phường Máy Tơ, quận Ngô Quyền, thành phố Hải Phòng, Vietnam</v>
      </c>
      <c r="G333">
        <f>_xlfn.IFNA(VLOOKUP(Table1[[#This Row],[Tên đối tượng]],'DANH MỤC ĐỐI TƯỢNG'!A:F,6,0),"")</f>
        <v>0</v>
      </c>
      <c r="H333" t="str">
        <f>_xlfn.IFNA(VLOOKUP(Table1[[#This Row],[Tên đối tượng]],'DANH MỤC ĐỐI TƯỢNG'!A:I,9,0),"")</f>
        <v>Ngân hàng Công Thương, Hải Phòng</v>
      </c>
      <c r="I333" t="str">
        <f>_xlfn.IFNA(VLOOKUP(Table1[[#This Row],[Tên đối tượng]],'DANH MỤC ĐỐI TƯỢNG'!A:J,10,0),"")</f>
        <v>102010000216487</v>
      </c>
    </row>
    <row r="334" spans="1:9" x14ac:dyDescent="0.3">
      <c r="A334">
        <v>330</v>
      </c>
      <c r="B334" t="s">
        <v>651</v>
      </c>
      <c r="C334" t="s">
        <v>4520</v>
      </c>
      <c r="D334" t="str">
        <f t="shared" si="10"/>
        <v>330. V10042</v>
      </c>
      <c r="E334" s="5" t="str">
        <f t="shared" ca="1" si="11"/>
        <v>Công ty TNHH Thương mại và đầu tư khí công nghiệp Sao Mai Hải phòng</v>
      </c>
      <c r="F334" t="str">
        <f>IFERROR(VLOOKUP(Table1[[#This Row],[Tên đối tượng]],'DANH MỤC ĐỐI TƯỢNG'!A:E,5,0),"")</f>
        <v>Tổ dân phố 3 (nhà ông Thái Bá Sơn), thị trấn An Dương, huyện An Dương, thành phố Hải Phòng, Việt Nam</v>
      </c>
      <c r="G334" t="str">
        <f>_xlfn.IFNA(VLOOKUP(Table1[[#This Row],[Tên đối tượng]],'DANH MỤC ĐỐI TƯỢNG'!A:F,6,0),"")</f>
        <v>0201561580</v>
      </c>
      <c r="H334" t="str">
        <f>_xlfn.IFNA(VLOOKUP(Table1[[#This Row],[Tên đối tượng]],'DANH MỤC ĐỐI TƯỢNG'!A:I,9,0),"")</f>
        <v>Ngân hàng TMCP xuất nhập khẩu Việt Nam - CN Tô Hiệu, Hải Phòng</v>
      </c>
      <c r="I334" t="str">
        <f>_xlfn.IFNA(VLOOKUP(Table1[[#This Row],[Tên đối tượng]],'DANH MỤC ĐỐI TƯỢNG'!A:J,10,0),"")</f>
        <v>160314851022059</v>
      </c>
    </row>
    <row r="335" spans="1:9" x14ac:dyDescent="0.3">
      <c r="A335">
        <v>331</v>
      </c>
      <c r="B335" t="s">
        <v>652</v>
      </c>
      <c r="C335" t="s">
        <v>653</v>
      </c>
      <c r="D335" t="str">
        <f t="shared" si="10"/>
        <v>331. V10010</v>
      </c>
      <c r="E335" s="5" t="str">
        <f t="shared" ca="1" si="11"/>
        <v>Công ty TNHH thương mại và dịch vụ công nghiệp Tuấn Huyền</v>
      </c>
      <c r="F335" t="str">
        <f>IFERROR(VLOOKUP(Table1[[#This Row],[Tên đối tượng]],'DANH MỤC ĐỐI TƯỢNG'!A:E,5,0),"")</f>
        <v>Số 206 khu 2 Quán Toan, Hồng Bàng, Hải Phòng</v>
      </c>
      <c r="G335" t="str">
        <f>_xlfn.IFNA(VLOOKUP(Table1[[#This Row],[Tên đối tượng]],'DANH MỤC ĐỐI TƯỢNG'!A:F,6,0),"")</f>
        <v>0200734752</v>
      </c>
      <c r="H335" t="str">
        <f>_xlfn.IFNA(VLOOKUP(Table1[[#This Row],[Tên đối tượng]],'DANH MỤC ĐỐI TƯỢNG'!A:I,9,0),"")</f>
        <v>Vietcombank - CN Hải Phòng</v>
      </c>
      <c r="I335" t="str">
        <f>_xlfn.IFNA(VLOOKUP(Table1[[#This Row],[Tên đối tượng]],'DANH MỤC ĐỐI TƯỢNG'!A:J,10,0),"")</f>
        <v>003 100 078 5509</v>
      </c>
    </row>
    <row r="336" spans="1:9" x14ac:dyDescent="0.3">
      <c r="A336">
        <v>332</v>
      </c>
      <c r="B336" t="s">
        <v>654</v>
      </c>
      <c r="C336" t="s">
        <v>655</v>
      </c>
      <c r="D336" t="str">
        <f t="shared" si="10"/>
        <v>332. V10082</v>
      </c>
      <c r="E336" s="5" t="str">
        <f t="shared" ca="1" si="11"/>
        <v>Công ty TNHH Thương Mại và Dịch vụ Ngọc Trân</v>
      </c>
      <c r="F336" t="str">
        <f>IFERROR(VLOOKUP(Table1[[#This Row],[Tên đối tượng]],'DANH MỤC ĐỐI TƯỢNG'!A:E,5,0),"")</f>
        <v>Đội 9, thôn Hoàng Mai, xã Đồng Thái, huyện An Dương, thành phố Hải Phòng</v>
      </c>
      <c r="G336" t="str">
        <f>_xlfn.IFNA(VLOOKUP(Table1[[#This Row],[Tên đối tượng]],'DANH MỤC ĐỐI TƯỢNG'!A:F,6,0),"")</f>
        <v>0200840341</v>
      </c>
      <c r="H336" t="str">
        <f>_xlfn.IFNA(VLOOKUP(Table1[[#This Row],[Tên đối tượng]],'DANH MỤC ĐỐI TƯỢNG'!A:I,9,0),"")</f>
        <v>Ngân Hàng ACB- CN Tô Hiệu</v>
      </c>
      <c r="I336" t="str">
        <f>_xlfn.IFNA(VLOOKUP(Table1[[#This Row],[Tên đối tượng]],'DANH MỤC ĐỐI TƯỢNG'!A:J,10,0),"")</f>
        <v>56846459</v>
      </c>
    </row>
    <row r="337" spans="1:9" x14ac:dyDescent="0.3">
      <c r="A337">
        <v>333</v>
      </c>
      <c r="B337" t="s">
        <v>656</v>
      </c>
      <c r="C337" t="s">
        <v>657</v>
      </c>
      <c r="D337" t="str">
        <f t="shared" si="10"/>
        <v>333. V10078</v>
      </c>
      <c r="E337" s="5" t="str">
        <f t="shared" ca="1" si="11"/>
        <v>CÔNG TY TNHH THƯƠNG MẠI VÀ DỊCH VỤ TÂM THÀNH ĐẠT</v>
      </c>
      <c r="F337" t="str">
        <f>IFERROR(VLOOKUP(Table1[[#This Row],[Tên đối tượng]],'DANH MỤC ĐỐI TƯỢNG'!A:E,5,0),"")</f>
        <v>Số 595B Nguyễn Văn Linh, phường Vĩnh Niệm, quận Lê Chân, TP. Hải Phòng</v>
      </c>
      <c r="G337">
        <f>_xlfn.IFNA(VLOOKUP(Table1[[#This Row],[Tên đối tượng]],'DANH MỤC ĐỐI TƯỢNG'!A:F,6,0),"")</f>
        <v>0</v>
      </c>
      <c r="H337" t="str">
        <f>_xlfn.IFNA(VLOOKUP(Table1[[#This Row],[Tên đối tượng]],'DANH MỤC ĐỐI TƯỢNG'!A:I,9,0),"")</f>
        <v>Á Châu - CN Hải Phòng</v>
      </c>
      <c r="I337" t="str">
        <f>_xlfn.IFNA(VLOOKUP(Table1[[#This Row],[Tên đối tượng]],'DANH MỤC ĐỐI TƯỢNG'!A:J,10,0),"")</f>
        <v>73431929</v>
      </c>
    </row>
    <row r="338" spans="1:9" x14ac:dyDescent="0.3">
      <c r="A338">
        <v>334</v>
      </c>
      <c r="B338" t="s">
        <v>658</v>
      </c>
      <c r="C338" t="s">
        <v>659</v>
      </c>
      <c r="D338" t="str">
        <f t="shared" si="10"/>
        <v>334. V10220</v>
      </c>
      <c r="E338" s="5" t="str">
        <f t="shared" ca="1" si="11"/>
        <v>Công ty TNHH thương mại và dịch vụ tổng hợp Hòa Thắng</v>
      </c>
      <c r="F338" t="str">
        <f>IFERROR(VLOOKUP(Table1[[#This Row],[Tên đối tượng]],'DANH MỤC ĐỐI TƯỢNG'!A:E,5,0),"")</f>
        <v>Khu đô thị mới, thị trấn Chờ, H.Yên phong, tỉnh Bắc Ninh</v>
      </c>
      <c r="G338" t="str">
        <f>_xlfn.IFNA(VLOOKUP(Table1[[#This Row],[Tên đối tượng]],'DANH MỤC ĐỐI TƯỢNG'!A:F,6,0),"")</f>
        <v>2300849937</v>
      </c>
      <c r="H338" t="str">
        <f>_xlfn.IFNA(VLOOKUP(Table1[[#This Row],[Tên đối tượng]],'DANH MỤC ĐỐI TƯỢNG'!A:I,9,0),"")</f>
        <v>TMCP An Bình - CN Bắc Ninh, PGD Yên Phong</v>
      </c>
      <c r="I338" t="str">
        <f>_xlfn.IFNA(VLOOKUP(Table1[[#This Row],[Tên đối tượng]],'DANH MỤC ĐỐI TƯỢNG'!A:J,10,0),"")</f>
        <v>100 100 548 4099</v>
      </c>
    </row>
    <row r="339" spans="1:9" x14ac:dyDescent="0.3">
      <c r="A339">
        <v>335</v>
      </c>
      <c r="B339" t="s">
        <v>660</v>
      </c>
      <c r="C339" t="s">
        <v>661</v>
      </c>
      <c r="D339" t="str">
        <f t="shared" si="10"/>
        <v>335. V10173</v>
      </c>
      <c r="E339" s="5" t="str">
        <f t="shared" ca="1" si="11"/>
        <v>Công ty TNHH Thương mại và Du lịch Minh Ngọc</v>
      </c>
      <c r="F339" t="str">
        <f>IFERROR(VLOOKUP(Table1[[#This Row],[Tên đối tượng]],'DANH MỤC ĐỐI TƯỢNG'!A:E,5,0),"")</f>
        <v>Số 332 Lê Thánh Tông, phường Máy Chai, quận Ngô Quyền, thành phố Hải Phòng, Việt Nam</v>
      </c>
      <c r="G339" t="str">
        <f>_xlfn.IFNA(VLOOKUP(Table1[[#This Row],[Tên đối tượng]],'DANH MỤC ĐỐI TƯỢNG'!A:F,6,0),"")</f>
        <v>0200602280</v>
      </c>
      <c r="H339" t="str">
        <f>_xlfn.IFNA(VLOOKUP(Table1[[#This Row],[Tên đối tượng]],'DANH MỤC ĐỐI TƯỢNG'!A:I,9,0),"")</f>
        <v>TMCP Công thương Lê Chân, Hải Phòng</v>
      </c>
      <c r="I339" t="str">
        <f>_xlfn.IFNA(VLOOKUP(Table1[[#This Row],[Tên đối tượng]],'DANH MỤC ĐỐI TƯỢNG'!A:J,10,0),"")</f>
        <v>102010000779551</v>
      </c>
    </row>
    <row r="340" spans="1:9" x14ac:dyDescent="0.3">
      <c r="A340">
        <v>336</v>
      </c>
      <c r="B340" t="s">
        <v>662</v>
      </c>
      <c r="C340" t="s">
        <v>663</v>
      </c>
      <c r="D340" t="str">
        <f t="shared" si="10"/>
        <v>336. V10068</v>
      </c>
      <c r="E340" s="5" t="str">
        <f t="shared" ca="1" si="11"/>
        <v>Công ty TNHH thương mại và giao nhận MI</v>
      </c>
      <c r="F340" t="str">
        <f>IFERROR(VLOOKUP(Table1[[#This Row],[Tên đối tượng]],'DANH MỤC ĐỐI TƯỢNG'!A:E,5,0),"")</f>
        <v>Số 12 Đồng Nai, phường 2,Quận Tân Bình, HCM</v>
      </c>
      <c r="G340" t="str">
        <f>_xlfn.IFNA(VLOOKUP(Table1[[#This Row],[Tên đối tượng]],'DANH MỤC ĐỐI TƯỢNG'!A:F,6,0),"")</f>
        <v>0304938126</v>
      </c>
      <c r="H340" t="str">
        <f>_xlfn.IFNA(VLOOKUP(Table1[[#This Row],[Tên đối tượng]],'DANH MỤC ĐỐI TƯỢNG'!A:I,9,0),"")</f>
        <v>Sumitomo Mitsui Banking Corporation-Hochiminh City Branch</v>
      </c>
      <c r="I340" t="str">
        <f>_xlfn.IFNA(VLOOKUP(Table1[[#This Row],[Tên đối tượng]],'DANH MỤC ĐỐI TƯỢNG'!A:J,10,0),"")</f>
        <v>3100024-1</v>
      </c>
    </row>
    <row r="341" spans="1:9" x14ac:dyDescent="0.3">
      <c r="A341">
        <v>337</v>
      </c>
      <c r="B341" t="s">
        <v>664</v>
      </c>
      <c r="C341" t="s">
        <v>665</v>
      </c>
      <c r="D341" t="str">
        <f t="shared" si="10"/>
        <v>337. V10168</v>
      </c>
      <c r="E341" s="5" t="str">
        <f t="shared" ca="1" si="11"/>
        <v>Công ty TNHH Thương mại và kỹ thuật Châu Á</v>
      </c>
      <c r="F341" t="str">
        <f>IFERROR(VLOOKUP(Table1[[#This Row],[Tên đối tượng]],'DANH MỤC ĐỐI TƯỢNG'!A:E,5,0),"")</f>
        <v>Số 5, ngõ 4, phố Kim Mã, phường Kim Mã, quận Ba Đình, Thành phố Hà Nội, Việt Nam</v>
      </c>
      <c r="G341" t="str">
        <f>_xlfn.IFNA(VLOOKUP(Table1[[#This Row],[Tên đối tượng]],'DANH MỤC ĐỐI TƯỢNG'!A:F,6,0),"")</f>
        <v>0104885276</v>
      </c>
      <c r="H341" t="str">
        <f>_xlfn.IFNA(VLOOKUP(Table1[[#This Row],[Tên đối tượng]],'DANH MỤC ĐỐI TƯỢNG'!A:I,9,0),"")</f>
        <v>TMCP Kỹ Thương Việt Nam - CN Hoàn Kiếm</v>
      </c>
      <c r="I341" t="str">
        <f>_xlfn.IFNA(VLOOKUP(Table1[[#This Row],[Tên đối tượng]],'DANH MỤC ĐỐI TƯỢNG'!A:J,10,0),"")</f>
        <v>10823201292888</v>
      </c>
    </row>
    <row r="342" spans="1:9" x14ac:dyDescent="0.3">
      <c r="A342">
        <v>338</v>
      </c>
      <c r="B342" t="s">
        <v>666</v>
      </c>
      <c r="C342" t="s">
        <v>667</v>
      </c>
      <c r="D342" t="str">
        <f t="shared" si="10"/>
        <v>338. V10154</v>
      </c>
      <c r="E342" s="5" t="str">
        <f t="shared" ca="1" si="11"/>
        <v>Công ty TNHH Thương mại và phân phối linh kiện DPS Việt Nam</v>
      </c>
      <c r="F342" t="str">
        <f>IFERROR(VLOOKUP(Table1[[#This Row],[Tên đối tượng]],'DANH MỤC ĐỐI TƯỢNG'!A:E,5,0),"")</f>
        <v>147 Đường số 5, Khu đô thị An Phú - An Khánh, KP.2, P.Bình An, Quận 2, TP.HCM</v>
      </c>
      <c r="G342" t="str">
        <f>_xlfn.IFNA(VLOOKUP(Table1[[#This Row],[Tên đối tượng]],'DANH MỤC ĐỐI TƯỢNG'!A:F,6,0),"")</f>
        <v>0310383874</v>
      </c>
      <c r="H342" t="str">
        <f>_xlfn.IFNA(VLOOKUP(Table1[[#This Row],[Tên đối tượng]],'DANH MỤC ĐỐI TƯỢNG'!A:I,9,0),"")</f>
        <v>TMCP Á Châu - PGD Đông Sài Gòn</v>
      </c>
      <c r="I342" t="str">
        <f>_xlfn.IFNA(VLOOKUP(Table1[[#This Row],[Tên đối tượng]],'DANH MỤC ĐỐI TƯỢNG'!A:J,10,0),"")</f>
        <v>89128209</v>
      </c>
    </row>
    <row r="343" spans="1:9" x14ac:dyDescent="0.3">
      <c r="A343">
        <v>339</v>
      </c>
      <c r="B343" t="s">
        <v>668</v>
      </c>
      <c r="C343" t="s">
        <v>669</v>
      </c>
      <c r="D343" t="str">
        <f t="shared" si="10"/>
        <v>339. V10083</v>
      </c>
      <c r="E343" s="5" t="str">
        <f t="shared" ca="1" si="11"/>
        <v>Công ty TNHH Thương mại Vận tải và Sản xuất Hải Nguyên</v>
      </c>
      <c r="F343" t="str">
        <f>IFERROR(VLOOKUP(Table1[[#This Row],[Tên đối tượng]],'DANH MỤC ĐỐI TƯỢNG'!A:E,5,0),"")</f>
        <v>Tổ Mỹ Khê Tây, Phường Đồng Hòa, Quận Kiến An, TP Hải Phòng</v>
      </c>
      <c r="G343" t="str">
        <f>_xlfn.IFNA(VLOOKUP(Table1[[#This Row],[Tên đối tượng]],'DANH MỤC ĐỐI TƯỢNG'!A:F,6,0),"")</f>
        <v>0201289631</v>
      </c>
      <c r="H343" t="str">
        <f>_xlfn.IFNA(VLOOKUP(Table1[[#This Row],[Tên đối tượng]],'DANH MỤC ĐỐI TƯỢNG'!A:I,9,0),"")</f>
        <v>GP Bank Hải Phòng</v>
      </c>
      <c r="I343" t="str">
        <f>_xlfn.IFNA(VLOOKUP(Table1[[#This Row],[Tên đối tượng]],'DANH MỤC ĐỐI TƯỢNG'!A:J,10,0),"")</f>
        <v>20058075</v>
      </c>
    </row>
    <row r="344" spans="1:9" x14ac:dyDescent="0.3">
      <c r="A344">
        <v>340</v>
      </c>
      <c r="B344" t="s">
        <v>670</v>
      </c>
      <c r="C344" t="s">
        <v>671</v>
      </c>
      <c r="D344" t="str">
        <f t="shared" si="10"/>
        <v>340. V10195</v>
      </c>
      <c r="E344" s="5" t="str">
        <f t="shared" ca="1" si="11"/>
        <v>Công ty TNHH Thương mại Xuất nhập khẩu Khai Tâm</v>
      </c>
      <c r="F344" t="str">
        <f>IFERROR(VLOOKUP(Table1[[#This Row],[Tên đối tượng]],'DANH MỤC ĐỐI TƯỢNG'!A:E,5,0),"")</f>
        <v>207/55 Hồ Học Lãm, P.An Lạc, Q.Bình Tân, TP.Hồ Chí Minh</v>
      </c>
      <c r="G344" t="str">
        <f>_xlfn.IFNA(VLOOKUP(Table1[[#This Row],[Tên đối tượng]],'DANH MỤC ĐỐI TƯỢNG'!A:F,6,0),"")</f>
        <v>0310814030</v>
      </c>
      <c r="H344" t="str">
        <f>_xlfn.IFNA(VLOOKUP(Table1[[#This Row],[Tên đối tượng]],'DANH MỤC ĐỐI TƯỢNG'!A:I,9,0),"")</f>
        <v>Ngân hàng thương mại cổ phần Á Châu-Sở giao dịch TP.HCM</v>
      </c>
      <c r="I344" t="str">
        <f>_xlfn.IFNA(VLOOKUP(Table1[[#This Row],[Tên đối tượng]],'DANH MỤC ĐỐI TƯỢNG'!A:J,10,0),"")</f>
        <v>103731129</v>
      </c>
    </row>
    <row r="345" spans="1:9" x14ac:dyDescent="0.3">
      <c r="A345">
        <v>341</v>
      </c>
      <c r="B345" t="s">
        <v>672</v>
      </c>
      <c r="C345" t="s">
        <v>4356</v>
      </c>
      <c r="D345" t="str">
        <f t="shared" si="10"/>
        <v>341. V10005</v>
      </c>
      <c r="E345" s="5" t="str">
        <f t="shared" ca="1" si="11"/>
        <v>Công ty TNHH Thương Mại Xuất Nhập Khẩu May Mặc Minh Ngọc</v>
      </c>
      <c r="F345" t="str">
        <f>IFERROR(VLOOKUP(Table1[[#This Row],[Tên đối tượng]],'DANH MỤC ĐỐI TƯỢNG'!A:E,5,0),"")</f>
        <v>Số 83 Bạch Đằng - Phường Hạ Lý - Quận Hồng Bàng - Hải Phòng</v>
      </c>
      <c r="G345" t="str">
        <f>_xlfn.IFNA(VLOOKUP(Table1[[#This Row],[Tên đối tượng]],'DANH MỤC ĐỐI TƯỢNG'!A:F,6,0),"")</f>
        <v>0200680546</v>
      </c>
      <c r="H345" t="str">
        <f>_xlfn.IFNA(VLOOKUP(Table1[[#This Row],[Tên đối tượng]],'DANH MỤC ĐỐI TƯỢNG'!A:I,9,0),"")</f>
        <v>BIDV - CN Hải Phòng</v>
      </c>
      <c r="I345" t="str">
        <f>_xlfn.IFNA(VLOOKUP(Table1[[#This Row],[Tên đối tượng]],'DANH MỤC ĐỐI TƯỢNG'!A:J,10,0),"")</f>
        <v>3211 0000 1866 35</v>
      </c>
    </row>
    <row r="346" spans="1:9" x14ac:dyDescent="0.3">
      <c r="A346">
        <v>342</v>
      </c>
      <c r="B346" t="s">
        <v>673</v>
      </c>
      <c r="C346" t="s">
        <v>674</v>
      </c>
      <c r="D346" t="str">
        <f t="shared" si="10"/>
        <v>342. V10231</v>
      </c>
      <c r="E346" s="5" t="str">
        <f t="shared" ca="1" si="11"/>
        <v>Công ty TNHH thương mại Yuasa Việt Nam</v>
      </c>
      <c r="F346" t="str">
        <f>IFERROR(VLOOKUP(Table1[[#This Row],[Tên đối tượng]],'DANH MỤC ĐỐI TƯỢNG'!A:E,5,0),"")</f>
        <v>Phòng 1007, tầng 10, số 54-56, đường Nguyễn Trãi,Q1, TP Hồ Chí Minh</v>
      </c>
      <c r="G346" t="str">
        <f>_xlfn.IFNA(VLOOKUP(Table1[[#This Row],[Tên đối tượng]],'DANH MỤC ĐỐI TƯỢNG'!A:F,6,0),"")</f>
        <v>0311612904</v>
      </c>
      <c r="H346" t="str">
        <f>_xlfn.IFNA(VLOOKUP(Table1[[#This Row],[Tên đối tượng]],'DANH MỤC ĐỐI TƯỢNG'!A:I,9,0),"")</f>
        <v>VIETCOMBANK - HCMC BRANCH</v>
      </c>
      <c r="I346" t="str">
        <f>_xlfn.IFNA(VLOOKUP(Table1[[#This Row],[Tên đối tượng]],'DANH MỤC ĐỐI TƯỢNG'!A:J,10,0),"")</f>
        <v>007.1000.691105</v>
      </c>
    </row>
    <row r="347" spans="1:9" x14ac:dyDescent="0.3">
      <c r="A347">
        <v>343</v>
      </c>
      <c r="B347" t="s">
        <v>675</v>
      </c>
      <c r="C347" t="s">
        <v>676</v>
      </c>
      <c r="D347" t="str">
        <f t="shared" si="10"/>
        <v>343. V10338</v>
      </c>
      <c r="E347" s="5" t="str">
        <f t="shared" ca="1" si="11"/>
        <v>Công ty TNHH Thương mại, dịch vụ và du lịch bầu trời xanh</v>
      </c>
      <c r="F347" t="str">
        <f>IFERROR(VLOOKUP(Table1[[#This Row],[Tên đối tượng]],'DANH MỤC ĐỐI TƯỢNG'!A:E,5,0),"")</f>
        <v>11E2 Khu nhà ở Cầu diễn, P.Phú diễn, Q.Bắc Từ Liêm, Hà nội</v>
      </c>
      <c r="G347" t="str">
        <f>_xlfn.IFNA(VLOOKUP(Table1[[#This Row],[Tên đối tượng]],'DANH MỤC ĐỐI TƯỢNG'!A:F,6,0),"")</f>
        <v>0101279446</v>
      </c>
      <c r="H347" t="str">
        <f>_xlfn.IFNA(VLOOKUP(Table1[[#This Row],[Tên đối tượng]],'DANH MỤC ĐỐI TƯỢNG'!A:I,9,0),"")</f>
        <v>Ngân hàng TMCP Quân Đội - CN Điện Biên Phủ</v>
      </c>
      <c r="I347" t="str">
        <f>_xlfn.IFNA(VLOOKUP(Table1[[#This Row],[Tên đối tượng]],'DANH MỤC ĐỐI TƯỢNG'!A:J,10,0),"")</f>
        <v>05111 0213 5002</v>
      </c>
    </row>
    <row r="348" spans="1:9" x14ac:dyDescent="0.3">
      <c r="A348">
        <v>344</v>
      </c>
      <c r="B348" t="s">
        <v>677</v>
      </c>
      <c r="C348" t="s">
        <v>4558</v>
      </c>
      <c r="D348" t="str">
        <f t="shared" si="10"/>
        <v>344. V10116</v>
      </c>
      <c r="E348" s="5" t="str">
        <f t="shared" ca="1" si="11"/>
        <v>Công ty TNHH Thương Mại Sa Giang</v>
      </c>
      <c r="F348" t="str">
        <f>IFERROR(VLOOKUP(Table1[[#This Row],[Tên đối tượng]],'DANH MỤC ĐỐI TƯỢNG'!A:E,5,0),"")</f>
        <v>Tầng 11, tòa nhà REE, số 9 Đoàn Văn Bơ, phường 12, quận 4, TP.HCM</v>
      </c>
      <c r="G348" t="str">
        <f>_xlfn.IFNA(VLOOKUP(Table1[[#This Row],[Tên đối tượng]],'DANH MỤC ĐỐI TƯỢNG'!A:F,6,0),"")</f>
        <v>0301025946</v>
      </c>
      <c r="H348" t="str">
        <f>_xlfn.IFNA(VLOOKUP(Table1[[#This Row],[Tên đối tượng]],'DANH MỤC ĐỐI TƯỢNG'!A:I,9,0),"")</f>
        <v>Ngân hàng Á Châu - CN Lê Văn Sỹ</v>
      </c>
      <c r="I348" t="str">
        <f>_xlfn.IFNA(VLOOKUP(Table1[[#This Row],[Tên đối tượng]],'DANH MỤC ĐỐI TƯỢNG'!A:J,10,0),"")</f>
        <v>35816969</v>
      </c>
    </row>
    <row r="349" spans="1:9" x14ac:dyDescent="0.3">
      <c r="A349">
        <v>345</v>
      </c>
      <c r="B349" t="s">
        <v>678</v>
      </c>
      <c r="C349" t="s">
        <v>679</v>
      </c>
      <c r="D349" t="str">
        <f t="shared" si="10"/>
        <v>345. V10362</v>
      </c>
      <c r="E349" s="5" t="str">
        <f t="shared" ca="1" si="11"/>
        <v>CÔNG TY TNHH TRUYỀN THÔNG BETANAM</v>
      </c>
      <c r="F349" t="str">
        <f>IFERROR(VLOOKUP(Table1[[#This Row],[Tên đối tượng]],'DANH MỤC ĐỐI TƯỢNG'!A:E,5,0),"")</f>
        <v>Số 88, ngõ 90 Đường Nguyễn Tuân, Phường Thanh Xuân Trung, Quận Thanh Xuân, Thành phố Hà Nội</v>
      </c>
      <c r="G349">
        <f>_xlfn.IFNA(VLOOKUP(Table1[[#This Row],[Tên đối tượng]],'DANH MỤC ĐỐI TƯỢNG'!A:F,6,0),"")</f>
        <v>0</v>
      </c>
      <c r="H349" t="str">
        <f>_xlfn.IFNA(VLOOKUP(Table1[[#This Row],[Tên đối tượng]],'DANH MỤC ĐỐI TƯỢNG'!A:I,9,0),"")</f>
        <v>Vietcombank / Thành Công, Hà Nội</v>
      </c>
      <c r="I349" t="str">
        <f>_xlfn.IFNA(VLOOKUP(Table1[[#This Row],[Tên đối tượng]],'DANH MỤC ĐỐI TƯỢNG'!A:J,10,0),"")</f>
        <v>0451000268072</v>
      </c>
    </row>
    <row r="350" spans="1:9" x14ac:dyDescent="0.3">
      <c r="A350">
        <v>346</v>
      </c>
      <c r="B350" t="s">
        <v>680</v>
      </c>
      <c r="C350" t="s">
        <v>681</v>
      </c>
      <c r="D350" t="str">
        <f t="shared" si="10"/>
        <v>346. V10302</v>
      </c>
      <c r="E350" s="5" t="str">
        <f t="shared" ca="1" si="11"/>
        <v>Công ty TNHH Truyền Thông EFS Việt Nam</v>
      </c>
      <c r="F350" t="str">
        <f>IFERROR(VLOOKUP(Table1[[#This Row],[Tên đối tượng]],'DANH MỤC ĐỐI TƯỢNG'!A:E,5,0),"")</f>
        <v>phường Vĩnh PhúcSố 111, phố Vĩnh Phúc,Quận Ba ĐìnhThành phố Hà Nội, Việt Nam</v>
      </c>
      <c r="G350" t="str">
        <f>_xlfn.IFNA(VLOOKUP(Table1[[#This Row],[Tên đối tượng]],'DANH MỤC ĐỐI TƯỢNG'!A:F,6,0),"")</f>
        <v>0106220679</v>
      </c>
      <c r="H350" t="str">
        <f>_xlfn.IFNA(VLOOKUP(Table1[[#This Row],[Tên đối tượng]],'DANH MỤC ĐỐI TƯỢNG'!A:I,9,0),"")</f>
        <v>Ngân hàng TMCP Ngoại thương Việt Nam - PGD số 8</v>
      </c>
      <c r="I350" t="str">
        <f>_xlfn.IFNA(VLOOKUP(Table1[[#This Row],[Tên đối tượng]],'DANH MỤC ĐỐI TƯỢNG'!A:J,10,0),"")</f>
        <v>0011 00412 8688</v>
      </c>
    </row>
    <row r="351" spans="1:9" x14ac:dyDescent="0.3">
      <c r="A351">
        <v>347</v>
      </c>
      <c r="B351" t="s">
        <v>682</v>
      </c>
      <c r="C351" t="s">
        <v>683</v>
      </c>
      <c r="D351" t="str">
        <f t="shared" si="10"/>
        <v>347. V10369</v>
      </c>
      <c r="E351" s="5" t="str">
        <f t="shared" ca="1" si="11"/>
        <v>Công ty TNHH tư vấn công nghệ và quản lý Hải Phòng</v>
      </c>
      <c r="F351" t="str">
        <f>IFERROR(VLOOKUP(Table1[[#This Row],[Tên đối tượng]],'DANH MỤC ĐỐI TƯỢNG'!A:E,5,0),"")</f>
        <v/>
      </c>
      <c r="G351" t="str">
        <f>_xlfn.IFNA(VLOOKUP(Table1[[#This Row],[Tên đối tượng]],'DANH MỤC ĐỐI TƯỢNG'!A:F,6,0),"")</f>
        <v/>
      </c>
      <c r="H351" t="str">
        <f>_xlfn.IFNA(VLOOKUP(Table1[[#This Row],[Tên đối tượng]],'DANH MỤC ĐỐI TƯỢNG'!A:I,9,0),"")</f>
        <v/>
      </c>
      <c r="I351" t="str">
        <f>_xlfn.IFNA(VLOOKUP(Table1[[#This Row],[Tên đối tượng]],'DANH MỤC ĐỐI TƯỢNG'!A:J,10,0),"")</f>
        <v/>
      </c>
    </row>
    <row r="352" spans="1:9" x14ac:dyDescent="0.3">
      <c r="A352">
        <v>348</v>
      </c>
      <c r="B352" t="s">
        <v>684</v>
      </c>
      <c r="C352" t="s">
        <v>685</v>
      </c>
      <c r="D352" t="str">
        <f t="shared" si="10"/>
        <v>348. V10219</v>
      </c>
      <c r="E352" s="5" t="str">
        <f t="shared" ca="1" si="11"/>
        <v>Công ty TNHH tư vấn giải pháp Việt Nam</v>
      </c>
      <c r="F352" t="str">
        <f>IFERROR(VLOOKUP(Table1[[#This Row],[Tên đối tượng]],'DANH MỤC ĐỐI TƯỢNG'!A:E,5,0),"")</f>
        <v>291 Ngọc Thụy, phường Ngọc Thụy, quận Long Biên, thành phố Hà Nội, Việt Nam</v>
      </c>
      <c r="G352" t="str">
        <f>_xlfn.IFNA(VLOOKUP(Table1[[#This Row],[Tên đối tượng]],'DANH MỤC ĐỐI TƯỢNG'!A:F,6,0),"")</f>
        <v>0102376562</v>
      </c>
      <c r="H352" t="str">
        <f>_xlfn.IFNA(VLOOKUP(Table1[[#This Row],[Tên đối tượng]],'DANH MỤC ĐỐI TƯỢNG'!A:I,9,0),"")</f>
        <v>Vietcombank - CN Nam Sài Gòn</v>
      </c>
      <c r="I352" t="str">
        <f>_xlfn.IFNA(VLOOKUP(Table1[[#This Row],[Tên đối tượng]],'DANH MỤC ĐỐI TƯỢNG'!A:J,10,0),"")</f>
        <v>0181003319501</v>
      </c>
    </row>
    <row r="353" spans="1:9" x14ac:dyDescent="0.3">
      <c r="A353">
        <v>349</v>
      </c>
      <c r="B353" t="s">
        <v>686</v>
      </c>
      <c r="C353" t="s">
        <v>687</v>
      </c>
      <c r="D353" t="str">
        <f t="shared" si="10"/>
        <v>349. V10191</v>
      </c>
      <c r="E353" s="5" t="str">
        <f t="shared" ca="1" si="11"/>
        <v>Công ty TNHH tư vấn kinh doanh và dịch vụ Yamato</v>
      </c>
      <c r="F353" t="str">
        <f>IFERROR(VLOOKUP(Table1[[#This Row],[Tên đối tượng]],'DANH MỤC ĐỐI TƯỢNG'!A:E,5,0),"")</f>
        <v>Số 82/333 Văn Cao, khu Thư Trung, Phường Đằng Lâm, quận Hải an, thành phố Hải Phòng, Việt Nam</v>
      </c>
      <c r="G353">
        <f>_xlfn.IFNA(VLOOKUP(Table1[[#This Row],[Tên đối tượng]],'DANH MỤC ĐỐI TƯỢNG'!A:F,6,0),"")</f>
        <v>0</v>
      </c>
      <c r="H353" t="str">
        <f>_xlfn.IFNA(VLOOKUP(Table1[[#This Row],[Tên đối tượng]],'DANH MỤC ĐỐI TƯỢNG'!A:I,9,0),"")</f>
        <v>TMCP XNK Việt Nam - CN Hải Phòng</v>
      </c>
      <c r="I353" t="str">
        <f>_xlfn.IFNA(VLOOKUP(Table1[[#This Row],[Tên đối tượng]],'DANH MỤC ĐỐI TƯỢNG'!A:J,10,0),"")</f>
        <v>160314851021702</v>
      </c>
    </row>
    <row r="354" spans="1:9" x14ac:dyDescent="0.3">
      <c r="A354">
        <v>350</v>
      </c>
      <c r="B354" t="s">
        <v>688</v>
      </c>
      <c r="C354" t="s">
        <v>689</v>
      </c>
      <c r="D354" t="str">
        <f t="shared" si="10"/>
        <v>350. V10276</v>
      </c>
      <c r="E354" s="5" t="str">
        <f t="shared" ca="1" si="11"/>
        <v>Công ty TNHH tư vấn và chuyển giao công nghệ Tiên Tiến</v>
      </c>
      <c r="F354" t="str">
        <f>IFERROR(VLOOKUP(Table1[[#This Row],[Tên đối tượng]],'DANH MỤC ĐỐI TƯỢNG'!A:E,5,0),"")</f>
        <v>VP 413, tòa nhà  Dreamland Bonanza, 23 Duy Tân, Phường Dịch Vọng Hậu, Quận Cầu Giay, Thành phố Hà Nội, Việt Nam</v>
      </c>
      <c r="G354" t="str">
        <f>_xlfn.IFNA(VLOOKUP(Table1[[#This Row],[Tên đối tượng]],'DANH MỤC ĐỐI TƯỢNG'!A:F,6,0),"")</f>
        <v>0106141868</v>
      </c>
      <c r="H354" t="str">
        <f>_xlfn.IFNA(VLOOKUP(Table1[[#This Row],[Tên đối tượng]],'DANH MỤC ĐỐI TƯỢNG'!A:I,9,0),"")</f>
        <v>Vietcombank - CN Ba đình</v>
      </c>
      <c r="I354" t="str">
        <f>_xlfn.IFNA(VLOOKUP(Table1[[#This Row],[Tên đối tượng]],'DANH MỤC ĐỐI TƯỢNG'!A:J,10,0),"")</f>
        <v>0611.001.907.991</v>
      </c>
    </row>
    <row r="355" spans="1:9" x14ac:dyDescent="0.3">
      <c r="A355">
        <v>351</v>
      </c>
      <c r="B355" t="s">
        <v>690</v>
      </c>
      <c r="C355" t="s">
        <v>691</v>
      </c>
      <c r="D355" t="str">
        <f t="shared" si="10"/>
        <v>351. V10348</v>
      </c>
      <c r="E355" s="5" t="str">
        <f t="shared" ca="1" si="11"/>
        <v>Công ty TNHH tư vấn và đào tạo quản lý quốc tế</v>
      </c>
      <c r="F355" t="str">
        <f>IFERROR(VLOOKUP(Table1[[#This Row],[Tên đối tượng]],'DANH MỤC ĐỐI TƯỢNG'!A:E,5,0),"")</f>
        <v>P.609, tầng 6,số 27, Trần Duy Hưng, P.Trung Hòa, Q.Cầu giấy, TP.Hà nội</v>
      </c>
      <c r="G355">
        <f>_xlfn.IFNA(VLOOKUP(Table1[[#This Row],[Tên đối tượng]],'DANH MỤC ĐỐI TƯỢNG'!A:F,6,0),"")</f>
        <v>0</v>
      </c>
      <c r="H355" t="str">
        <f>_xlfn.IFNA(VLOOKUP(Table1[[#This Row],[Tên đối tượng]],'DANH MỤC ĐỐI TƯỢNG'!A:I,9,0),"")</f>
        <v>Ngân hàng TMCP đầu tư và phát triển Việt nam - CN Đông đô</v>
      </c>
      <c r="I355" t="str">
        <f>_xlfn.IFNA(VLOOKUP(Table1[[#This Row],[Tên đối tượng]],'DANH MỤC ĐỐI TƯỢNG'!A:J,10,0),"")</f>
        <v>1251 0000 712377</v>
      </c>
    </row>
    <row r="356" spans="1:9" x14ac:dyDescent="0.3">
      <c r="A356">
        <v>352</v>
      </c>
      <c r="B356" t="s">
        <v>692</v>
      </c>
      <c r="C356" t="s">
        <v>693</v>
      </c>
      <c r="D356" t="str">
        <f t="shared" si="10"/>
        <v>352. V10073</v>
      </c>
      <c r="E356" s="5" t="str">
        <f t="shared" ca="1" si="11"/>
        <v>Công ty TNHH Tùng Vi</v>
      </c>
      <c r="F356" t="str">
        <f>IFERROR(VLOOKUP(Table1[[#This Row],[Tên đối tượng]],'DANH MỤC ĐỐI TƯỢNG'!A:E,5,0),"")</f>
        <v>Khu I Dư Hàng Kênh, Quận Lê Chân, TP Hải Phòng</v>
      </c>
      <c r="G356" t="str">
        <f>_xlfn.IFNA(VLOOKUP(Table1[[#This Row],[Tên đối tượng]],'DANH MỤC ĐỐI TƯỢNG'!A:F,6,0),"")</f>
        <v>0200597351</v>
      </c>
      <c r="H356" t="str">
        <f>_xlfn.IFNA(VLOOKUP(Table1[[#This Row],[Tên đối tượng]],'DANH MỤC ĐỐI TƯỢNG'!A:I,9,0),"")</f>
        <v>Ngân hàng Techcombank- CN Hải Phòng</v>
      </c>
      <c r="I356" t="str">
        <f>_xlfn.IFNA(VLOOKUP(Table1[[#This Row],[Tên đối tượng]],'DANH MỤC ĐỐI TƯỢNG'!A:J,10,0),"")</f>
        <v>10921419133015</v>
      </c>
    </row>
    <row r="357" spans="1:9" x14ac:dyDescent="0.3">
      <c r="A357">
        <v>353</v>
      </c>
      <c r="B357" t="s">
        <v>694</v>
      </c>
      <c r="C357" t="s">
        <v>695</v>
      </c>
      <c r="D357" t="str">
        <f t="shared" si="10"/>
        <v>353. V10213</v>
      </c>
      <c r="E357" s="5" t="str">
        <f t="shared" ca="1" si="11"/>
        <v>Công ty TNHH TUV Nord Việt Nam</v>
      </c>
      <c r="F357" t="str">
        <f>IFERROR(VLOOKUP(Table1[[#This Row],[Tên đối tượng]],'DANH MỤC ĐỐI TƯỢNG'!A:E,5,0),"")</f>
        <v>Tầng 8,tòa nhà Thăng Long, 105 Láng Hạ, Hà nội</v>
      </c>
      <c r="G357" t="str">
        <f>_xlfn.IFNA(VLOOKUP(Table1[[#This Row],[Tên đối tượng]],'DANH MỤC ĐỐI TƯỢNG'!A:F,6,0),"")</f>
        <v>0101838278</v>
      </c>
      <c r="H357" t="str">
        <f>_xlfn.IFNA(VLOOKUP(Table1[[#This Row],[Tên đối tượng]],'DANH MỤC ĐỐI TƯỢNG'!A:I,9,0),"")</f>
        <v>BIDV - CN Đông Đô</v>
      </c>
      <c r="I357" t="str">
        <f>_xlfn.IFNA(VLOOKUP(Table1[[#This Row],[Tên đối tượng]],'DANH MỤC ĐỐI TƯỢNG'!A:J,10,0),"")</f>
        <v>125 100000 72169</v>
      </c>
    </row>
    <row r="358" spans="1:9" x14ac:dyDescent="0.3">
      <c r="A358">
        <v>354</v>
      </c>
      <c r="B358" t="s">
        <v>696</v>
      </c>
      <c r="C358" t="s">
        <v>4184</v>
      </c>
      <c r="D358" t="str">
        <f t="shared" si="10"/>
        <v>354. V10343</v>
      </c>
      <c r="E358" s="5" t="str">
        <f t="shared" ca="1" si="11"/>
        <v>Công ty TNHH ứng dụng công nghệ Vật liệu mới Hải Phòng</v>
      </c>
      <c r="F358" t="str">
        <f>IFERROR(VLOOKUP(Table1[[#This Row],[Tên đối tượng]],'DANH MỤC ĐỐI TƯỢNG'!A:E,5,0),"")</f>
        <v>(Nhà ông Trần Văn Hạnh),Km 27+400 đường quốc lộ 10, thôn 6,xã Bắc Sơn, Huyện An Dương,</v>
      </c>
      <c r="G358">
        <f>_xlfn.IFNA(VLOOKUP(Table1[[#This Row],[Tên đối tượng]],'DANH MỤC ĐỐI TƯỢNG'!A:F,6,0),"")</f>
        <v>0</v>
      </c>
      <c r="H358" t="str">
        <f>_xlfn.IFNA(VLOOKUP(Table1[[#This Row],[Tên đối tượng]],'DANH MỤC ĐỐI TƯỢNG'!A:I,9,0),"")</f>
        <v>Vietin bank / Lê Chân, Hải Phòng</v>
      </c>
      <c r="I358" t="str">
        <f>_xlfn.IFNA(VLOOKUP(Table1[[#This Row],[Tên đối tượng]],'DANH MỤC ĐỐI TƯỢNG'!A:J,10,0),"")</f>
        <v>102010001288379</v>
      </c>
    </row>
    <row r="359" spans="1:9" x14ac:dyDescent="0.3">
      <c r="A359">
        <v>355</v>
      </c>
      <c r="B359" t="s">
        <v>697</v>
      </c>
      <c r="C359" t="s">
        <v>698</v>
      </c>
      <c r="D359" t="str">
        <f t="shared" si="10"/>
        <v>355. V10296</v>
      </c>
      <c r="E359" s="5" t="str">
        <f t="shared" ca="1" si="11"/>
        <v>Công ty TNHH vật liệu công nghiệp Cao Sơn</v>
      </c>
      <c r="F359" t="str">
        <f>IFERROR(VLOOKUP(Table1[[#This Row],[Tên đối tượng]],'DANH MỤC ĐỐI TƯỢNG'!A:E,5,0),"")</f>
        <v>61 Nguyễn Văn Đậu, Phường 6,Quận Bình ThạnhThành phố Hồ Chí Minh</v>
      </c>
      <c r="G359">
        <f>_xlfn.IFNA(VLOOKUP(Table1[[#This Row],[Tên đối tượng]],'DANH MỤC ĐỐI TƯỢNG'!A:F,6,0),"")</f>
        <v>0</v>
      </c>
      <c r="H359" t="str">
        <f>_xlfn.IFNA(VLOOKUP(Table1[[#This Row],[Tên đối tượng]],'DANH MỤC ĐỐI TƯỢNG'!A:I,9,0),"")</f>
        <v>Vietcombank - CN Kỳ Đồng - HCM</v>
      </c>
      <c r="I359" t="str">
        <f>_xlfn.IFNA(VLOOKUP(Table1[[#This Row],[Tên đối tượng]],'DANH MỤC ĐỐI TƯỢNG'!A:J,10,0),"")</f>
        <v>0071002924497</v>
      </c>
    </row>
    <row r="360" spans="1:9" x14ac:dyDescent="0.3">
      <c r="A360">
        <v>356</v>
      </c>
      <c r="B360" t="s">
        <v>699</v>
      </c>
      <c r="C360" t="s">
        <v>700</v>
      </c>
      <c r="D360" t="str">
        <f t="shared" si="10"/>
        <v>356. V10223</v>
      </c>
      <c r="E360" s="5" t="str">
        <f t="shared" ca="1" si="11"/>
        <v>Công Ty TNHH Việt Thăng</v>
      </c>
      <c r="F360" t="str">
        <f>IFERROR(VLOOKUP(Table1[[#This Row],[Tên đối tượng]],'DANH MỤC ĐỐI TƯỢNG'!A:E,5,0),"")</f>
        <v>307/10 Nguyễn Văn Trỗi, Phường 1 , Quận Tân Bình, TP.HCM</v>
      </c>
      <c r="G360" t="str">
        <f>_xlfn.IFNA(VLOOKUP(Table1[[#This Row],[Tên đối tượng]],'DANH MỤC ĐỐI TƯỢNG'!A:F,6,0),"")</f>
        <v>0302615708</v>
      </c>
      <c r="H360" t="str">
        <f>_xlfn.IFNA(VLOOKUP(Table1[[#This Row],[Tên đối tượng]],'DANH MỤC ĐỐI TƯỢNG'!A:I,9,0),"")</f>
        <v>Vietcombank</v>
      </c>
      <c r="I360" t="str">
        <f>_xlfn.IFNA(VLOOKUP(Table1[[#This Row],[Tên đối tượng]],'DANH MỤC ĐỐI TƯỢNG'!A:J,10,0),"")</f>
        <v>007.100.0719.709</v>
      </c>
    </row>
    <row r="361" spans="1:9" x14ac:dyDescent="0.3">
      <c r="A361">
        <v>357</v>
      </c>
      <c r="B361" t="s">
        <v>701</v>
      </c>
      <c r="C361" t="s">
        <v>702</v>
      </c>
      <c r="D361" t="str">
        <f t="shared" si="10"/>
        <v>357. V10246</v>
      </c>
      <c r="E361" s="5" t="str">
        <f t="shared" ca="1" si="11"/>
        <v>Công Ty TNHH Xây Dựng Thương Mại Dịch Vụ Vận Tải Nước Và Môi Trường</v>
      </c>
      <c r="F361" t="str">
        <f>IFERROR(VLOOKUP(Table1[[#This Row],[Tên đối tượng]],'DANH MỤC ĐỐI TƯỢNG'!A:E,5,0),"")</f>
        <v>Số 2 Lê Lợi, Quận Ngô Quyền, Thành Phố Hải Phòng</v>
      </c>
      <c r="G361">
        <f>_xlfn.IFNA(VLOOKUP(Table1[[#This Row],[Tên đối tượng]],'DANH MỤC ĐỐI TƯỢNG'!A:F,6,0),"")</f>
        <v>0</v>
      </c>
      <c r="H361" t="str">
        <f>_xlfn.IFNA(VLOOKUP(Table1[[#This Row],[Tên đối tượng]],'DANH MỤC ĐỐI TƯỢNG'!A:I,9,0),"")</f>
        <v>Sacombank, CN Hải Phòng</v>
      </c>
      <c r="I361" t="str">
        <f>_xlfn.IFNA(VLOOKUP(Table1[[#This Row],[Tên đối tượng]],'DANH MỤC ĐỐI TƯỢNG'!A:J,10,0),"")</f>
        <v>030017405922</v>
      </c>
    </row>
    <row r="362" spans="1:9" x14ac:dyDescent="0.3">
      <c r="A362">
        <v>358</v>
      </c>
      <c r="B362" t="s">
        <v>703</v>
      </c>
      <c r="C362" t="s">
        <v>704</v>
      </c>
      <c r="D362" t="str">
        <f t="shared" si="10"/>
        <v>358. V10210</v>
      </c>
      <c r="E362" s="5" t="str">
        <f t="shared" ca="1" si="11"/>
        <v>Công ty TNHH Xử lý nước Minh Hoàng</v>
      </c>
      <c r="F362" t="str">
        <f>IFERROR(VLOOKUP(Table1[[#This Row],[Tên đối tượng]],'DANH MỤC ĐỐI TƯỢNG'!A:E,5,0),"")</f>
        <v>Số 14, ngõ 64/67 Thái Thịnh-Thịnh Quang-Đống Đa-Hà Nội</v>
      </c>
      <c r="G362" t="str">
        <f>_xlfn.IFNA(VLOOKUP(Table1[[#This Row],[Tên đối tượng]],'DANH MỤC ĐỐI TƯỢNG'!A:F,6,0),"")</f>
        <v>0101263710</v>
      </c>
      <c r="H362" t="str">
        <f>_xlfn.IFNA(VLOOKUP(Table1[[#This Row],[Tên đối tượng]],'DANH MỤC ĐỐI TƯỢNG'!A:I,9,0),"")</f>
        <v>Ngân hàng TMCP Kỹ thương Việt Nam - CN Thăng Long</v>
      </c>
      <c r="I362" t="str">
        <f>_xlfn.IFNA(VLOOKUP(Table1[[#This Row],[Tên đối tượng]],'DANH MỤC ĐỐI TƯỢNG'!A:J,10,0),"")</f>
        <v>19121141356014</v>
      </c>
    </row>
    <row r="363" spans="1:9" x14ac:dyDescent="0.3">
      <c r="A363">
        <v>359</v>
      </c>
      <c r="B363" t="s">
        <v>705</v>
      </c>
      <c r="C363" t="s">
        <v>706</v>
      </c>
      <c r="D363" t="str">
        <f t="shared" si="10"/>
        <v>359. V10311</v>
      </c>
      <c r="E363" s="5" t="str">
        <f t="shared" ca="1" si="11"/>
        <v>CÔNG TY TNHH YAMAZEN VIỆT NAM</v>
      </c>
      <c r="F363" t="str">
        <f>IFERROR(VLOOKUP(Table1[[#This Row],[Tên đối tượng]],'DANH MỤC ĐỐI TƯỢNG'!A:E,5,0),"")</f>
        <v>Tầng 8, Tòa nhà trung tâm thương mại tài chính dầu khí Phú Mỹ Hưng, số 12 Tân Trào, phường Tân Phú, quận 7, TP.HCM</v>
      </c>
      <c r="G363">
        <f>_xlfn.IFNA(VLOOKUP(Table1[[#This Row],[Tên đối tượng]],'DANH MỤC ĐỐI TƯỢNG'!A:F,6,0),"")</f>
        <v>0</v>
      </c>
      <c r="H363" t="str">
        <f>_xlfn.IFNA(VLOOKUP(Table1[[#This Row],[Tên đối tượng]],'DANH MỤC ĐỐI TƯỢNG'!A:I,9,0),"")</f>
        <v>MUFG bank, Ltd - Chi nhánh Hồ Chí Minh</v>
      </c>
      <c r="I363" t="str">
        <f>_xlfn.IFNA(VLOOKUP(Table1[[#This Row],[Tên đối tượng]],'DANH MỤC ĐỐI TƯỢNG'!A:J,10,0),"")</f>
        <v>249440</v>
      </c>
    </row>
    <row r="364" spans="1:9" x14ac:dyDescent="0.3">
      <c r="A364">
        <v>360</v>
      </c>
      <c r="B364" t="s">
        <v>707</v>
      </c>
      <c r="C364" t="s">
        <v>708</v>
      </c>
      <c r="D364" t="str">
        <f t="shared" si="10"/>
        <v>360. V10175</v>
      </c>
      <c r="E364" s="5" t="str">
        <f t="shared" ca="1" si="11"/>
        <v>Công ty TNHH Yaskawa Electric Việt Nam</v>
      </c>
      <c r="F364" t="str">
        <f>IFERROR(VLOOKUP(Table1[[#This Row],[Tên đối tượng]],'DANH MỤC ĐỐI TƯỢNG'!A:E,5,0),"")</f>
        <v>Phòng 1104, Lầu 11, Saigon Tower, 29 Lê Duẩn, P.Bến Nghé, Q.1, TP.HCM</v>
      </c>
      <c r="G364" t="str">
        <f>_xlfn.IFNA(VLOOKUP(Table1[[#This Row],[Tên đối tượng]],'DANH MỤC ĐỐI TƯỢNG'!A:F,6,0),"")</f>
        <v>0312596860</v>
      </c>
      <c r="H364" t="str">
        <f>_xlfn.IFNA(VLOOKUP(Table1[[#This Row],[Tên đối tượng]],'DANH MỤC ĐỐI TƯỢNG'!A:I,9,0),"")</f>
        <v>Mizuho Bank Ltd - CN Ho Chi Minh</v>
      </c>
      <c r="I364" t="str">
        <f>_xlfn.IFNA(VLOOKUP(Table1[[#This Row],[Tên đối tượng]],'DANH MỤC ĐỐI TƯỢNG'!A:J,10,0),"")</f>
        <v>H15-796-300554</v>
      </c>
    </row>
    <row r="365" spans="1:9" x14ac:dyDescent="0.3">
      <c r="A365">
        <v>361</v>
      </c>
      <c r="B365" t="s">
        <v>709</v>
      </c>
      <c r="C365" t="s">
        <v>710</v>
      </c>
      <c r="D365" t="str">
        <f t="shared" si="10"/>
        <v>361. V10029</v>
      </c>
      <c r="E365" s="5" t="str">
        <f t="shared" ca="1" si="11"/>
        <v>Công ty TNHH Yokogawa Việt Nam</v>
      </c>
      <c r="F365" t="str">
        <f>IFERROR(VLOOKUP(Table1[[#This Row],[Tên đối tượng]],'DANH MỤC ĐỐI TƯỢNG'!A:E,5,0),"")</f>
        <v>Tầng 10, tháp Hòa Bình, 106 Hoàng Quốc Việt, Cầu Giấy, Hà Nội</v>
      </c>
      <c r="G365" t="str">
        <f>_xlfn.IFNA(VLOOKUP(Table1[[#This Row],[Tên đối tượng]],'DANH MỤC ĐỐI TƯỢNG'!A:F,6,0),"")</f>
        <v>0102033861</v>
      </c>
      <c r="H365" t="str">
        <f>_xlfn.IFNA(VLOOKUP(Table1[[#This Row],[Tên đối tượng]],'DANH MỤC ĐỐI TƯỢNG'!A:I,9,0),"")</f>
        <v>Mizuho Bank Ltd - CN Hà Nội</v>
      </c>
      <c r="I365" t="str">
        <f>_xlfn.IFNA(VLOOKUP(Table1[[#This Row],[Tên đối tượng]],'DANH MỤC ĐỐI TƯỢNG'!A:J,10,0),"")</f>
        <v>H15-795-003699</v>
      </c>
    </row>
    <row r="366" spans="1:9" x14ac:dyDescent="0.3">
      <c r="A366">
        <v>362</v>
      </c>
      <c r="B366" t="s">
        <v>711</v>
      </c>
      <c r="C366" t="s">
        <v>712</v>
      </c>
      <c r="D366" t="str">
        <f t="shared" si="10"/>
        <v>362. V10074</v>
      </c>
      <c r="E366" s="5" t="str">
        <f t="shared" ca="1" si="11"/>
        <v>Công ty TNHH Yusen Logistics (Việt Nam)</v>
      </c>
      <c r="F366" t="str">
        <f>IFERROR(VLOOKUP(Table1[[#This Row],[Tên đối tượng]],'DANH MỤC ĐỐI TƯỢNG'!A:E,5,0),"")</f>
        <v>Phòng 805, tòa nhà HITC, 239 Xuân Thủy, P.Dịch Vọng Hậu, Q.Cầu Giấy, Hà Nội</v>
      </c>
      <c r="G366" t="str">
        <f>_xlfn.IFNA(VLOOKUP(Table1[[#This Row],[Tên đối tượng]],'DANH MỤC ĐỐI TƯỢNG'!A:F,6,0),"")</f>
        <v>0101936701</v>
      </c>
      <c r="H366" t="str">
        <f>_xlfn.IFNA(VLOOKUP(Table1[[#This Row],[Tên đối tượng]],'DANH MỤC ĐỐI TƯỢNG'!A:I,9,0),"")</f>
        <v>MUFG bank, Ltd - Chi nhánh TP Hà Nội</v>
      </c>
      <c r="I366" t="str">
        <f>_xlfn.IFNA(VLOOKUP(Table1[[#This Row],[Tên đối tượng]],'DANH MỤC ĐỐI TƯỢNG'!A:J,10,0),"")</f>
        <v>143693</v>
      </c>
    </row>
    <row r="367" spans="1:9" x14ac:dyDescent="0.3">
      <c r="A367">
        <v>363</v>
      </c>
      <c r="B367" t="s">
        <v>713</v>
      </c>
      <c r="C367" t="s">
        <v>6636</v>
      </c>
      <c r="D367" t="str">
        <f t="shared" si="10"/>
        <v>363. V10135</v>
      </c>
      <c r="E367" s="5" t="str">
        <f t="shared" ca="1" si="11"/>
        <v>Công ty TNHH Asiasun Việt Nam</v>
      </c>
      <c r="F367" t="str">
        <f>IFERROR(VLOOKUP(Table1[[#This Row],[Tên đối tượng]],'DANH MỤC ĐỐI TƯỢNG'!A:E,5,0),"")</f>
        <v>771 Đường Ngô Gia Tự, P. Đằng Lâm, Q. Hải An, TP Hải Phòng</v>
      </c>
      <c r="G367" t="str">
        <f>_xlfn.IFNA(VLOOKUP(Table1[[#This Row],[Tên đối tượng]],'DANH MỤC ĐỐI TƯỢNG'!A:F,6,0),"")</f>
        <v>0201286870</v>
      </c>
      <c r="H367" t="str">
        <f>_xlfn.IFNA(VLOOKUP(Table1[[#This Row],[Tên đối tượng]],'DANH MỤC ĐỐI TƯỢNG'!A:I,9,0),"")</f>
        <v>Ngân hàng TMCP Á Châu - PGD Lạch Tray - Hải Phòng</v>
      </c>
      <c r="I367" t="str">
        <f>_xlfn.IFNA(VLOOKUP(Table1[[#This Row],[Tên đối tượng]],'DANH MỤC ĐỐI TƯỢNG'!A:J,10,0),"")</f>
        <v>152849019</v>
      </c>
    </row>
    <row r="368" spans="1:9" x14ac:dyDescent="0.3">
      <c r="A368">
        <v>364</v>
      </c>
      <c r="B368" t="s">
        <v>714</v>
      </c>
      <c r="C368" t="s">
        <v>4957</v>
      </c>
      <c r="D368" t="str">
        <f t="shared" si="10"/>
        <v>364. V10092</v>
      </c>
      <c r="E368" s="5" t="str">
        <f t="shared" ca="1" si="11"/>
        <v>Công ty TNHH Sopet Gas One</v>
      </c>
      <c r="F368" t="str">
        <f>IFERROR(VLOOKUP(Table1[[#This Row],[Tên đối tượng]],'DANH MỤC ĐỐI TƯỢNG'!A:E,5,0),"")</f>
        <v>Ấp 2, Xã Phước Khánh, Huyện Nhơn Trạch, Tỉnh Đồng Nai</v>
      </c>
      <c r="G368" t="str">
        <f>_xlfn.IFNA(VLOOKUP(Table1[[#This Row],[Tên đối tượng]],'DANH MỤC ĐỐI TƯỢNG'!A:F,6,0),"")</f>
        <v>3600817399</v>
      </c>
      <c r="H368" t="str">
        <f>_xlfn.IFNA(VLOOKUP(Table1[[#This Row],[Tên đối tượng]],'DANH MỤC ĐỐI TƯỢNG'!A:I,9,0),"")</f>
        <v>Vietcombank - CN TP Hồ Chí Minh</v>
      </c>
      <c r="I368" t="str">
        <f>_xlfn.IFNA(VLOOKUP(Table1[[#This Row],[Tên đối tượng]],'DANH MỤC ĐỐI TƯỢNG'!A:J,10,0),"")</f>
        <v>007.100.3314762</v>
      </c>
    </row>
    <row r="369" spans="1:9" x14ac:dyDescent="0.3">
      <c r="A369">
        <v>365</v>
      </c>
      <c r="B369" t="s">
        <v>715</v>
      </c>
      <c r="C369" t="s">
        <v>716</v>
      </c>
      <c r="D369" t="str">
        <f t="shared" si="10"/>
        <v>365. V10027</v>
      </c>
      <c r="E369" s="5" t="str">
        <f t="shared" ca="1" si="11"/>
        <v>Công ty Tropical Wave Corporation Việt Nam</v>
      </c>
      <c r="F369" t="str">
        <f>IFERROR(VLOOKUP(Table1[[#This Row],[Tên đối tượng]],'DANH MỤC ĐỐI TƯỢNG'!A:E,5,0),"")</f>
        <v>Phường Ngọc Châu, Thành Phố Hải Dương</v>
      </c>
      <c r="G369">
        <f>_xlfn.IFNA(VLOOKUP(Table1[[#This Row],[Tên đối tượng]],'DANH MỤC ĐỐI TƯỢNG'!A:F,6,0),"")</f>
        <v>0</v>
      </c>
      <c r="H369">
        <f>_xlfn.IFNA(VLOOKUP(Table1[[#This Row],[Tên đối tượng]],'DANH MỤC ĐỐI TƯỢNG'!A:I,9,0),"")</f>
        <v>0</v>
      </c>
      <c r="I369">
        <f>_xlfn.IFNA(VLOOKUP(Table1[[#This Row],[Tên đối tượng]],'DANH MỤC ĐỐI TƯỢNG'!A:J,10,0),"")</f>
        <v>0</v>
      </c>
    </row>
    <row r="370" spans="1:9" x14ac:dyDescent="0.3">
      <c r="A370">
        <v>366</v>
      </c>
      <c r="B370" t="s">
        <v>717</v>
      </c>
      <c r="C370" t="s">
        <v>718</v>
      </c>
      <c r="D370" t="str">
        <f t="shared" si="10"/>
        <v>366. V10176</v>
      </c>
      <c r="E370" s="5" t="str">
        <f t="shared" ca="1" si="11"/>
        <v>Cửa hàng điện lạnh Vĩnh Lâm</v>
      </c>
      <c r="F370" t="str">
        <f>IFERROR(VLOOKUP(Table1[[#This Row],[Tên đối tượng]],'DANH MỤC ĐỐI TƯỢNG'!A:E,5,0),"")</f>
        <v>Số 3/5 Tầng An Dương, Tôn Đức Thắng, Lê Chân, Hải Phòng</v>
      </c>
      <c r="G370" t="str">
        <f>_xlfn.IFNA(VLOOKUP(Table1[[#This Row],[Tên đối tượng]],'DANH MỤC ĐỐI TƯỢNG'!A:F,6,0),"")</f>
        <v>0200347601</v>
      </c>
      <c r="H370" t="str">
        <f>_xlfn.IFNA(VLOOKUP(Table1[[#This Row],[Tên đối tượng]],'DANH MỤC ĐỐI TƯỢNG'!A:I,9,0),"")</f>
        <v>Đông Nam Á - Phòng giao dịch số 1, Minh Khai, Hải Phòng</v>
      </c>
      <c r="I370" t="str">
        <f>_xlfn.IFNA(VLOOKUP(Table1[[#This Row],[Tên đối tượng]],'DANH MỤC ĐỐI TƯỢNG'!A:J,10,0),"")</f>
        <v>30200013416699</v>
      </c>
    </row>
    <row r="371" spans="1:9" x14ac:dyDescent="0.3">
      <c r="A371">
        <v>367</v>
      </c>
      <c r="B371" t="s">
        <v>719</v>
      </c>
      <c r="C371" t="s">
        <v>720</v>
      </c>
      <c r="D371" t="str">
        <f t="shared" si="10"/>
        <v>367. V10234</v>
      </c>
      <c r="E371" s="5" t="str">
        <f t="shared" ca="1" si="11"/>
        <v>Cửa hàng Ngọc Hà</v>
      </c>
      <c r="F371" t="str">
        <f>IFERROR(VLOOKUP(Table1[[#This Row],[Tên đối tượng]],'DANH MỤC ĐỐI TƯỢNG'!A:E,5,0),"")</f>
        <v>Km 13 Quốc lộ 5 Tân Tiến - An Dương - Hải Phòng</v>
      </c>
      <c r="G371" t="str">
        <f>_xlfn.IFNA(VLOOKUP(Table1[[#This Row],[Tên đối tượng]],'DANH MỤC ĐỐI TƯỢNG'!A:F,6,0),"")</f>
        <v>0200899987</v>
      </c>
      <c r="H371" t="str">
        <f>_xlfn.IFNA(VLOOKUP(Table1[[#This Row],[Tên đối tượng]],'DANH MỤC ĐỐI TƯỢNG'!A:I,9,0),"")</f>
        <v>Ngân hàng TMCP Xăng dầu Petrolimex  - CN Hà Nội</v>
      </c>
      <c r="I371" t="str">
        <f>_xlfn.IFNA(VLOOKUP(Table1[[#This Row],[Tên đối tượng]],'DANH MỤC ĐỐI TƯỢNG'!A:J,10,0),"")</f>
        <v>1147040008272</v>
      </c>
    </row>
    <row r="372" spans="1:9" x14ac:dyDescent="0.3">
      <c r="A372">
        <v>368</v>
      </c>
      <c r="B372" t="s">
        <v>721</v>
      </c>
      <c r="C372" t="s">
        <v>722</v>
      </c>
      <c r="D372" t="str">
        <f t="shared" si="10"/>
        <v>368. V10360</v>
      </c>
      <c r="E372" s="5" t="str">
        <f t="shared" ca="1" si="11"/>
        <v>Cửa hàng Nguyễn Thị Thùy Dung</v>
      </c>
      <c r="F372" t="str">
        <f>IFERROR(VLOOKUP(Table1[[#This Row],[Tên đối tượng]],'DANH MỤC ĐỐI TƯỢNG'!A:E,5,0),"")</f>
        <v>xã Tân Tiến, Km 13 quốc lộ 5, huyện An Dương, thành phố Hải Phòng, VN</v>
      </c>
      <c r="G372">
        <f>_xlfn.IFNA(VLOOKUP(Table1[[#This Row],[Tên đối tượng]],'DANH MỤC ĐỐI TƯỢNG'!A:F,6,0),"")</f>
        <v>0</v>
      </c>
      <c r="H372" t="str">
        <f>_xlfn.IFNA(VLOOKUP(Table1[[#This Row],[Tên đối tượng]],'DANH MỤC ĐỐI TƯỢNG'!A:I,9,0),"")</f>
        <v>Petrolimex Group commercial Joint Stock Bank / Hà Nội</v>
      </c>
      <c r="I372" t="str">
        <f>_xlfn.IFNA(VLOOKUP(Table1[[#This Row],[Tên đối tượng]],'DANH MỤC ĐỐI TƯỢNG'!A:J,10,0),"")</f>
        <v>1147040008272</v>
      </c>
    </row>
    <row r="373" spans="1:9" x14ac:dyDescent="0.3">
      <c r="A373">
        <v>369</v>
      </c>
      <c r="B373" t="s">
        <v>723</v>
      </c>
      <c r="C373" t="s">
        <v>724</v>
      </c>
      <c r="D373" t="str">
        <f t="shared" si="10"/>
        <v>369. V10124</v>
      </c>
      <c r="E373" s="5" t="str">
        <f t="shared" ca="1" si="11"/>
        <v>Cửa hàng thiết bị và vật tư công nghiệp Bảo An</v>
      </c>
      <c r="F373" t="str">
        <f>IFERROR(VLOOKUP(Table1[[#This Row],[Tên đối tượng]],'DANH MỤC ĐỐI TƯỢNG'!A:E,5,0),"")</f>
        <v>Số 8/30/94 Lê lợi, P. Gia Viên, Q. Ngô Quyền, TP. Hải Phòng</v>
      </c>
      <c r="G373" t="str">
        <f>_xlfn.IFNA(VLOOKUP(Table1[[#This Row],[Tên đối tượng]],'DANH MỤC ĐỐI TƯỢNG'!A:F,6,0),"")</f>
        <v>0201630019</v>
      </c>
      <c r="H373" t="str">
        <f>_xlfn.IFNA(VLOOKUP(Table1[[#This Row],[Tên đối tượng]],'DANH MỤC ĐỐI TƯỢNG'!A:I,9,0),"")</f>
        <v>ACB - CN Hải Phòng</v>
      </c>
      <c r="I373" t="str">
        <f>_xlfn.IFNA(VLOOKUP(Table1[[#This Row],[Tên đối tượng]],'DANH MỤC ĐỐI TƯỢNG'!A:J,10,0),"")</f>
        <v>167235379</v>
      </c>
    </row>
    <row r="374" spans="1:9" x14ac:dyDescent="0.3">
      <c r="A374">
        <v>370</v>
      </c>
      <c r="B374" t="s">
        <v>725</v>
      </c>
      <c r="C374" t="s">
        <v>3971</v>
      </c>
      <c r="D374" t="str">
        <f t="shared" si="10"/>
        <v>370. V10011</v>
      </c>
      <c r="E374" s="5" t="str">
        <f t="shared" ca="1" si="11"/>
        <v>Cửa Hàng Thương mại Tuấn Huyền</v>
      </c>
      <c r="F374" t="str">
        <f>IFERROR(VLOOKUP(Table1[[#This Row],[Tên đối tượng]],'DANH MỤC ĐỐI TƯỢNG'!A:E,5,0),"")</f>
        <v>Số 206 Khu 2 Quán Toán - Hồng Bàng - HP</v>
      </c>
      <c r="G374" t="str">
        <f>_xlfn.IFNA(VLOOKUP(Table1[[#This Row],[Tên đối tượng]],'DANH MỤC ĐỐI TƯỢNG'!A:F,6,0),"")</f>
        <v>0200738429</v>
      </c>
      <c r="H374" t="str">
        <f>_xlfn.IFNA(VLOOKUP(Table1[[#This Row],[Tên đối tượng]],'DANH MỤC ĐỐI TƯỢNG'!A:I,9,0),"")</f>
        <v>Maritimebank CN Hải Phòng</v>
      </c>
      <c r="I374" t="str">
        <f>_xlfn.IFNA(VLOOKUP(Table1[[#This Row],[Tên đối tượng]],'DANH MỤC ĐỐI TƯỢNG'!A:J,10,0),"")</f>
        <v>02001016886886</v>
      </c>
    </row>
    <row r="375" spans="1:9" x14ac:dyDescent="0.3">
      <c r="A375">
        <v>371</v>
      </c>
      <c r="B375" t="s">
        <v>726</v>
      </c>
      <c r="C375" t="s">
        <v>3665</v>
      </c>
      <c r="D375" t="str">
        <f t="shared" si="10"/>
        <v>371. V10003</v>
      </c>
      <c r="E375" s="5" t="str">
        <f t="shared" ca="1" si="11"/>
        <v>Hộ kinh doanh Cửa hàng Văn Hóa Phẩm TBVP Lê Hải Thanh</v>
      </c>
      <c r="F375" t="str">
        <f>IFERROR(VLOOKUP(Table1[[#This Row],[Tên đối tượng]],'DANH MỤC ĐỐI TƯỢNG'!A:E,5,0),"")</f>
        <v>Số 273 Phan Bội Châu, phường Phan Bội Châu, quận Hồng Bàng, thành phố Hải Phòng</v>
      </c>
      <c r="G375" t="str">
        <f>_xlfn.IFNA(VLOOKUP(Table1[[#This Row],[Tên đối tượng]],'DANH MỤC ĐỐI TƯỢNG'!A:F,6,0),"")</f>
        <v>0200181265-4</v>
      </c>
      <c r="H375" t="str">
        <f>_xlfn.IFNA(VLOOKUP(Table1[[#This Row],[Tên đối tượng]],'DANH MỤC ĐỐI TƯỢNG'!A:I,9,0),"")</f>
        <v>Ngân Hàng TMCP Kỹ Thương Việt Nam- Hải Phòng</v>
      </c>
      <c r="I375" t="str">
        <f>_xlfn.IFNA(VLOOKUP(Table1[[#This Row],[Tên đối tượng]],'DANH MỤC ĐỐI TƯỢNG'!A:J,10,0),"")</f>
        <v>10920044185016</v>
      </c>
    </row>
    <row r="376" spans="1:9" x14ac:dyDescent="0.3">
      <c r="A376">
        <v>372</v>
      </c>
      <c r="B376" t="s">
        <v>728</v>
      </c>
      <c r="C376" t="s">
        <v>729</v>
      </c>
      <c r="D376" t="str">
        <f t="shared" si="10"/>
        <v>372. V10133</v>
      </c>
      <c r="E376" s="5" t="str">
        <f t="shared" ca="1" si="11"/>
        <v>Cửa hàng VMAX</v>
      </c>
      <c r="F376" t="str">
        <f>IFERROR(VLOOKUP(Table1[[#This Row],[Tên đối tượng]],'DANH MỤC ĐỐI TƯỢNG'!A:E,5,0),"")</f>
        <v>Thôn 5 Do Nha, Xã Tân Tiến, Huyện An Dương, TP.Hải Phòng</v>
      </c>
      <c r="G376" t="str">
        <f>_xlfn.IFNA(VLOOKUP(Table1[[#This Row],[Tên đối tượng]],'DANH MỤC ĐỐI TƯỢNG'!A:F,6,0),"")</f>
        <v>0201320024</v>
      </c>
      <c r="H376" t="str">
        <f>_xlfn.IFNA(VLOOKUP(Table1[[#This Row],[Tên đối tượng]],'DANH MỤC ĐỐI TƯỢNG'!A:I,9,0),"")</f>
        <v>Ngân hàng NN &amp; PTNT Việt Nam - CN Bắc Hải Phòng</v>
      </c>
      <c r="I376" t="str">
        <f>_xlfn.IFNA(VLOOKUP(Table1[[#This Row],[Tên đối tượng]],'DANH MỤC ĐỐI TƯỢNG'!A:J,10,0),"")</f>
        <v>2111201006219</v>
      </c>
    </row>
    <row r="377" spans="1:9" x14ac:dyDescent="0.3">
      <c r="A377">
        <v>373</v>
      </c>
      <c r="B377" t="s">
        <v>730</v>
      </c>
      <c r="C377" t="s">
        <v>731</v>
      </c>
      <c r="D377" t="str">
        <f t="shared" si="10"/>
        <v>373. V20020</v>
      </c>
      <c r="E377" s="5" t="str">
        <f t="shared" ca="1" si="11"/>
        <v>Daiichi Jitsugyo (Thailand) Co.,Ltd</v>
      </c>
      <c r="F377" t="str">
        <f>IFERROR(VLOOKUP(Table1[[#This Row],[Tên đối tượng]],'DANH MỤC ĐỐI TƯỢNG'!A:E,5,0),"")</f>
        <v>33/4 The 9th Towers Grand Rama 9 Tower B, TNB 04-05 23rd Floor, Rama 9 Road, Huaykwang, Bangkok 10310</v>
      </c>
      <c r="G377">
        <f>_xlfn.IFNA(VLOOKUP(Table1[[#This Row],[Tên đối tượng]],'DANH MỤC ĐỐI TƯỢNG'!A:F,6,0),"")</f>
        <v>0</v>
      </c>
      <c r="H377" t="str">
        <f>_xlfn.IFNA(VLOOKUP(Table1[[#This Row],[Tên đối tượng]],'DANH MỤC ĐỐI TƯỢNG'!A:I,9,0),"")</f>
        <v>The bank of Tokyo - Mitsubishi UFJ-Bangkok Branch</v>
      </c>
      <c r="I377" t="str">
        <f>_xlfn.IFNA(VLOOKUP(Table1[[#This Row],[Tên đối tượng]],'DANH MỤC ĐỐI TƯỢNG'!A:J,10,0),"")</f>
        <v>2100509191</v>
      </c>
    </row>
    <row r="378" spans="1:9" x14ac:dyDescent="0.3">
      <c r="A378">
        <v>374</v>
      </c>
      <c r="B378" t="s">
        <v>732</v>
      </c>
      <c r="C378" t="s">
        <v>733</v>
      </c>
      <c r="D378" t="str">
        <f t="shared" si="10"/>
        <v>374. V20111</v>
      </c>
      <c r="E378" s="5" t="str">
        <f t="shared" ca="1" si="11"/>
        <v>Dalian Canmade Rubber &amp; Plastics Machinery Co.,Ltd.</v>
      </c>
      <c r="F378" t="str">
        <f>IFERROR(VLOOKUP(Table1[[#This Row],[Tên đối tượng]],'DANH MỤC ĐỐI TƯỢNG'!A:E,5,0),"")</f>
        <v>301A-52-8,Market buikding,Free trade zone,Dalain,China</v>
      </c>
      <c r="G378">
        <f>_xlfn.IFNA(VLOOKUP(Table1[[#This Row],[Tên đối tượng]],'DANH MỤC ĐỐI TƯỢNG'!A:F,6,0),"")</f>
        <v>0</v>
      </c>
      <c r="H378" t="str">
        <f>_xlfn.IFNA(VLOOKUP(Table1[[#This Row],[Tên đối tượng]],'DANH MỤC ĐỐI TƯỢNG'!A:I,9,0),"")</f>
        <v>Bank of China, Liaoning Branch</v>
      </c>
      <c r="I378" t="str">
        <f>_xlfn.IFNA(VLOOKUP(Table1[[#This Row],[Tên đối tượng]],'DANH MỤC ĐỐI TƯỢNG'!A:J,10,0),"")</f>
        <v>292160169472</v>
      </c>
    </row>
    <row r="379" spans="1:9" x14ac:dyDescent="0.3">
      <c r="A379">
        <v>375</v>
      </c>
      <c r="B379" t="s">
        <v>734</v>
      </c>
      <c r="C379" t="s">
        <v>735</v>
      </c>
      <c r="D379" t="str">
        <f t="shared" si="10"/>
        <v>375. V10341</v>
      </c>
      <c r="E379" s="5" t="str">
        <f t="shared" ca="1" si="11"/>
        <v>Đặng Thị Mai Hương</v>
      </c>
      <c r="F379" t="str">
        <f>IFERROR(VLOOKUP(Table1[[#This Row],[Tên đối tượng]],'DANH MỤC ĐỐI TƯỢNG'!A:E,5,0),"")</f>
        <v>Số 3 Đà nẵng, Máy Tơ, Ngô Quyền, Hải phòng</v>
      </c>
      <c r="G379" t="str">
        <f>_xlfn.IFNA(VLOOKUP(Table1[[#This Row],[Tên đối tượng]],'DANH MỤC ĐỐI TƯỢNG'!A:F,6,0),"")</f>
        <v>0200892413</v>
      </c>
      <c r="H379" t="str">
        <f>_xlfn.IFNA(VLOOKUP(Table1[[#This Row],[Tên đối tượng]],'DANH MỤC ĐỐI TƯỢNG'!A:I,9,0),"")</f>
        <v>Ngân hàng TMCP Công thương Việt Nam - CN Hải phòng</v>
      </c>
      <c r="I379" t="str">
        <f>_xlfn.IFNA(VLOOKUP(Table1[[#This Row],[Tên đối tượng]],'DANH MỤC ĐỐI TƯỢNG'!A:J,10,0),"")</f>
        <v>101010007445245</v>
      </c>
    </row>
    <row r="380" spans="1:9" x14ac:dyDescent="0.3">
      <c r="A380">
        <v>376</v>
      </c>
      <c r="B380" t="s">
        <v>736</v>
      </c>
      <c r="C380" t="s">
        <v>737</v>
      </c>
      <c r="D380" t="str">
        <f t="shared" si="10"/>
        <v>376. V4032C1</v>
      </c>
      <c r="E380" s="5" t="str">
        <f t="shared" ca="1" si="11"/>
        <v>Đặng Thu Vân</v>
      </c>
      <c r="F380" t="str">
        <f>IFERROR(VLOOKUP(Table1[[#This Row],[Tên đối tượng]],'DANH MỤC ĐỐI TƯỢNG'!A:E,5,0),"")</f>
        <v>Số 7 Lô 5, 81 Thiên Lôi, Nghĩa Xá, Lê Chân, Hải Phòng</v>
      </c>
      <c r="G380">
        <f>_xlfn.IFNA(VLOOKUP(Table1[[#This Row],[Tên đối tượng]],'DANH MỤC ĐỐI TƯỢNG'!A:F,6,0),"")</f>
        <v>0</v>
      </c>
      <c r="H380" t="str">
        <f>_xlfn.IFNA(VLOOKUP(Table1[[#This Row],[Tên đối tượng]],'DANH MỤC ĐỐI TƯỢNG'!A:I,9,0),"")</f>
        <v>Ngân hàng Vietcombank, chi nhánh Hà Nội</v>
      </c>
      <c r="I380" t="str">
        <f>_xlfn.IFNA(VLOOKUP(Table1[[#This Row],[Tên đối tượng]],'DANH MỤC ĐỐI TƯỢNG'!A:J,10,0),"")</f>
        <v>0491001862396</v>
      </c>
    </row>
    <row r="381" spans="1:9" x14ac:dyDescent="0.3">
      <c r="A381">
        <v>377</v>
      </c>
      <c r="B381" t="s">
        <v>738</v>
      </c>
      <c r="C381" t="s">
        <v>739</v>
      </c>
      <c r="D381" t="str">
        <f t="shared" si="10"/>
        <v>377. V20015</v>
      </c>
      <c r="E381" s="5" t="str">
        <f t="shared" ca="1" si="11"/>
        <v>Otego</v>
      </c>
      <c r="F381" t="str">
        <f>IFERROR(VLOOKUP(Table1[[#This Row],[Tên đối tượng]],'DANH MỤC ĐỐI TƯỢNG'!A:E,5,0),"")</f>
        <v>465 RUE DES CHARTINIERES 01120 DAGNEUX FRANCE</v>
      </c>
      <c r="G381">
        <f>_xlfn.IFNA(VLOOKUP(Table1[[#This Row],[Tên đối tượng]],'DANH MỤC ĐỐI TƯỢNG'!A:F,6,0),"")</f>
        <v>0</v>
      </c>
      <c r="H381" t="str">
        <f>_xlfn.IFNA(VLOOKUP(Table1[[#This Row],[Tên đối tượng]],'DANH MỤC ĐỐI TƯỢNG'!A:I,9,0),"")</f>
        <v>CAR Nord de France SOCIETE GENERALE</v>
      </c>
      <c r="I381" t="str">
        <f>_xlfn.IFNA(VLOOKUP(Table1[[#This Row],[Tên đối tượng]],'DANH MỤC ĐỐI TƯỢNG'!A:J,10,0),"")</f>
        <v>FR76 3000 3011 0000 0204 1171 715</v>
      </c>
    </row>
    <row r="382" spans="1:9" x14ac:dyDescent="0.3">
      <c r="A382">
        <v>378</v>
      </c>
      <c r="B382" t="s">
        <v>740</v>
      </c>
      <c r="C382" t="s">
        <v>741</v>
      </c>
      <c r="D382" t="str">
        <f t="shared" si="10"/>
        <v>378. V10002</v>
      </c>
      <c r="E382" s="5" t="str">
        <f ca="1">IF(B382&lt;&gt;"",HYPERLINK($A$2&amp;D382,C382),"")</f>
        <v>Công ty TNHH MTV Thiết bị văn phòng Thanh Ngọc</v>
      </c>
      <c r="F382" t="str">
        <f>IFERROR(VLOOKUP(Table1[[#This Row],[Tên đối tượng]],'DANH MỤC ĐỐI TƯỢNG'!A:E,5,0),"")</f>
        <v>Số 273 Phan Bội Châu, Phường Phan Bội Châu, Quận Hồng Bàng,Thành phố Hải Phòng</v>
      </c>
      <c r="G382" t="str">
        <f>_xlfn.IFNA(VLOOKUP(Table1[[#This Row],[Tên đối tượng]],'DANH MỤC ĐỐI TƯỢNG'!A:F,6,0),"")</f>
        <v>0200412177</v>
      </c>
      <c r="H382" t="str">
        <f>_xlfn.IFNA(VLOOKUP(Table1[[#This Row],[Tên đối tượng]],'DANH MỤC ĐỐI TƯỢNG'!A:I,9,0),"")</f>
        <v>Ngân hàng TMCP Á Châu-CN Hải Phòng</v>
      </c>
      <c r="I382" t="str">
        <f>_xlfn.IFNA(VLOOKUP(Table1[[#This Row],[Tên đối tượng]],'DANH MỤC ĐỐI TƯỢNG'!A:J,10,0),"")</f>
        <v>3411229</v>
      </c>
    </row>
    <row r="383" spans="1:9" x14ac:dyDescent="0.3">
      <c r="A383">
        <v>379</v>
      </c>
      <c r="B383" t="s">
        <v>742</v>
      </c>
      <c r="C383" t="s">
        <v>743</v>
      </c>
      <c r="D383" t="str">
        <f t="shared" si="10"/>
        <v>379. V20063</v>
      </c>
      <c r="E383" s="5" t="str">
        <f t="shared" ca="1" si="11"/>
        <v>Dumbbell Co.,Ltd</v>
      </c>
      <c r="F383" t="str">
        <f>IFERROR(VLOOKUP(Table1[[#This Row],[Tên đối tượng]],'DANH MỤC ĐỐI TƯỢNG'!A:E,5,0),"")</f>
        <v>2243-1 Kasahata Kawagoe-shi, Saitama, 350-1175 Japan</v>
      </c>
      <c r="G383">
        <f>_xlfn.IFNA(VLOOKUP(Table1[[#This Row],[Tên đối tượng]],'DANH MỤC ĐỐI TƯỢNG'!A:F,6,0),"")</f>
        <v>0</v>
      </c>
      <c r="H383" t="str">
        <f>_xlfn.IFNA(VLOOKUP(Table1[[#This Row],[Tên đối tượng]],'DANH MỤC ĐỐI TƯỢNG'!A:I,9,0),"")</f>
        <v>Mizuho Bank, Ltd. - Kawagoe-Ekimae Branch</v>
      </c>
      <c r="I383" t="str">
        <f>_xlfn.IFNA(VLOOKUP(Table1[[#This Row],[Tên đối tượng]],'DANH MỤC ĐỐI TƯỢNG'!A:J,10,0),"")</f>
        <v>298-0106872</v>
      </c>
    </row>
    <row r="384" spans="1:9" x14ac:dyDescent="0.3">
      <c r="A384">
        <v>380</v>
      </c>
      <c r="B384" t="s">
        <v>744</v>
      </c>
      <c r="C384" t="s">
        <v>745</v>
      </c>
      <c r="D384" t="str">
        <f t="shared" si="10"/>
        <v>380. V20095</v>
      </c>
      <c r="E384" s="5" t="str">
        <f t="shared" ca="1" si="11"/>
        <v>Ecolab Pte Ltd</v>
      </c>
      <c r="F384" t="str">
        <f>IFERROR(VLOOKUP(Table1[[#This Row],[Tên đối tượng]],'DANH MỤC ĐỐI TƯỢNG'!A:E,5,0),"")</f>
        <v>2 Int'l Business Park 02-20, the Strategy Tower 2, Singapore 609930</v>
      </c>
      <c r="G384">
        <f>_xlfn.IFNA(VLOOKUP(Table1[[#This Row],[Tên đối tượng]],'DANH MỤC ĐỐI TƯỢNG'!A:F,6,0),"")</f>
        <v>0</v>
      </c>
      <c r="H384" t="str">
        <f>_xlfn.IFNA(VLOOKUP(Table1[[#This Row],[Tên đối tượng]],'DANH MỤC ĐỐI TƯỢNG'!A:I,9,0),"")</f>
        <v>Citi bank NA- Singapore</v>
      </c>
      <c r="I384" t="str">
        <f>_xlfn.IFNA(VLOOKUP(Table1[[#This Row],[Tên đối tượng]],'DANH MỤC ĐỐI TƯỢNG'!A:J,10,0),"")</f>
        <v>0-823840-012</v>
      </c>
    </row>
    <row r="385" spans="1:9" x14ac:dyDescent="0.3">
      <c r="A385">
        <v>381</v>
      </c>
      <c r="B385" t="s">
        <v>746</v>
      </c>
      <c r="C385" t="s">
        <v>747</v>
      </c>
      <c r="D385" t="str">
        <f t="shared" si="10"/>
        <v>381. V20010</v>
      </c>
      <c r="E385" s="5" t="str">
        <f t="shared" ca="1" si="11"/>
        <v>Evonik Wellink Silica (Nanping) Co.,Ltd</v>
      </c>
      <c r="F385" t="str">
        <f>IFERROR(VLOOKUP(Table1[[#This Row],[Tên đối tượng]],'DANH MỤC ĐỐI TƯỢNG'!A:E,5,0),"")</f>
        <v>No.8 Zhuxi Road, Yanping District, Nanping Municipality, Fujian Province, PR China</v>
      </c>
      <c r="G385">
        <f>_xlfn.IFNA(VLOOKUP(Table1[[#This Row],[Tên đối tượng]],'DANH MỤC ĐỐI TƯỢNG'!A:F,6,0),"")</f>
        <v>0</v>
      </c>
      <c r="H385" t="str">
        <f>_xlfn.IFNA(VLOOKUP(Table1[[#This Row],[Tên đối tượng]],'DANH MỤC ĐỐI TƯỢNG'!A:I,9,0),"")</f>
        <v>HSBC Bank (China) Company Limited</v>
      </c>
      <c r="I385" t="str">
        <f>_xlfn.IFNA(VLOOKUP(Table1[[#This Row],[Tên đối tượng]],'DANH MỤC ĐỐI TƯỢNG'!A:J,10,0),"")</f>
        <v>095028403055</v>
      </c>
    </row>
    <row r="386" spans="1:9" x14ac:dyDescent="0.3">
      <c r="A386">
        <v>382</v>
      </c>
      <c r="B386" t="s">
        <v>748</v>
      </c>
      <c r="C386" t="s">
        <v>749</v>
      </c>
      <c r="D386" t="str">
        <f t="shared" si="10"/>
        <v>382. V20028</v>
      </c>
      <c r="E386" s="5" t="str">
        <f t="shared" ca="1" si="11"/>
        <v>ExxonMobil Chemical Asia Pacific</v>
      </c>
      <c r="F386" t="str">
        <f>IFERROR(VLOOKUP(Table1[[#This Row],[Tên đối tượng]],'DANH MỤC ĐỐI TƯỢNG'!A:E,5,0),"")</f>
        <v>1 HarbourFront Place, #06-00 HarbourFront Tower One Singapore 098633</v>
      </c>
      <c r="G386">
        <f>_xlfn.IFNA(VLOOKUP(Table1[[#This Row],[Tên đối tượng]],'DANH MỤC ĐỐI TƯỢNG'!A:F,6,0),"")</f>
        <v>0</v>
      </c>
      <c r="H386" t="str">
        <f>_xlfn.IFNA(VLOOKUP(Table1[[#This Row],[Tên đối tượng]],'DANH MỤC ĐỐI TƯỢNG'!A:I,9,0),"")</f>
        <v>Bank of America N.A.- Singapore Branch</v>
      </c>
      <c r="I386" t="str">
        <f>_xlfn.IFNA(VLOOKUP(Table1[[#This Row],[Tên đối tượng]],'DANH MỤC ĐỐI TƯỢNG'!A:J,10,0),"")</f>
        <v>6212-57112024</v>
      </c>
    </row>
    <row r="387" spans="1:9" x14ac:dyDescent="0.3">
      <c r="A387">
        <v>383</v>
      </c>
      <c r="B387" t="s">
        <v>750</v>
      </c>
      <c r="C387" t="s">
        <v>751</v>
      </c>
      <c r="D387" t="str">
        <f t="shared" si="10"/>
        <v>383. 107301</v>
      </c>
      <c r="E387" s="5" t="str">
        <f t="shared" ca="1" si="11"/>
        <v>Firestone Polymers, LLC</v>
      </c>
      <c r="F387" t="str">
        <f>IFERROR(VLOOKUP(Table1[[#This Row],[Tên đối tượng]],'DANH MỤC ĐỐI TƯỢNG'!A:E,5,0),"")</f>
        <v>381 W. Wilbeth Road,Akron, OH  44301  U.S.A.</v>
      </c>
      <c r="G387">
        <f>_xlfn.IFNA(VLOOKUP(Table1[[#This Row],[Tên đối tượng]],'DANH MỤC ĐỐI TƯỢNG'!A:F,6,0),"")</f>
        <v>0</v>
      </c>
      <c r="H387" t="str">
        <f>_xlfn.IFNA(VLOOKUP(Table1[[#This Row],[Tên đối tượng]],'DANH MỤC ĐỐI TƯỢNG'!A:I,9,0),"")</f>
        <v>JP Morgan Chase Bank</v>
      </c>
      <c r="I387" t="str">
        <f>_xlfn.IFNA(VLOOKUP(Table1[[#This Row],[Tên đối tượng]],'DANH MỤC ĐỐI TƯỢNG'!A:J,10,0),"")</f>
        <v>52-59975</v>
      </c>
    </row>
    <row r="388" spans="1:9" x14ac:dyDescent="0.3">
      <c r="A388">
        <v>384</v>
      </c>
      <c r="B388" t="s">
        <v>752</v>
      </c>
      <c r="C388" t="s">
        <v>753</v>
      </c>
      <c r="D388" t="str">
        <f t="shared" si="10"/>
        <v>384. V4053C0</v>
      </c>
      <c r="E388" s="5" t="str">
        <f t="shared" ca="1" si="11"/>
        <v>Công Ty TNHH Greengoco</v>
      </c>
      <c r="F388" t="str">
        <f>IFERROR(VLOOKUP(Table1[[#This Row],[Tên đối tượng]],'DANH MỤC ĐỐI TƯỢNG'!A:E,5,0),"")</f>
        <v>Khu công nghiệp Tiên Sơn, xã Hoàn Sơn, huyện Tiên Du, tỉnh Bắc Ninh</v>
      </c>
      <c r="G388" t="str">
        <f>_xlfn.IFNA(VLOOKUP(Table1[[#This Row],[Tên đối tượng]],'DANH MỤC ĐỐI TƯỢNG'!A:F,6,0),"")</f>
        <v>2300781809</v>
      </c>
      <c r="H388" t="str">
        <f>_xlfn.IFNA(VLOOKUP(Table1[[#This Row],[Tên đối tượng]],'DANH MỤC ĐỐI TƯỢNG'!A:I,9,0),"")</f>
        <v>Vietcombank – CN Bắc Ninh</v>
      </c>
      <c r="I388" t="str">
        <f>_xlfn.IFNA(VLOOKUP(Table1[[#This Row],[Tên đối tượng]],'DANH MỤC ĐỐI TƯỢNG'!A:J,10,0),"")</f>
        <v>0351000773610</v>
      </c>
    </row>
    <row r="389" spans="1:9" x14ac:dyDescent="0.3">
      <c r="A389">
        <v>385</v>
      </c>
      <c r="B389" t="s">
        <v>754</v>
      </c>
      <c r="C389" t="s">
        <v>755</v>
      </c>
      <c r="D389" t="str">
        <f t="shared" ref="D389:D452" si="12">A389&amp;". "&amp;B389</f>
        <v>385. V20127</v>
      </c>
      <c r="E389" s="5" t="str">
        <f t="shared" ref="E389:E452" ca="1" si="13">IF(B389&lt;&gt;"",HYPERLINK($A$2&amp;D389,C389),"")</f>
        <v>Forbo International Hong Kong Limited</v>
      </c>
      <c r="F389" t="str">
        <f>IFERROR(VLOOKUP(Table1[[#This Row],[Tên đối tượng]],'DANH MỤC ĐỐI TƯỢNG'!A:E,5,0),"")</f>
        <v>805A,8/F, Tsim Sha Tsui Centre, 66 Mody Road, Kowloon,HONG KONG</v>
      </c>
      <c r="G389">
        <f>_xlfn.IFNA(VLOOKUP(Table1[[#This Row],[Tên đối tượng]],'DANH MỤC ĐỐI TƯỢNG'!A:F,6,0),"")</f>
        <v>0</v>
      </c>
      <c r="H389" t="str">
        <f>_xlfn.IFNA(VLOOKUP(Table1[[#This Row],[Tên đối tượng]],'DANH MỤC ĐỐI TƯỢNG'!A:I,9,0),"")</f>
        <v>Deutsche Bank AG- Hong Kong Branch</v>
      </c>
      <c r="I389" t="str">
        <f>_xlfn.IFNA(VLOOKUP(Table1[[#This Row],[Tên đối tượng]],'DANH MỤC ĐỐI TƯỢNG'!A:J,10,0),"")</f>
        <v>0009795050</v>
      </c>
    </row>
    <row r="390" spans="1:9" x14ac:dyDescent="0.3">
      <c r="A390">
        <v>386</v>
      </c>
      <c r="B390" t="s">
        <v>756</v>
      </c>
      <c r="C390" t="s">
        <v>757</v>
      </c>
      <c r="D390" t="str">
        <f t="shared" si="12"/>
        <v>386. V20078</v>
      </c>
      <c r="E390" s="5" t="str">
        <f t="shared" ca="1" si="13"/>
        <v>Forbo Shanghai Co.,Ltd</v>
      </c>
      <c r="F390" t="str">
        <f>IFERROR(VLOOKUP(Table1[[#This Row],[Tên đối tượng]],'DANH MỤC ĐỐI TƯỢNG'!A:E,5,0),"")</f>
        <v>Building 53, No.311, South Fute Rd., WGQ FTZ, Shanghai, China</v>
      </c>
      <c r="G390">
        <f>_xlfn.IFNA(VLOOKUP(Table1[[#This Row],[Tên đối tượng]],'DANH MỤC ĐỐI TƯỢNG'!A:F,6,0),"")</f>
        <v>0</v>
      </c>
      <c r="H390" t="str">
        <f>_xlfn.IFNA(VLOOKUP(Table1[[#This Row],[Tên đối tượng]],'DANH MỤC ĐỐI TƯỢNG'!A:I,9,0),"")</f>
        <v>Bank of China Shanghai Waigaoqiao Sub-Branch</v>
      </c>
      <c r="I390" t="str">
        <f>_xlfn.IFNA(VLOOKUP(Table1[[#This Row],[Tên đối tượng]],'DANH MỤC ĐỐI TƯỢNG'!A:J,10,0),"")</f>
        <v>433859238517</v>
      </c>
    </row>
    <row r="391" spans="1:9" x14ac:dyDescent="0.3">
      <c r="A391">
        <v>387</v>
      </c>
      <c r="B391" t="s">
        <v>758</v>
      </c>
      <c r="C391" t="s">
        <v>759</v>
      </c>
      <c r="D391" t="str">
        <f t="shared" si="12"/>
        <v>387. V20011</v>
      </c>
      <c r="E391" s="5" t="str">
        <f t="shared" ca="1" si="13"/>
        <v>Formosa Taffeta Co.,LTD</v>
      </c>
      <c r="F391" t="str">
        <f>IFERROR(VLOOKUP(Table1[[#This Row],[Tên đối tượng]],'DANH MỤC ĐỐI TƯỢNG'!A:E,5,0),"")</f>
        <v>317, Shiliu Rd., Doulin City, Yunlin County 640402, Taiwan</v>
      </c>
      <c r="G391">
        <f>_xlfn.IFNA(VLOOKUP(Table1[[#This Row],[Tên đối tượng]],'DANH MỤC ĐỐI TƯỢNG'!A:F,6,0),"")</f>
        <v>0</v>
      </c>
      <c r="H391" t="str">
        <f>_xlfn.IFNA(VLOOKUP(Table1[[#This Row],[Tên đối tượng]],'DANH MỤC ĐỐI TƯỢNG'!A:I,9,0),"")</f>
        <v>TAIPEI FUBON COMMERCIAL BANK CO.,LTD- TUNPEI BRANCH</v>
      </c>
      <c r="I391" t="str">
        <f>_xlfn.IFNA(VLOOKUP(Table1[[#This Row],[Tên đối tượng]],'DANH MỤC ĐỐI TƯỢNG'!A:J,10,0),"")</f>
        <v>8152-90000-02872</v>
      </c>
    </row>
    <row r="392" spans="1:9" x14ac:dyDescent="0.3">
      <c r="A392">
        <v>388</v>
      </c>
      <c r="B392" t="s">
        <v>760</v>
      </c>
      <c r="C392" t="s">
        <v>761</v>
      </c>
      <c r="D392" t="str">
        <f t="shared" si="12"/>
        <v>388. V20059</v>
      </c>
      <c r="E392" s="5" t="str">
        <f t="shared" ca="1" si="13"/>
        <v>Fuji Die Co.,Ltd</v>
      </c>
      <c r="F392" t="str">
        <f>IFERROR(VLOOKUP(Table1[[#This Row],[Tên đối tượng]],'DANH MỤC ĐỐI TƯỢNG'!A:E,5,0),"")</f>
        <v>2-17-10 Shimomaruko Ohta-ku Tokyo 146-0092 Japan</v>
      </c>
      <c r="G392">
        <f>_xlfn.IFNA(VLOOKUP(Table1[[#This Row],[Tên đối tượng]],'DANH MỤC ĐỐI TƯỢNG'!A:F,6,0),"")</f>
        <v>0</v>
      </c>
      <c r="H392" t="str">
        <f>_xlfn.IFNA(VLOOKUP(Table1[[#This Row],[Tên đối tượng]],'DANH MỤC ĐỐI TƯỢNG'!A:I,9,0),"")</f>
        <v>Sumitomo Mitsui Banking Corporation, Denenchofu Branch</v>
      </c>
      <c r="I392" t="str">
        <f>_xlfn.IFNA(VLOOKUP(Table1[[#This Row],[Tên đối tượng]],'DANH MỤC ĐỐI TƯỢNG'!A:J,10,0),"")</f>
        <v>277859</v>
      </c>
    </row>
    <row r="393" spans="1:9" x14ac:dyDescent="0.3">
      <c r="A393">
        <v>389</v>
      </c>
      <c r="B393" t="s">
        <v>762</v>
      </c>
      <c r="C393" t="s">
        <v>763</v>
      </c>
      <c r="D393" t="str">
        <f t="shared" si="12"/>
        <v>389. V20138</v>
      </c>
      <c r="E393" s="5" t="str">
        <f t="shared" ca="1" si="13"/>
        <v>FUJI ELECTRIC ASIA PACIFIC PTE LTD.</v>
      </c>
      <c r="F393" t="str">
        <f>IFERROR(VLOOKUP(Table1[[#This Row],[Tên đối tượng]],'DANH MỤC ĐỐI TƯỢNG'!A:E,5,0),"")</f>
        <v>151 LORONG CHUAN, #03-01A, NEW TECH PARK, SINGAPORE 556741</v>
      </c>
      <c r="G393">
        <f>_xlfn.IFNA(VLOOKUP(Table1[[#This Row],[Tên đối tượng]],'DANH MỤC ĐỐI TƯỢNG'!A:F,6,0),"")</f>
        <v>0</v>
      </c>
      <c r="H393" t="str">
        <f>_xlfn.IFNA(VLOOKUP(Table1[[#This Row],[Tên đối tượng]],'DANH MỤC ĐỐI TƯỢNG'!A:I,9,0),"")</f>
        <v>MIZUHO BANK , LTD / Singapore</v>
      </c>
      <c r="I393" t="str">
        <f>_xlfn.IFNA(VLOOKUP(Table1[[#This Row],[Tên đối tượng]],'DANH MỤC ĐỐI TƯỢNG'!A:J,10,0),"")</f>
        <v>F10-749-119063</v>
      </c>
    </row>
    <row r="394" spans="1:9" x14ac:dyDescent="0.3">
      <c r="A394">
        <v>390</v>
      </c>
      <c r="B394" t="s">
        <v>764</v>
      </c>
      <c r="C394" t="s">
        <v>765</v>
      </c>
      <c r="D394" t="str">
        <f t="shared" si="12"/>
        <v>390. V20025</v>
      </c>
      <c r="E394" s="5" t="str">
        <f t="shared" ca="1" si="13"/>
        <v>FUJIYA International Co.,Ltd</v>
      </c>
      <c r="F394" t="str">
        <f>IFERROR(VLOOKUP(Table1[[#This Row],[Tên đối tượng]],'DANH MỤC ĐỐI TƯỢNG'!A:E,5,0),"")</f>
        <v>2-6-32 MATSUBARA, HIGASHIOSAKA , OSAKA 578-0922, JAPAN</v>
      </c>
      <c r="G394">
        <f>_xlfn.IFNA(VLOOKUP(Table1[[#This Row],[Tên đối tượng]],'DANH MỤC ĐỐI TƯỢNG'!A:F,6,0),"")</f>
        <v>0</v>
      </c>
      <c r="H394" t="str">
        <f>_xlfn.IFNA(VLOOKUP(Table1[[#This Row],[Tên đối tượng]],'DANH MỤC ĐỐI TƯỢNG'!A:I,9,0),"")</f>
        <v>Resona Bank Ltd - Higashiosaka Branch</v>
      </c>
      <c r="I394" t="str">
        <f>_xlfn.IFNA(VLOOKUP(Table1[[#This Row],[Tên đối tượng]],'DANH MỤC ĐỐI TƯỢNG'!A:J,10,0),"")</f>
        <v>0133213</v>
      </c>
    </row>
    <row r="395" spans="1:9" x14ac:dyDescent="0.3">
      <c r="A395">
        <v>391</v>
      </c>
      <c r="B395" t="s">
        <v>766</v>
      </c>
      <c r="C395" t="s">
        <v>767</v>
      </c>
      <c r="D395" t="str">
        <f t="shared" si="12"/>
        <v>391. V20031</v>
      </c>
      <c r="E395" s="5" t="str">
        <f t="shared" ca="1" si="13"/>
        <v>Fushun Maxwell Specialty Wax Co., Ltd</v>
      </c>
      <c r="F395" t="str">
        <f>IFERROR(VLOOKUP(Table1[[#This Row],[Tên đối tượng]],'DANH MỤC ĐỐI TƯỢNG'!A:E,5,0),"")</f>
        <v>12# Shunyuan Road, Economic Development Zone Fushun, Liaoning, China Post Code 113122</v>
      </c>
      <c r="G395">
        <f>_xlfn.IFNA(VLOOKUP(Table1[[#This Row],[Tên đối tượng]],'DANH MỤC ĐỐI TƯỢNG'!A:F,6,0),"")</f>
        <v>0</v>
      </c>
      <c r="H395" t="str">
        <f>_xlfn.IFNA(VLOOKUP(Table1[[#This Row],[Tên đối tượng]],'DANH MỤC ĐỐI TƯỢNG'!A:I,9,0),"")</f>
        <v>China Citic Bank Head office Beijing</v>
      </c>
      <c r="I395" t="str">
        <f>_xlfn.IFNA(VLOOKUP(Table1[[#This Row],[Tên đối tượng]],'DANH MỤC ĐỐI TƯỢNG'!A:J,10,0),"")</f>
        <v>7214011482100000998</v>
      </c>
    </row>
    <row r="396" spans="1:9" x14ac:dyDescent="0.3">
      <c r="A396">
        <v>392</v>
      </c>
      <c r="B396" t="s">
        <v>768</v>
      </c>
      <c r="C396" t="s">
        <v>769</v>
      </c>
      <c r="D396" t="str">
        <f t="shared" si="12"/>
        <v>392. V20032</v>
      </c>
      <c r="E396" s="5" t="str">
        <f t="shared" ca="1" si="13"/>
        <v>GRP Ltd.</v>
      </c>
      <c r="F396" t="str">
        <f>IFERROR(VLOOKUP(Table1[[#This Row],[Tên đối tượng]],'DANH MỤC ĐỐI TƯỢNG'!A:E,5,0),"")</f>
        <v>510, A Wing, Kohinoor City C-I, Kirol Road Off L.B.S. Marg, Kurla (W), Mumbai - 400070, India</v>
      </c>
      <c r="G396">
        <f>_xlfn.IFNA(VLOOKUP(Table1[[#This Row],[Tên đối tượng]],'DANH MỤC ĐỐI TƯỢNG'!A:F,6,0),"")</f>
        <v>0</v>
      </c>
      <c r="H396" t="str">
        <f>_xlfn.IFNA(VLOOKUP(Table1[[#This Row],[Tên đối tượng]],'DANH MỤC ĐỐI TƯỢNG'!A:I,9,0),"")</f>
        <v>HDFC BANK LTD-FORT BRANCH</v>
      </c>
      <c r="I396" t="str">
        <f>_xlfn.IFNA(VLOOKUP(Table1[[#This Row],[Tên đối tượng]],'DANH MỤC ĐỐI TƯỢNG'!A:J,10,0),"")</f>
        <v>00600120000447</v>
      </c>
    </row>
    <row r="397" spans="1:9" x14ac:dyDescent="0.3">
      <c r="A397">
        <v>393</v>
      </c>
      <c r="B397" t="s">
        <v>770</v>
      </c>
      <c r="C397" t="s">
        <v>771</v>
      </c>
      <c r="D397" t="str">
        <f t="shared" si="12"/>
        <v>393. V20039</v>
      </c>
      <c r="E397" s="5" t="str">
        <f t="shared" ca="1" si="13"/>
        <v>Hebei Arksulf Chemical Co.,Ltd</v>
      </c>
      <c r="F397" t="str">
        <f>IFERROR(VLOOKUP(Table1[[#This Row],[Tên đối tượng]],'DANH MỤC ĐỐI TƯỢNG'!A:E,5,0),"")</f>
        <v>Wuyi Suzheng Industry Park, Hengshui, Hebei, China</v>
      </c>
      <c r="G397">
        <f>_xlfn.IFNA(VLOOKUP(Table1[[#This Row],[Tên đối tượng]],'DANH MỤC ĐỐI TƯỢNG'!A:F,6,0),"")</f>
        <v>0</v>
      </c>
      <c r="H397" t="str">
        <f>_xlfn.IFNA(VLOOKUP(Table1[[#This Row],[Tên đối tượng]],'DANH MỤC ĐỐI TƯỢNG'!A:I,9,0),"")</f>
        <v>Bank of China, Hengshui Branch Shengli Sub-Branch</v>
      </c>
      <c r="I397" t="str">
        <f>_xlfn.IFNA(VLOOKUP(Table1[[#This Row],[Tên đối tượng]],'DANH MỤC ĐỐI TƯỢNG'!A:J,10,0),"")</f>
        <v>1002 2971 9200</v>
      </c>
    </row>
    <row r="398" spans="1:9" x14ac:dyDescent="0.3">
      <c r="A398">
        <v>394</v>
      </c>
      <c r="B398" t="s">
        <v>772</v>
      </c>
      <c r="C398" t="s">
        <v>773</v>
      </c>
      <c r="D398" t="str">
        <f t="shared" si="12"/>
        <v>394. V20091</v>
      </c>
      <c r="E398" s="5" t="str">
        <f t="shared" ca="1" si="13"/>
        <v>Hinode Industory Co.,Ltd</v>
      </c>
      <c r="F398" t="str">
        <f>IFERROR(VLOOKUP(Table1[[#This Row],[Tên đối tượng]],'DANH MỤC ĐỐI TƯỢNG'!A:E,5,0),"")</f>
        <v>181-1, Tobara, Kasuya-machi Kasuya-gun, Fukuoka, 811-2312, Japan</v>
      </c>
      <c r="G398">
        <f>_xlfn.IFNA(VLOOKUP(Table1[[#This Row],[Tên đối tượng]],'DANH MỤC ĐỐI TƯỢNG'!A:F,6,0),"")</f>
        <v>0</v>
      </c>
      <c r="H398" t="str">
        <f>_xlfn.IFNA(VLOOKUP(Table1[[#This Row],[Tên đối tượng]],'DANH MỤC ĐỐI TƯỢNG'!A:I,9,0),"")</f>
        <v>Nisi-Nippon Sity Bank - Tukiguma Branch</v>
      </c>
      <c r="I398" t="str">
        <f>_xlfn.IFNA(VLOOKUP(Table1[[#This Row],[Tên đối tượng]],'DANH MỤC ĐỐI TƯỢNG'!A:J,10,0),"")</f>
        <v>833391</v>
      </c>
    </row>
    <row r="399" spans="1:9" x14ac:dyDescent="0.3">
      <c r="A399">
        <v>395</v>
      </c>
      <c r="B399" t="s">
        <v>774</v>
      </c>
      <c r="C399" t="s">
        <v>775</v>
      </c>
      <c r="D399" t="str">
        <f t="shared" si="12"/>
        <v>395. V10183</v>
      </c>
      <c r="E399" s="5" t="str">
        <f ca="1">IF(B399&lt;&gt;"",HYPERLINK($A$2&amp;D399,C399),"")</f>
        <v>HYOSUNG VIETNAM CO.,LTD</v>
      </c>
      <c r="F399" t="str">
        <f>IFERROR(VLOOKUP(Table1[[#This Row],[Tên đối tượng]],'DANH MỤC ĐỐI TƯỢNG'!A:E,5,0),"")</f>
        <v>N2 Street, Nhon Trach 05 Industrial Zone, Nhon Trach District, Dong Nai, Vietnam</v>
      </c>
      <c r="G399" t="str">
        <f>_xlfn.IFNA(VLOOKUP(Table1[[#This Row],[Tên đối tượng]],'DANH MỤC ĐỐI TƯỢNG'!A:F,6,0),"")</f>
        <v>3600890952</v>
      </c>
      <c r="H399" t="str">
        <f>_xlfn.IFNA(VLOOKUP(Table1[[#This Row],[Tên đối tượng]],'DANH MỤC ĐỐI TƯỢNG'!A:I,9,0),"")</f>
        <v>Industrial Bank of Korea - CN Ho Chi Minh</v>
      </c>
      <c r="I399" t="str">
        <f>_xlfn.IFNA(VLOOKUP(Table1[[#This Row],[Tên đối tượng]],'DANH MỤC ĐỐI TƯỢNG'!A:J,10,0),"")</f>
        <v>076400043620001</v>
      </c>
    </row>
    <row r="400" spans="1:9" x14ac:dyDescent="0.3">
      <c r="A400">
        <v>396</v>
      </c>
      <c r="B400" t="s">
        <v>776</v>
      </c>
      <c r="C400" t="s">
        <v>777</v>
      </c>
      <c r="D400" t="str">
        <f t="shared" si="12"/>
        <v>396. V20115</v>
      </c>
      <c r="E400" s="5" t="str">
        <f t="shared" ca="1" si="13"/>
        <v>IHI Compressor and Machinery Co.,Ltd</v>
      </c>
      <c r="F400" t="str">
        <f>IFERROR(VLOOKUP(Table1[[#This Row],[Tên đối tượng]],'DANH MỤC ĐỐI TƯỢNG'!A:E,5,0),"")</f>
        <v>1-7-12, Shinonome, Koto-ku,  Tokyo, Japan</v>
      </c>
      <c r="G400">
        <f>_xlfn.IFNA(VLOOKUP(Table1[[#This Row],[Tên đối tượng]],'DANH MỤC ĐỐI TƯỢNG'!A:F,6,0),"")</f>
        <v>0</v>
      </c>
      <c r="H400" t="str">
        <f>_xlfn.IFNA(VLOOKUP(Table1[[#This Row],[Tên đối tượng]],'DANH MỤC ĐỐI TƯỢNG'!A:I,9,0),"")</f>
        <v>Mizuho Bank, Ltd. - Kyobashi Branch</v>
      </c>
      <c r="I400" t="str">
        <f>_xlfn.IFNA(VLOOKUP(Table1[[#This Row],[Tên đối tượng]],'DANH MỤC ĐỐI TƯỢNG'!A:J,10,0),"")</f>
        <v>024-1254984</v>
      </c>
    </row>
    <row r="401" spans="1:9" x14ac:dyDescent="0.3">
      <c r="A401">
        <v>397</v>
      </c>
      <c r="B401" t="s">
        <v>778</v>
      </c>
      <c r="C401" t="s">
        <v>779</v>
      </c>
      <c r="D401" t="str">
        <f t="shared" si="12"/>
        <v>397. V20130</v>
      </c>
      <c r="E401" s="5" t="str">
        <f t="shared" ca="1" si="13"/>
        <v>IHI CORPORATION</v>
      </c>
      <c r="F401" t="str">
        <f>IFERROR(VLOOKUP(Table1[[#This Row],[Tên đối tượng]],'DANH MỤC ĐỐI TƯỢNG'!A:E,5,0),"")</f>
        <v>Toyosu IHI Building, 1-1,Toyosu 3-chome,Koto-ku, Tokyo 135-8710, Japan</v>
      </c>
      <c r="G401">
        <f>_xlfn.IFNA(VLOOKUP(Table1[[#This Row],[Tên đối tượng]],'DANH MỤC ĐỐI TƯỢNG'!A:F,6,0),"")</f>
        <v>0</v>
      </c>
      <c r="H401" t="str">
        <f>_xlfn.IFNA(VLOOKUP(Table1[[#This Row],[Tên đối tượng]],'DANH MỤC ĐỐI TƯỢNG'!A:I,9,0),"")</f>
        <v>Mizuho Bank, Ltd. - Uchisaiwaicho Corporate Banking Division</v>
      </c>
      <c r="I401" t="str">
        <f>_xlfn.IFNA(VLOOKUP(Table1[[#This Row],[Tên đối tượng]],'DANH MỤC ĐỐI TƯỢNG'!A:J,10,0),"")</f>
        <v>1167888</v>
      </c>
    </row>
    <row r="402" spans="1:9" x14ac:dyDescent="0.3">
      <c r="A402">
        <v>398</v>
      </c>
      <c r="B402" t="s">
        <v>780</v>
      </c>
      <c r="C402" t="s">
        <v>781</v>
      </c>
      <c r="D402" t="str">
        <f t="shared" si="12"/>
        <v>398. V3100C2</v>
      </c>
      <c r="E402" s="5" t="str">
        <f t="shared" ca="1" si="13"/>
        <v>IKAGAWA MASAFUMI</v>
      </c>
      <c r="F402">
        <f>IFERROR(VLOOKUP(Table1[[#This Row],[Tên đối tượng]],'DANH MỤC ĐỐI TƯỢNG'!A:E,5,0),"")</f>
        <v>0</v>
      </c>
      <c r="G402">
        <f>_xlfn.IFNA(VLOOKUP(Table1[[#This Row],[Tên đối tượng]],'DANH MỤC ĐỐI TƯỢNG'!A:F,6,0),"")</f>
        <v>0</v>
      </c>
      <c r="H402" t="str">
        <f>_xlfn.IFNA(VLOOKUP(Table1[[#This Row],[Tên đối tượng]],'DANH MỤC ĐỐI TƯỢNG'!A:I,9,0),"")</f>
        <v>Mizuho bank - Kurume branch</v>
      </c>
      <c r="I402" t="str">
        <f>_xlfn.IFNA(VLOOKUP(Table1[[#This Row],[Tên đối tượng]],'DANH MỤC ĐỐI TƯỢNG'!A:J,10,0),"")</f>
        <v>1617788</v>
      </c>
    </row>
    <row r="403" spans="1:9" x14ac:dyDescent="0.3">
      <c r="A403">
        <v>399</v>
      </c>
      <c r="B403" t="s">
        <v>782</v>
      </c>
      <c r="C403" t="s">
        <v>783</v>
      </c>
      <c r="D403" t="str">
        <f t="shared" si="12"/>
        <v>399. V20106</v>
      </c>
      <c r="E403" s="5" t="str">
        <f t="shared" ca="1" si="13"/>
        <v>Inabata &amp; Co.,Ltd</v>
      </c>
      <c r="F403" t="str">
        <f>IFERROR(VLOOKUP(Table1[[#This Row],[Tên đối tượng]],'DANH MỤC ĐỐI TƯỢNG'!A:E,5,0),"")</f>
        <v>2-8-2, Nihonbashi Honcho, Chuo-ku, Tokyo, Japan</v>
      </c>
      <c r="G403">
        <f>_xlfn.IFNA(VLOOKUP(Table1[[#This Row],[Tên đối tượng]],'DANH MỤC ĐỐI TƯỢNG'!A:F,6,0),"")</f>
        <v>0</v>
      </c>
      <c r="H403">
        <f>_xlfn.IFNA(VLOOKUP(Table1[[#This Row],[Tên đối tượng]],'DANH MỤC ĐỐI TƯỢNG'!A:I,9,0),"")</f>
        <v>0</v>
      </c>
      <c r="I403">
        <f>_xlfn.IFNA(VLOOKUP(Table1[[#This Row],[Tên đối tượng]],'DANH MỤC ĐỐI TƯỢNG'!A:J,10,0),"")</f>
        <v>0</v>
      </c>
    </row>
    <row r="404" spans="1:9" x14ac:dyDescent="0.3">
      <c r="A404">
        <v>400</v>
      </c>
      <c r="B404" t="s">
        <v>784</v>
      </c>
      <c r="C404" t="s">
        <v>785</v>
      </c>
      <c r="D404" t="str">
        <f t="shared" si="12"/>
        <v>400. V20066</v>
      </c>
      <c r="E404" s="5" t="str">
        <f t="shared" ca="1" si="13"/>
        <v>Intralox Conveyor Belts (Shanghai) Ltd.</v>
      </c>
      <c r="F404" t="str">
        <f>IFERROR(VLOOKUP(Table1[[#This Row],[Tên đối tượng]],'DANH MỤC ĐỐI TƯỢNG'!A:E,5,0),"")</f>
        <v>No.23 workshop, No.150 Rijing Road, Waigaoqiao, Shanghai, P.R.C.</v>
      </c>
      <c r="G404">
        <f>_xlfn.IFNA(VLOOKUP(Table1[[#This Row],[Tên đối tượng]],'DANH MỤC ĐỐI TƯỢNG'!A:F,6,0),"")</f>
        <v>0</v>
      </c>
      <c r="H404" t="str">
        <f>_xlfn.IFNA(VLOOKUP(Table1[[#This Row],[Tên đối tượng]],'DANH MỤC ĐỐI TƯỢNG'!A:I,9,0),"")</f>
        <v>Industrial and Commercial Bank of China, Shanghai Branch</v>
      </c>
      <c r="I404" t="str">
        <f>_xlfn.IFNA(VLOOKUP(Table1[[#This Row],[Tên đối tượng]],'DANH MỤC ĐỐI TƯỢNG'!A:J,10,0),"")</f>
        <v>1001279909148130855</v>
      </c>
    </row>
    <row r="405" spans="1:9" x14ac:dyDescent="0.3">
      <c r="A405">
        <v>401</v>
      </c>
      <c r="B405" t="s">
        <v>786</v>
      </c>
      <c r="C405" t="s">
        <v>787</v>
      </c>
      <c r="D405" t="str">
        <f t="shared" si="12"/>
        <v>401. V20033</v>
      </c>
      <c r="E405" s="5" t="str">
        <f t="shared" ca="1" si="13"/>
        <v>IOI Acidchem SDN BHD</v>
      </c>
      <c r="F405" t="str">
        <f>IFERROR(VLOOKUP(Table1[[#This Row],[Tên đối tượng]],'DANH MỤC ĐỐI TƯỢNG'!A:E,5,0),"")</f>
        <v>2411, Lorong Perusahaan Satu, Prai Industrial Complex,13600 Prai, Penang,Malaysia,P.O.Box 237,12720 Butterworth, Penang,Malaysia</v>
      </c>
      <c r="G405">
        <f>_xlfn.IFNA(VLOOKUP(Table1[[#This Row],[Tên đối tượng]],'DANH MỤC ĐỐI TƯỢNG'!A:F,6,0),"")</f>
        <v>0</v>
      </c>
      <c r="H405" t="str">
        <f>_xlfn.IFNA(VLOOKUP(Table1[[#This Row],[Tên đối tượng]],'DANH MỤC ĐỐI TƯỢNG'!A:I,9,0),"")</f>
        <v>CITIBANK BERHAD</v>
      </c>
      <c r="I405" t="str">
        <f>_xlfn.IFNA(VLOOKUP(Table1[[#This Row],[Tên đối tượng]],'DANH MỤC ĐỐI TƯỢNG'!A:J,10,0),"")</f>
        <v>371-167958-001</v>
      </c>
    </row>
    <row r="406" spans="1:9" x14ac:dyDescent="0.3">
      <c r="A406">
        <v>402</v>
      </c>
      <c r="B406" t="s">
        <v>788</v>
      </c>
      <c r="C406" t="s">
        <v>789</v>
      </c>
      <c r="D406" t="str">
        <f t="shared" si="12"/>
        <v>402. V20081</v>
      </c>
      <c r="E406" s="5" t="str">
        <f t="shared" ca="1" si="13"/>
        <v>Isobe Iron Works Co.,Ltd</v>
      </c>
      <c r="F406" t="str">
        <f>IFERROR(VLOOKUP(Table1[[#This Row],[Tên đối tượng]],'DANH MỤC ĐỐI TƯỢNG'!A:E,5,0),"")</f>
        <v>1-15 Chofu ougimachi, Shimonoseki Shi, Yamaguchi Ken 752-0927 Japan</v>
      </c>
      <c r="G406">
        <f>_xlfn.IFNA(VLOOKUP(Table1[[#This Row],[Tên đối tượng]],'DANH MỤC ĐỐI TƯỢNG'!A:F,6,0),"")</f>
        <v>0</v>
      </c>
      <c r="H406" t="str">
        <f>_xlfn.IFNA(VLOOKUP(Table1[[#This Row],[Tên đối tượng]],'DANH MỤC ĐỐI TƯỢNG'!A:I,9,0),"")</f>
        <v>Yamaguchi Bank - Chofu Branch</v>
      </c>
      <c r="I406" t="str">
        <f>_xlfn.IFNA(VLOOKUP(Table1[[#This Row],[Tên đối tượng]],'DANH MỤC ĐỐI TƯỢNG'!A:J,10,0),"")</f>
        <v>42998</v>
      </c>
    </row>
    <row r="407" spans="1:9" x14ac:dyDescent="0.3">
      <c r="A407">
        <v>403</v>
      </c>
      <c r="B407" t="s">
        <v>790</v>
      </c>
      <c r="C407" t="s">
        <v>791</v>
      </c>
      <c r="D407" t="str">
        <f t="shared" si="12"/>
        <v>403. V20077</v>
      </c>
      <c r="E407" s="5" t="str">
        <f t="shared" ca="1" si="13"/>
        <v>Itochu Chemical Frontier Corporation</v>
      </c>
      <c r="F407" t="str">
        <f>IFERROR(VLOOKUP(Table1[[#This Row],[Tên đối tượng]],'DANH MỤC ĐỐI TƯỢNG'!A:E,5,0),"")</f>
        <v>1-3, Umeda 3-Chome, Kita-ku, Osaka, 530-0001 Japan</v>
      </c>
      <c r="G407">
        <f>_xlfn.IFNA(VLOOKUP(Table1[[#This Row],[Tên đối tượng]],'DANH MỤC ĐỐI TƯỢNG'!A:F,6,0),"")</f>
        <v>0</v>
      </c>
      <c r="H407" t="str">
        <f>_xlfn.IFNA(VLOOKUP(Table1[[#This Row],[Tên đối tượng]],'DANH MỤC ĐỐI TƯỢNG'!A:I,9,0),"")</f>
        <v>Mizuho Bank., Ltd. Branch Osaka Corporate Banking Division</v>
      </c>
      <c r="I407" t="str">
        <f>_xlfn.IFNA(VLOOKUP(Table1[[#This Row],[Tên đối tượng]],'DANH MỤC ĐỐI TƯỢNG'!A:J,10,0),"")</f>
        <v>9100022</v>
      </c>
    </row>
    <row r="408" spans="1:9" x14ac:dyDescent="0.3">
      <c r="A408">
        <v>404</v>
      </c>
      <c r="B408" t="s">
        <v>792</v>
      </c>
      <c r="C408" t="s">
        <v>793</v>
      </c>
      <c r="D408" t="str">
        <f t="shared" si="12"/>
        <v>404. V20100</v>
      </c>
      <c r="E408" s="5" t="str">
        <f t="shared" ca="1" si="13"/>
        <v>Itochu Corporation</v>
      </c>
      <c r="F408" t="str">
        <f>IFERROR(VLOOKUP(Table1[[#This Row],[Tên đối tượng]],'DANH MỤC ĐỐI TƯỢNG'!A:E,5,0),"")</f>
        <v>1-3, Umeda 3-chome, Kita-Ku, Osaka 530-8448, Japan</v>
      </c>
      <c r="G408">
        <f>_xlfn.IFNA(VLOOKUP(Table1[[#This Row],[Tên đối tượng]],'DANH MỤC ĐỐI TƯỢNG'!A:F,6,0),"")</f>
        <v>0</v>
      </c>
      <c r="H408" t="str">
        <f>_xlfn.IFNA(VLOOKUP(Table1[[#This Row],[Tên đối tượng]],'DANH MỤC ĐỐI TƯỢNG'!A:I,9,0),"")</f>
        <v>Mizuho Bank, Ltd. - Osaka Corporate Banking Branch</v>
      </c>
      <c r="I408" t="str">
        <f>_xlfn.IFNA(VLOOKUP(Table1[[#This Row],[Tên đối tượng]],'DANH MỤC ĐỐI TƯỢNG'!A:J,10,0),"")</f>
        <v>9100022</v>
      </c>
    </row>
    <row r="409" spans="1:9" x14ac:dyDescent="0.3">
      <c r="A409">
        <v>405</v>
      </c>
      <c r="B409" t="s">
        <v>794</v>
      </c>
      <c r="C409" t="s">
        <v>795</v>
      </c>
      <c r="D409" t="str">
        <f t="shared" si="12"/>
        <v>405. V20052</v>
      </c>
      <c r="E409" s="5" t="str">
        <f t="shared" ca="1" si="13"/>
        <v>Japan Automobile Tyre Manufacturers Association, Inc</v>
      </c>
      <c r="F409" t="str">
        <f>IFERROR(VLOOKUP(Table1[[#This Row],[Tên đối tượng]],'DANH MỤC ĐỐI TƯỢNG'!A:E,5,0),"")</f>
        <v>No.33 Mori Building, 3-8-21 Toranomon, Minato-ku, Tokyo, Japan 105-0001</v>
      </c>
      <c r="G409">
        <f>_xlfn.IFNA(VLOOKUP(Table1[[#This Row],[Tên đối tượng]],'DANH MỤC ĐỐI TƯỢNG'!A:F,6,0),"")</f>
        <v>0</v>
      </c>
      <c r="H409" t="str">
        <f>_xlfn.IFNA(VLOOKUP(Table1[[#This Row],[Tên đối tượng]],'DANH MỤC ĐỐI TƯỢNG'!A:I,9,0),"")</f>
        <v>Mizuho Bank, Ltd., Tokyo - Toranomon Branch</v>
      </c>
      <c r="I409">
        <f>_xlfn.IFNA(VLOOKUP(Table1[[#This Row],[Tên đối tượng]],'DANH MỤC ĐỐI TƯỢNG'!A:J,10,0),"")</f>
        <v>0</v>
      </c>
    </row>
    <row r="410" spans="1:9" x14ac:dyDescent="0.3">
      <c r="A410">
        <v>406</v>
      </c>
      <c r="B410" t="s">
        <v>796</v>
      </c>
      <c r="C410" t="s">
        <v>797</v>
      </c>
      <c r="D410" t="str">
        <f t="shared" si="12"/>
        <v>406. V20118</v>
      </c>
      <c r="E410" s="5" t="str">
        <f t="shared" ca="1" si="13"/>
        <v>Japan Productivity Center</v>
      </c>
      <c r="F410" t="str">
        <f>IFERROR(VLOOKUP(Table1[[#This Row],[Tên đối tượng]],'DANH MỤC ĐỐI TƯỢNG'!A:E,5,0),"")</f>
        <v>3-1-1, Shibuya, Shibuya-ku,Tokyo, Japan 150-0002</v>
      </c>
      <c r="G410">
        <f>_xlfn.IFNA(VLOOKUP(Table1[[#This Row],[Tên đối tượng]],'DANH MỤC ĐỐI TƯỢNG'!A:F,6,0),"")</f>
        <v>0</v>
      </c>
      <c r="H410" t="str">
        <f>_xlfn.IFNA(VLOOKUP(Table1[[#This Row],[Tên đối tượng]],'DANH MỤC ĐỐI TƯỢNG'!A:I,9,0),"")</f>
        <v>Mizuho bank,ltd-Shibuya_Chuo Branch</v>
      </c>
      <c r="I410" t="str">
        <f>_xlfn.IFNA(VLOOKUP(Table1[[#This Row],[Tên đối tượng]],'DANH MỤC ĐỐI TƯỢNG'!A:J,10,0),"")</f>
        <v>162-0110333</v>
      </c>
    </row>
    <row r="411" spans="1:9" x14ac:dyDescent="0.3">
      <c r="A411">
        <v>407</v>
      </c>
      <c r="B411" t="s">
        <v>798</v>
      </c>
      <c r="C411" t="s">
        <v>799</v>
      </c>
      <c r="D411" t="str">
        <f t="shared" si="12"/>
        <v>407. V20034</v>
      </c>
      <c r="E411" s="5" t="str">
        <f t="shared" ca="1" si="13"/>
        <v>Jiangsu Sinorgchem Technology Co.,Ltd</v>
      </c>
      <c r="F411" t="str">
        <f>IFERROR(VLOOKUP(Table1[[#This Row],[Tên đối tượng]],'DANH MỤC ĐỐI TƯỢNG'!A:E,5,0),"")</f>
        <v>No.1 Yaocheng Avenue, Taizhou, Jiangsu 225300, China</v>
      </c>
      <c r="G411">
        <f>_xlfn.IFNA(VLOOKUP(Table1[[#This Row],[Tên đối tượng]],'DANH MỤC ĐỐI TƯỢNG'!A:F,6,0),"")</f>
        <v>0</v>
      </c>
      <c r="H411" t="str">
        <f>_xlfn.IFNA(VLOOKUP(Table1[[#This Row],[Tên đối tượng]],'DANH MỤC ĐỐI TƯỢNG'!A:I,9,0),"")</f>
        <v>Agricultural Bank of China, Jiangsu Branch</v>
      </c>
      <c r="I411" t="str">
        <f>_xlfn.IFNA(VLOOKUP(Table1[[#This Row],[Tên đối tượng]],'DANH MỤC ĐỐI TƯỢNG'!A:J,10,0),"")</f>
        <v>10200014040018888</v>
      </c>
    </row>
    <row r="412" spans="1:9" x14ac:dyDescent="0.3">
      <c r="A412">
        <v>408</v>
      </c>
      <c r="B412" t="s">
        <v>800</v>
      </c>
      <c r="C412" t="s">
        <v>801</v>
      </c>
      <c r="D412" t="str">
        <f t="shared" si="12"/>
        <v>408. V20012</v>
      </c>
      <c r="E412" s="5" t="str">
        <f t="shared" ca="1" si="13"/>
        <v>Jiangxi Black Cat Import And Export Co.,Ltd</v>
      </c>
      <c r="F412" t="str">
        <f>IFERROR(VLOOKUP(Table1[[#This Row],[Tên đối tượng]],'DANH MỤC ĐỐI TƯỢNG'!A:E,5,0),"")</f>
        <v>No.910, Cidu Avenue, Jingdezhen, Jiangxi Province China</v>
      </c>
      <c r="G412">
        <f>_xlfn.IFNA(VLOOKUP(Table1[[#This Row],[Tên đối tượng]],'DANH MỤC ĐỐI TƯỢNG'!A:F,6,0),"")</f>
        <v>0</v>
      </c>
      <c r="H412" t="str">
        <f>_xlfn.IFNA(VLOOKUP(Table1[[#This Row],[Tên đối tượng]],'DANH MỤC ĐỐI TƯỢNG'!A:I,9,0),"")</f>
        <v>Bank of China, Jingdezhen Branch</v>
      </c>
      <c r="I412" t="str">
        <f>_xlfn.IFNA(VLOOKUP(Table1[[#This Row],[Tên đối tượng]],'DANH MỤC ĐỐI TƯỢNG'!A:J,10,0),"")</f>
        <v>203709146469</v>
      </c>
    </row>
    <row r="413" spans="1:9" x14ac:dyDescent="0.3">
      <c r="A413">
        <v>409</v>
      </c>
      <c r="B413" t="s">
        <v>802</v>
      </c>
      <c r="C413" t="s">
        <v>803</v>
      </c>
      <c r="D413" t="str">
        <f t="shared" si="12"/>
        <v>409. V20103</v>
      </c>
      <c r="E413" s="5" t="str">
        <f t="shared" ca="1" si="13"/>
        <v>Jiangxi Blackcat Singapore Pte.Ltd.</v>
      </c>
      <c r="F413" t="str">
        <f>IFERROR(VLOOKUP(Table1[[#This Row],[Tên đối tượng]],'DANH MỤC ĐỐI TƯỢNG'!A:E,5,0),"")</f>
        <v>#09-04 International Plaza,10 ANSON Road 079903 Singapore</v>
      </c>
      <c r="G413">
        <f>_xlfn.IFNA(VLOOKUP(Table1[[#This Row],[Tên đối tượng]],'DANH MỤC ĐỐI TƯỢNG'!A:F,6,0),"")</f>
        <v>0</v>
      </c>
      <c r="H413" t="str">
        <f>_xlfn.IFNA(VLOOKUP(Table1[[#This Row],[Tên đối tượng]],'DANH MỤC ĐỐI TƯỢNG'!A:I,9,0),"")</f>
        <v>Bank of China_Singapore branch</v>
      </c>
      <c r="I413" t="str">
        <f>_xlfn.IFNA(VLOOKUP(Table1[[#This Row],[Tên đối tượng]],'DANH MỤC ĐỐI TƯỢNG'!A:J,10,0),"")</f>
        <v>00650090002485178</v>
      </c>
    </row>
    <row r="414" spans="1:9" x14ac:dyDescent="0.3">
      <c r="A414">
        <v>410</v>
      </c>
      <c r="B414" t="s">
        <v>804</v>
      </c>
      <c r="C414" t="s">
        <v>805</v>
      </c>
      <c r="D414" t="str">
        <f t="shared" si="12"/>
        <v>410. V20086</v>
      </c>
      <c r="E414" s="5" t="str">
        <f t="shared" ca="1" si="13"/>
        <v>BST ENEOS Elastomer Co.,Ltd</v>
      </c>
      <c r="F414" t="str">
        <f>IFERROR(VLOOKUP(Table1[[#This Row],[Tên đối tượng]],'DANH MỤC ĐỐI TƯỢNG'!A:E,5,0),"")</f>
        <v>1 Park Silom Tower, 25th Floor unit 2505-2507, Convent Road, Silom, Bangrak, Bangkok, Thailand 10500</v>
      </c>
      <c r="G414">
        <f>_xlfn.IFNA(VLOOKUP(Table1[[#This Row],[Tên đối tượng]],'DANH MỤC ĐỐI TƯỢNG'!A:F,6,0),"")</f>
        <v>0</v>
      </c>
      <c r="H414" t="str">
        <f>_xlfn.IFNA(VLOOKUP(Table1[[#This Row],[Tên đối tượng]],'DANH MỤC ĐỐI TƯỢNG'!A:I,9,0),"")</f>
        <v>Kasikornbank Public Co.,Ltd - Sathorn Branch</v>
      </c>
      <c r="I414" t="str">
        <f>_xlfn.IFNA(VLOOKUP(Table1[[#This Row],[Tên đối tượng]],'DANH MỤC ĐỐI TƯỢNG'!A:J,10,0),"")</f>
        <v>038-92-0385-8</v>
      </c>
    </row>
    <row r="415" spans="1:9" x14ac:dyDescent="0.3">
      <c r="A415">
        <v>411</v>
      </c>
      <c r="B415" t="s">
        <v>806</v>
      </c>
      <c r="C415" t="s">
        <v>807</v>
      </c>
      <c r="D415" t="str">
        <f t="shared" si="12"/>
        <v>411. V20024</v>
      </c>
      <c r="E415" s="5" t="str">
        <f t="shared" ca="1" si="13"/>
        <v>JSR Trading Co.,Ltd</v>
      </c>
      <c r="F415" t="str">
        <f>IFERROR(VLOOKUP(Table1[[#This Row],[Tên đối tượng]],'DANH MỤC ĐỐI TƯỢNG'!A:E,5,0),"")</f>
        <v>1-9-2, Higashi-Shinbashi, Minato-ku, Tokyo 105-0021, Japan</v>
      </c>
      <c r="G415">
        <f>_xlfn.IFNA(VLOOKUP(Table1[[#This Row],[Tên đối tượng]],'DANH MỤC ĐỐI TƯỢNG'!A:F,6,0),"")</f>
        <v>0</v>
      </c>
      <c r="H415" t="str">
        <f>_xlfn.IFNA(VLOOKUP(Table1[[#This Row],[Tên đối tượng]],'DANH MỤC ĐỐI TƯỢNG'!A:I,9,0),"")</f>
        <v>The Bank of Tokyo - Mitsubishi UFJ, Ltd. Nihonbashi Chuo-Branch</v>
      </c>
      <c r="I415" t="str">
        <f>_xlfn.IFNA(VLOOKUP(Table1[[#This Row],[Tên đối tượng]],'DANH MỤC ĐỐI TƯỢNG'!A:J,10,0),"")</f>
        <v>349090</v>
      </c>
    </row>
    <row r="416" spans="1:9" x14ac:dyDescent="0.3">
      <c r="A416">
        <v>412</v>
      </c>
      <c r="B416" t="s">
        <v>808</v>
      </c>
      <c r="C416" t="s">
        <v>809</v>
      </c>
      <c r="D416" t="str">
        <f t="shared" si="12"/>
        <v>412. V20120</v>
      </c>
      <c r="E416" s="5" t="str">
        <f t="shared" ca="1" si="13"/>
        <v>Kanaden Corporation</v>
      </c>
      <c r="F416" t="str">
        <f>IFERROR(VLOOKUP(Table1[[#This Row],[Tên đối tượng]],'DANH MỤC ĐỐI TƯỢNG'!A:E,5,0),"")</f>
        <v>2-6-1, Shiba-daimon, Minato-ku, Tokyo 105-0012 Japan</v>
      </c>
      <c r="G416">
        <f>_xlfn.IFNA(VLOOKUP(Table1[[#This Row],[Tên đối tượng]],'DANH MỤC ĐỐI TƯỢNG'!A:F,6,0),"")</f>
        <v>0</v>
      </c>
      <c r="H416" t="str">
        <f>_xlfn.IFNA(VLOOKUP(Table1[[#This Row],[Tên đối tượng]],'DANH MỤC ĐỐI TƯỢNG'!A:I,9,0),"")</f>
        <v>The Bank of Tokyo-Mitsubishi UFJ, Ltd. / KYOBASHI</v>
      </c>
      <c r="I416" t="str">
        <f>_xlfn.IFNA(VLOOKUP(Table1[[#This Row],[Tên đối tượng]],'DANH MỤC ĐỐI TƯỢNG'!A:J,10,0),"")</f>
        <v>2593649</v>
      </c>
    </row>
    <row r="417" spans="1:9" x14ac:dyDescent="0.3">
      <c r="A417">
        <v>413</v>
      </c>
      <c r="B417" t="s">
        <v>810</v>
      </c>
      <c r="C417" t="s">
        <v>811</v>
      </c>
      <c r="D417" t="str">
        <f t="shared" si="12"/>
        <v>413. V20049</v>
      </c>
      <c r="E417" s="5" t="str">
        <f t="shared" ca="1" si="13"/>
        <v>Kanematsu KGK Corp.</v>
      </c>
      <c r="F417" t="str">
        <f>IFERROR(VLOOKUP(Table1[[#This Row],[Tên đối tượng]],'DANH MỤC ĐỐI TƯỢNG'!A:E,5,0),"")</f>
        <v>1-1-6, Sakuradai Nerima-ku, Tokyo, T176-8510</v>
      </c>
      <c r="G417">
        <f>_xlfn.IFNA(VLOOKUP(Table1[[#This Row],[Tên đối tượng]],'DANH MỤC ĐỐI TƯỢNG'!A:F,6,0),"")</f>
        <v>0</v>
      </c>
      <c r="H417" t="str">
        <f>_xlfn.IFNA(VLOOKUP(Table1[[#This Row],[Tên đối tượng]],'DANH MỤC ĐỐI TƯỢNG'!A:I,9,0),"")</f>
        <v>The Bank of Tokyo - Mitsubishi UFJ, Head Office</v>
      </c>
      <c r="I417" t="str">
        <f>_xlfn.IFNA(VLOOKUP(Table1[[#This Row],[Tên đối tượng]],'DANH MỤC ĐỐI TƯỢNG'!A:J,10,0),"")</f>
        <v>0828749</v>
      </c>
    </row>
    <row r="418" spans="1:9" x14ac:dyDescent="0.3">
      <c r="A418">
        <v>414</v>
      </c>
      <c r="B418" t="s">
        <v>812</v>
      </c>
      <c r="C418" t="s">
        <v>813</v>
      </c>
      <c r="D418" t="str">
        <f t="shared" si="12"/>
        <v>414. V4082C1</v>
      </c>
      <c r="E418" s="5" t="str">
        <f t="shared" ca="1" si="13"/>
        <v>KAORU IWANO</v>
      </c>
      <c r="F418">
        <f>IFERROR(VLOOKUP(Table1[[#This Row],[Tên đối tượng]],'DANH MỤC ĐỐI TƯỢNG'!A:E,5,0),"")</f>
        <v>0</v>
      </c>
      <c r="G418">
        <f>_xlfn.IFNA(VLOOKUP(Table1[[#This Row],[Tên đối tượng]],'DANH MỤC ĐỐI TƯỢNG'!A:F,6,0),"")</f>
        <v>0</v>
      </c>
      <c r="H418" t="str">
        <f>_xlfn.IFNA(VLOOKUP(Table1[[#This Row],[Tên đối tượng]],'DANH MỤC ĐỐI TƯỢNG'!A:I,9,0),"")</f>
        <v>Vietcombank - CN Hải Phòng</v>
      </c>
      <c r="I418" t="str">
        <f>_xlfn.IFNA(VLOOKUP(Table1[[#This Row],[Tên đối tượng]],'DANH MỤC ĐỐI TƯỢNG'!A:J,10,0),"")</f>
        <v>003 100 016 8427</v>
      </c>
    </row>
    <row r="419" spans="1:9" x14ac:dyDescent="0.3">
      <c r="A419">
        <v>415</v>
      </c>
      <c r="B419" t="s">
        <v>814</v>
      </c>
      <c r="C419" t="s">
        <v>815</v>
      </c>
      <c r="D419" t="str">
        <f t="shared" si="12"/>
        <v>415. V20045</v>
      </c>
      <c r="E419" s="5" t="str">
        <f t="shared" ca="1" si="13"/>
        <v>Katou Kouzai Co.,Ltd</v>
      </c>
      <c r="F419" t="str">
        <f>IFERROR(VLOOKUP(Table1[[#This Row],[Tên đối tượng]],'DANH MỤC ĐỐI TƯỢNG'!A:E,5,0),"")</f>
        <v>7-14-6 Imagawa, Higashi Sumiyoshi-Ku Osaka, Japan</v>
      </c>
      <c r="G419">
        <f>_xlfn.IFNA(VLOOKUP(Table1[[#This Row],[Tên đối tượng]],'DANH MỤC ĐỐI TƯỢNG'!A:F,6,0),"")</f>
        <v>0</v>
      </c>
      <c r="H419" t="str">
        <f>_xlfn.IFNA(VLOOKUP(Table1[[#This Row],[Tên đối tượng]],'DANH MỤC ĐỐI TƯỢNG'!A:I,9,0),"")</f>
        <v>The Risona Bank, LTD. Tanabe Branch</v>
      </c>
      <c r="I419" t="str">
        <f>_xlfn.IFNA(VLOOKUP(Table1[[#This Row],[Tên đối tượng]],'DANH MỤC ĐỐI TƯỢNG'!A:J,10,0),"")</f>
        <v>435-01-0958825</v>
      </c>
    </row>
    <row r="420" spans="1:9" x14ac:dyDescent="0.3">
      <c r="A420">
        <v>416</v>
      </c>
      <c r="B420" t="s">
        <v>816</v>
      </c>
      <c r="C420" t="s">
        <v>817</v>
      </c>
      <c r="D420" t="str">
        <f t="shared" si="12"/>
        <v>416. V20087</v>
      </c>
      <c r="E420" s="5" t="str">
        <f t="shared" ca="1" si="13"/>
        <v>Kawasaki Thermal Engineering Co.,Ltd</v>
      </c>
      <c r="F420" t="str">
        <f>IFERROR(VLOOKUP(Table1[[#This Row],[Tên đối tượng]],'DANH MỤC ĐỐI TƯỢNG'!A:E,5,0),"")</f>
        <v>1-5-25, Kiba, Koutou-ku, Tokyo 135 0042 Japan</v>
      </c>
      <c r="G420">
        <f>_xlfn.IFNA(VLOOKUP(Table1[[#This Row],[Tên đối tượng]],'DANH MỤC ĐỐI TƯỢNG'!A:F,6,0),"")</f>
        <v>0</v>
      </c>
      <c r="H420" t="str">
        <f>_xlfn.IFNA(VLOOKUP(Table1[[#This Row],[Tên đối tượng]],'DANH MỤC ĐỐI TƯỢNG'!A:I,9,0),"")</f>
        <v>Mizuho Bank, Ltd - Tokyo International Operation Center</v>
      </c>
      <c r="I420" t="str">
        <f>_xlfn.IFNA(VLOOKUP(Table1[[#This Row],[Tên đối tượng]],'DANH MỤC ĐỐI TƯỢNG'!A:J,10,0),"")</f>
        <v>1104431</v>
      </c>
    </row>
    <row r="421" spans="1:9" x14ac:dyDescent="0.3">
      <c r="A421">
        <v>417</v>
      </c>
      <c r="B421" t="s">
        <v>818</v>
      </c>
      <c r="C421" t="s">
        <v>819</v>
      </c>
      <c r="D421" t="str">
        <f t="shared" si="12"/>
        <v>417. V20092</v>
      </c>
      <c r="E421" s="5" t="str">
        <f t="shared" ca="1" si="13"/>
        <v>Kawata (Thailand) Co.,Ltd</v>
      </c>
      <c r="F421" t="str">
        <f>IFERROR(VLOOKUP(Table1[[#This Row],[Tên đối tượng]],'DANH MỤC ĐỐI TƯỢNG'!A:E,5,0),"")</f>
        <v>135/15-16, 8th Floor, Amonphan 205 Tower 2 Soi. Ratchadapisek 7 (Nathong), Ratchadapisek Road, Bangkok 10400 Thailand</v>
      </c>
      <c r="G421">
        <f>_xlfn.IFNA(VLOOKUP(Table1[[#This Row],[Tên đối tượng]],'DANH MỤC ĐỐI TƯỢNG'!A:F,6,0),"")</f>
        <v>0</v>
      </c>
      <c r="H421" t="str">
        <f>_xlfn.IFNA(VLOOKUP(Table1[[#This Row],[Tên đối tượng]],'DANH MỤC ĐỐI TƯỢNG'!A:I,9,0),"")</f>
        <v>Kasikorn Bank Public Co.,Ltd - Rachadapisek-Huaykwang Branch</v>
      </c>
      <c r="I421" t="str">
        <f>_xlfn.IFNA(VLOOKUP(Table1[[#This Row],[Tên đối tượng]],'DANH MỤC ĐỐI TƯỢNG'!A:J,10,0),"")</f>
        <v>089-1-07708-4</v>
      </c>
    </row>
    <row r="422" spans="1:9" x14ac:dyDescent="0.3">
      <c r="A422">
        <v>418</v>
      </c>
      <c r="B422" t="s">
        <v>820</v>
      </c>
      <c r="C422" t="s">
        <v>821</v>
      </c>
      <c r="D422" t="str">
        <f t="shared" si="12"/>
        <v>418. V20018</v>
      </c>
      <c r="E422" s="5" t="str">
        <f t="shared" ca="1" si="13"/>
        <v>Keyence Singapore PTE LTD</v>
      </c>
      <c r="F422" t="str">
        <f>IFERROR(VLOOKUP(Table1[[#This Row],[Tên đối tượng]],'DANH MỤC ĐỐI TƯỢNG'!A:E,5,0),"")</f>
        <v>151 Lorong Chuan #03-07 New Tech Park Lobby G, Singapore 556741</v>
      </c>
      <c r="G422">
        <f>_xlfn.IFNA(VLOOKUP(Table1[[#This Row],[Tên đối tượng]],'DANH MỤC ĐỐI TƯỢNG'!A:F,6,0),"")</f>
        <v>0</v>
      </c>
      <c r="H422" t="str">
        <f>_xlfn.IFNA(VLOOKUP(Table1[[#This Row],[Tên đối tượng]],'DANH MỤC ĐỐI TƯỢNG'!A:I,9,0),"")</f>
        <v>Sumitomo Mitsui Banking Corporation, Singapore Branch</v>
      </c>
      <c r="I422" t="str">
        <f>_xlfn.IFNA(VLOOKUP(Table1[[#This Row],[Tên đối tượng]],'DANH MỤC ĐỐI TƯỢNG'!A:J,10,0),"")</f>
        <v>221-0222-1</v>
      </c>
    </row>
    <row r="423" spans="1:9" x14ac:dyDescent="0.3">
      <c r="A423">
        <v>419</v>
      </c>
      <c r="B423" t="s">
        <v>822</v>
      </c>
      <c r="C423" t="s">
        <v>823</v>
      </c>
      <c r="D423" t="str">
        <f t="shared" si="12"/>
        <v>419. V20016</v>
      </c>
      <c r="E423" s="5" t="str">
        <f t="shared" ca="1" si="13"/>
        <v>Kiswire Cord Sdn.Bhd.</v>
      </c>
      <c r="F423" t="str">
        <f>IFERROR(VLOOKUP(Table1[[#This Row],[Tên đối tượng]],'DANH MỤC ĐỐI TƯỢNG'!A:E,5,0),"")</f>
        <v>Plo 475, Jalan Nibong,Kawasan Perindustrian Tanjung Langsat,81700 Pasir Gudang,Johor,Malaysia.</v>
      </c>
      <c r="G423">
        <f>_xlfn.IFNA(VLOOKUP(Table1[[#This Row],[Tên đối tượng]],'DANH MỤC ĐỐI TƯỢNG'!A:F,6,0),"")</f>
        <v>0</v>
      </c>
      <c r="H423" t="str">
        <f>_xlfn.IFNA(VLOOKUP(Table1[[#This Row],[Tên đối tượng]],'DANH MỤC ĐỐI TƯỢNG'!A:I,9,0),"")</f>
        <v>RHB Bank Berhad</v>
      </c>
      <c r="I423" t="str">
        <f>_xlfn.IFNA(VLOOKUP(Table1[[#This Row],[Tên đối tượng]],'DANH MỤC ĐỐI TƯỢNG'!A:J,10,0),"")</f>
        <v>6-01053-0000168-5</v>
      </c>
    </row>
    <row r="424" spans="1:9" x14ac:dyDescent="0.3">
      <c r="A424">
        <v>420</v>
      </c>
      <c r="B424" t="s">
        <v>824</v>
      </c>
      <c r="C424" t="s">
        <v>825</v>
      </c>
      <c r="D424" t="str">
        <f t="shared" si="12"/>
        <v>420. V20114</v>
      </c>
      <c r="E424" s="5" t="str">
        <f t="shared" ca="1" si="13"/>
        <v>Kobe Steel.,Ltd</v>
      </c>
      <c r="F424" t="str">
        <f>IFERROR(VLOOKUP(Table1[[#This Row],[Tên đối tượng]],'DANH MỤC ĐỐI TƯỢNG'!A:E,5,0),"")</f>
        <v>5-chome, Shinagawa-ku,  ON Building, 9-12, Kita-Shinagawa  Tokyo, 141-8688, Japan</v>
      </c>
      <c r="G424">
        <f>_xlfn.IFNA(VLOOKUP(Table1[[#This Row],[Tên đối tượng]],'DANH MỤC ĐỐI TƯỢNG'!A:F,6,0),"")</f>
        <v>0</v>
      </c>
      <c r="H424" t="str">
        <f>_xlfn.IFNA(VLOOKUP(Table1[[#This Row],[Tên đối tượng]],'DANH MỤC ĐỐI TƯỢNG'!A:I,9,0),"")</f>
        <v>MIZUHO BANK, LTD.</v>
      </c>
      <c r="I424" t="str">
        <f>_xlfn.IFNA(VLOOKUP(Table1[[#This Row],[Tên đối tượng]],'DANH MỤC ĐỐI TƯỢNG'!A:J,10,0),"")</f>
        <v>0165164</v>
      </c>
    </row>
    <row r="425" spans="1:9" x14ac:dyDescent="0.3">
      <c r="A425">
        <v>421</v>
      </c>
      <c r="B425" t="s">
        <v>826</v>
      </c>
      <c r="C425" t="s">
        <v>827</v>
      </c>
      <c r="D425" t="str">
        <f t="shared" si="12"/>
        <v>421. V20068</v>
      </c>
      <c r="E425" s="5" t="str">
        <f t="shared" ca="1" si="13"/>
        <v>Kohoku Seiko (Thailand) Co.,Ltd</v>
      </c>
      <c r="F425" t="str">
        <f>IFERROR(VLOOKUP(Table1[[#This Row],[Tên đối tượng]],'DANH MỤC ĐỐI TƯỢNG'!A:E,5,0),"")</f>
        <v>Pinthong 1 Industrial Estate 789/69 Moo1, T.Nongkham, A.Sriracha, Chonburi 20230, Thailand</v>
      </c>
      <c r="G425">
        <f>_xlfn.IFNA(VLOOKUP(Table1[[#This Row],[Tên đối tượng]],'DANH MỤC ĐỐI TƯỢNG'!A:F,6,0),"")</f>
        <v>0</v>
      </c>
      <c r="H425" t="str">
        <f>_xlfn.IFNA(VLOOKUP(Table1[[#This Row],[Tên đối tượng]],'DANH MỤC ĐỐI TƯỢNG'!A:I,9,0),"")</f>
        <v>Kasikorn Bank, Sriracha Branch</v>
      </c>
      <c r="I425" t="str">
        <f>_xlfn.IFNA(VLOOKUP(Table1[[#This Row],[Tên đối tượng]],'DANH MỤC ĐỐI TƯỢNG'!A:J,10,0),"")</f>
        <v>172-2-46272-4</v>
      </c>
    </row>
    <row r="426" spans="1:9" x14ac:dyDescent="0.3">
      <c r="A426">
        <v>422</v>
      </c>
      <c r="B426" t="s">
        <v>828</v>
      </c>
      <c r="C426" t="s">
        <v>829</v>
      </c>
      <c r="D426" t="str">
        <f t="shared" si="12"/>
        <v>422. V20129</v>
      </c>
      <c r="E426" s="5" t="str">
        <f t="shared" ca="1" si="13"/>
        <v>Kume Sekkei Co.,Ltd</v>
      </c>
      <c r="F426" t="str">
        <f>IFERROR(VLOOKUP(Table1[[#This Row],[Tên đối tượng]],'DANH MỤC ĐỐI TƯỢNG'!A:E,5,0),"")</f>
        <v>2-1-22 Shiomi, Koto-ku, Tokyo, Japan</v>
      </c>
      <c r="G426">
        <f>_xlfn.IFNA(VLOOKUP(Table1[[#This Row],[Tên đối tượng]],'DANH MỤC ĐỐI TƯỢNG'!A:F,6,0),"")</f>
        <v>0</v>
      </c>
      <c r="H426" t="str">
        <f>_xlfn.IFNA(VLOOKUP(Table1[[#This Row],[Tên đối tượng]],'DANH MỤC ĐỐI TƯỢNG'!A:I,9,0),"")</f>
        <v>Mizuho bank., Ltd - Yaesuguchi branch</v>
      </c>
      <c r="I426" t="str">
        <f>_xlfn.IFNA(VLOOKUP(Table1[[#This Row],[Tên đối tượng]],'DANH MỤC ĐỐI TƯỢNG'!A:J,10,0),"")</f>
        <v>0019619 (JPY) / 9125764 (USD)</v>
      </c>
    </row>
    <row r="427" spans="1:9" x14ac:dyDescent="0.3">
      <c r="A427">
        <v>423</v>
      </c>
      <c r="B427" t="s">
        <v>830</v>
      </c>
      <c r="C427" t="s">
        <v>831</v>
      </c>
      <c r="D427" t="str">
        <f t="shared" si="12"/>
        <v>423. V20027</v>
      </c>
      <c r="E427" s="5" t="str">
        <f t="shared" ca="1" si="13"/>
        <v>Kumho Petrochemical Co.,Ltd</v>
      </c>
      <c r="F427" t="str">
        <f>IFERROR(VLOOKUP(Table1[[#This Row],[Tên đối tượng]],'DANH MỤC ĐỐI TƯỢNG'!A:E,5,0),"")</f>
        <v>East Wing 10-14 Floor, Signature Towers Seoul, 100 Cheonggyecheon-ro Jung-gu, Seoul, South Korea</v>
      </c>
      <c r="G427">
        <f>_xlfn.IFNA(VLOOKUP(Table1[[#This Row],[Tên đối tượng]],'DANH MỤC ĐỐI TƯỢNG'!A:F,6,0),"")</f>
        <v>0</v>
      </c>
      <c r="H427">
        <f>_xlfn.IFNA(VLOOKUP(Table1[[#This Row],[Tên đối tượng]],'DANH MỤC ĐỐI TƯỢNG'!A:I,9,0),"")</f>
        <v>0</v>
      </c>
      <c r="I427">
        <f>_xlfn.IFNA(VLOOKUP(Table1[[#This Row],[Tên đối tượng]],'DANH MỤC ĐỐI TƯỢNG'!A:J,10,0),"")</f>
        <v>0</v>
      </c>
    </row>
    <row r="428" spans="1:9" x14ac:dyDescent="0.3">
      <c r="A428">
        <v>424</v>
      </c>
      <c r="B428" t="s">
        <v>832</v>
      </c>
      <c r="C428" t="s">
        <v>5509</v>
      </c>
      <c r="D428" t="str">
        <f t="shared" si="12"/>
        <v>424. V10181</v>
      </c>
      <c r="E428" s="5" t="str">
        <f t="shared" ca="1" si="13"/>
        <v>Công ty TNHH Kyudenko Việt Nam</v>
      </c>
      <c r="F428" t="str">
        <f>IFERROR(VLOOKUP(Table1[[#This Row],[Tên đối tượng]],'DANH MỤC ĐỐI TƯỢNG'!A:E,5,0),"")</f>
        <v>170 Trần Quang Khải, Phường Tân Định, Quận 1, TP Hồ Chí Minh, Việt Nam</v>
      </c>
      <c r="G428" t="str">
        <f>_xlfn.IFNA(VLOOKUP(Table1[[#This Row],[Tên đối tượng]],'DANH MỤC ĐỐI TƯỢNG'!A:F,6,0),"")</f>
        <v>0311996464</v>
      </c>
      <c r="H428" t="str">
        <f>_xlfn.IFNA(VLOOKUP(Table1[[#This Row],[Tên đối tượng]],'DANH MỤC ĐỐI TƯỢNG'!A:I,9,0),"")</f>
        <v>MUFG Bank, Ltd - CN TP Hochiminh</v>
      </c>
      <c r="I428" t="str">
        <f>_xlfn.IFNA(VLOOKUP(Table1[[#This Row],[Tên đối tượng]],'DANH MỤC ĐỐI TƯỢNG'!A:J,10,0),"")</f>
        <v>343196</v>
      </c>
    </row>
    <row r="429" spans="1:9" x14ac:dyDescent="0.3">
      <c r="A429">
        <v>425</v>
      </c>
      <c r="B429" t="s">
        <v>833</v>
      </c>
      <c r="C429" t="s">
        <v>834</v>
      </c>
      <c r="D429" t="str">
        <f t="shared" si="12"/>
        <v>425. V20082</v>
      </c>
      <c r="E429" s="5" t="str">
        <f t="shared" ca="1" si="13"/>
        <v>Laboratory Standards and Technologies</v>
      </c>
      <c r="F429" t="str">
        <f>IFERROR(VLOOKUP(Table1[[#This Row],[Tên đối tượng]],'DANH MỤC ĐỐI TƯỢNG'!A:E,5,0),"")</f>
        <v>227 Somerset, Borger, Texas, 79007</v>
      </c>
      <c r="G429">
        <f>_xlfn.IFNA(VLOOKUP(Table1[[#This Row],[Tên đối tượng]],'DANH MỤC ĐỐI TƯỢNG'!A:F,6,0),"")</f>
        <v>0</v>
      </c>
      <c r="H429" t="str">
        <f>_xlfn.IFNA(VLOOKUP(Table1[[#This Row],[Tên đối tượng]],'DANH MỤC ĐỐI TƯỢNG'!A:I,9,0),"")</f>
        <v>JPMorgan Chase Bank, New York City</v>
      </c>
      <c r="I429" t="str">
        <f>_xlfn.IFNA(VLOOKUP(Table1[[#This Row],[Tên đối tượng]],'DANH MỤC ĐỐI TƯỢNG'!A:J,10,0),"")</f>
        <v>10013536</v>
      </c>
    </row>
    <row r="430" spans="1:9" x14ac:dyDescent="0.3">
      <c r="A430">
        <v>426</v>
      </c>
      <c r="B430" t="s">
        <v>835</v>
      </c>
      <c r="C430" t="s">
        <v>836</v>
      </c>
      <c r="D430" t="str">
        <f t="shared" si="12"/>
        <v>426. V4033C1</v>
      </c>
      <c r="E430" s="5" t="str">
        <f t="shared" ca="1" si="13"/>
        <v>Lâm Khánh Toàn</v>
      </c>
      <c r="F430" t="str">
        <f>IFERROR(VLOOKUP(Table1[[#This Row],[Tên đối tượng]],'DANH MỤC ĐỐI TƯỢNG'!A:E,5,0),"")</f>
        <v>CN5.1B - Khu hóa dầu - KCN Đình Vũ - P. Đông Hải II - Q. Hải An - Tp Hải Phòng</v>
      </c>
      <c r="G430">
        <f>_xlfn.IFNA(VLOOKUP(Table1[[#This Row],[Tên đối tượng]],'DANH MỤC ĐỐI TƯỢNG'!A:F,6,0),"")</f>
        <v>0</v>
      </c>
      <c r="H430" t="str">
        <f>_xlfn.IFNA(VLOOKUP(Table1[[#This Row],[Tên đối tượng]],'DANH MỤC ĐỐI TƯỢNG'!A:I,9,0),"")</f>
        <v>Vietcombank - CN Hải Phòng</v>
      </c>
      <c r="I430" t="str">
        <f>_xlfn.IFNA(VLOOKUP(Table1[[#This Row],[Tên đối tượng]],'DANH MỤC ĐỐI TƯỢNG'!A:J,10,0),"")</f>
        <v>0031000126842</v>
      </c>
    </row>
    <row r="431" spans="1:9" x14ac:dyDescent="0.3">
      <c r="A431">
        <v>427</v>
      </c>
      <c r="B431" t="s">
        <v>837</v>
      </c>
      <c r="C431" t="s">
        <v>838</v>
      </c>
      <c r="D431" t="str">
        <f t="shared" si="12"/>
        <v>427. V20083</v>
      </c>
      <c r="E431" s="5" t="str">
        <f t="shared" ca="1" si="13"/>
        <v>Lanxess Butyl Pte.Ltd</v>
      </c>
      <c r="F431" t="str">
        <f>IFERROR(VLOOKUP(Table1[[#This Row],[Tên đối tượng]],'DANH MỤC ĐỐI TƯỢNG'!A:E,5,0),"")</f>
        <v>Kennedyplatz 1, 50569 Cologne, Germany</v>
      </c>
      <c r="G431">
        <f>_xlfn.IFNA(VLOOKUP(Table1[[#This Row],[Tên đối tượng]],'DANH MỤC ĐỐI TƯỢNG'!A:F,6,0),"")</f>
        <v>0</v>
      </c>
      <c r="H431" t="str">
        <f>_xlfn.IFNA(VLOOKUP(Table1[[#This Row],[Tên đối tượng]],'DANH MỤC ĐỐI TƯỢNG'!A:I,9,0),"")</f>
        <v>Bank of America NA, Atlanta</v>
      </c>
      <c r="I431" t="str">
        <f>_xlfn.IFNA(VLOOKUP(Table1[[#This Row],[Tên đối tượng]],'DANH MỤC ĐỐI TƯỢNG'!A:J,10,0),"")</f>
        <v>3756583687</v>
      </c>
    </row>
    <row r="432" spans="1:9" x14ac:dyDescent="0.3">
      <c r="A432">
        <v>428</v>
      </c>
      <c r="B432" t="s">
        <v>839</v>
      </c>
      <c r="C432" t="s">
        <v>840</v>
      </c>
      <c r="D432" t="str">
        <f t="shared" si="12"/>
        <v>428. V20036</v>
      </c>
      <c r="E432" s="5" t="str">
        <f t="shared" ca="1" si="13"/>
        <v>Lanxess Deutschland GmbH</v>
      </c>
      <c r="F432" t="str">
        <f>IFERROR(VLOOKUP(Table1[[#This Row],[Tên đối tượng]],'DANH MỤC ĐỐI TƯỢNG'!A:E,5,0),"")</f>
        <v>Kennedyplatz 1, 50569 Cologne, Germany</v>
      </c>
      <c r="G432">
        <f>_xlfn.IFNA(VLOOKUP(Table1[[#This Row],[Tên đối tượng]],'DANH MỤC ĐỐI TƯỢNG'!A:F,6,0),"")</f>
        <v>0</v>
      </c>
      <c r="H432" t="str">
        <f>_xlfn.IFNA(VLOOKUP(Table1[[#This Row],[Tên đối tượng]],'DANH MỤC ĐỐI TƯỢNG'!A:I,9,0),"")</f>
        <v>Deutsche Bank AG-Leverkusen Branch</v>
      </c>
      <c r="I432" t="str">
        <f>_xlfn.IFNA(VLOOKUP(Table1[[#This Row],[Tên đối tượng]],'DANH MỤC ĐỐI TƯỢNG'!A:J,10,0),"")</f>
        <v>710530700</v>
      </c>
    </row>
    <row r="433" spans="1:9" x14ac:dyDescent="0.3">
      <c r="A433">
        <v>429</v>
      </c>
      <c r="B433" t="s">
        <v>841</v>
      </c>
      <c r="C433" t="s">
        <v>842</v>
      </c>
      <c r="D433" t="str">
        <f t="shared" si="12"/>
        <v>429. V4062C1</v>
      </c>
      <c r="E433" s="5" t="str">
        <f t="shared" ca="1" si="13"/>
        <v>Lê Thị Vân Huyền</v>
      </c>
      <c r="F433">
        <f>IFERROR(VLOOKUP(Table1[[#This Row],[Tên đối tượng]],'DANH MỤC ĐỐI TƯỢNG'!A:E,5,0),"")</f>
        <v>0</v>
      </c>
      <c r="G433">
        <f>_xlfn.IFNA(VLOOKUP(Table1[[#This Row],[Tên đối tượng]],'DANH MỤC ĐỐI TƯỢNG'!A:F,6,0),"")</f>
        <v>0</v>
      </c>
      <c r="H433" t="str">
        <f>_xlfn.IFNA(VLOOKUP(Table1[[#This Row],[Tên đối tượng]],'DANH MỤC ĐỐI TƯỢNG'!A:I,9,0),"")</f>
        <v>Vietcombank - CN Hải Phòng</v>
      </c>
      <c r="I433" t="str">
        <f>_xlfn.IFNA(VLOOKUP(Table1[[#This Row],[Tên đối tượng]],'DANH MỤC ĐỐI TƯỢNG'!A:J,10,0),"")</f>
        <v>0031000856618</v>
      </c>
    </row>
    <row r="434" spans="1:9" x14ac:dyDescent="0.3">
      <c r="A434">
        <v>430</v>
      </c>
      <c r="B434" t="s">
        <v>843</v>
      </c>
      <c r="C434" t="s">
        <v>844</v>
      </c>
      <c r="D434" t="str">
        <f t="shared" si="12"/>
        <v>430. V20056</v>
      </c>
      <c r="E434" s="5" t="str">
        <f t="shared" ca="1" si="13"/>
        <v>Leader Machine Co.,Ltd</v>
      </c>
      <c r="F434" t="str">
        <f>IFERROR(VLOOKUP(Table1[[#This Row],[Tên đối tượng]],'DANH MỤC ĐỐI TƯỢNG'!A:E,5,0),"")</f>
        <v>21-15 Shimoyagiri, Matsudo-City, Chiba-Pref. 271-0096 Japan</v>
      </c>
      <c r="G434">
        <f>_xlfn.IFNA(VLOOKUP(Table1[[#This Row],[Tên đối tượng]],'DANH MỤC ĐỐI TƯỢNG'!A:F,6,0),"")</f>
        <v>0</v>
      </c>
      <c r="H434" t="str">
        <f>_xlfn.IFNA(VLOOKUP(Table1[[#This Row],[Tên đối tượng]],'DANH MỤC ĐỐI TƯỢNG'!A:I,9,0),"")</f>
        <v>Sumitomo Mitsui Banking Corporation - Matsudo Branch</v>
      </c>
      <c r="I434" t="str">
        <f>_xlfn.IFNA(VLOOKUP(Table1[[#This Row],[Tên đối tượng]],'DANH MỤC ĐỐI TƯỢNG'!A:J,10,0),"")</f>
        <v>7240084</v>
      </c>
    </row>
    <row r="435" spans="1:9" x14ac:dyDescent="0.3">
      <c r="A435">
        <v>431</v>
      </c>
      <c r="B435" t="s">
        <v>845</v>
      </c>
      <c r="C435" t="s">
        <v>846</v>
      </c>
      <c r="D435" t="str">
        <f t="shared" si="12"/>
        <v>431. V20007</v>
      </c>
      <c r="E435" s="5" t="str">
        <f t="shared" ca="1" si="13"/>
        <v>LG Chem, Ltd</v>
      </c>
      <c r="F435" t="str">
        <f>IFERROR(VLOOKUP(Table1[[#This Row],[Tên đối tượng]],'DANH MỤC ĐỐI TƯỢNG'!A:E,5,0),"")</f>
        <v>LG TWIN TOWER,128 ,YEOUI-DAERO,  YEONGDEUNGPO-GU, SEOUL, 07336, KOREA</v>
      </c>
      <c r="G435">
        <f>_xlfn.IFNA(VLOOKUP(Table1[[#This Row],[Tên đối tượng]],'DANH MỤC ĐỐI TƯỢNG'!A:F,6,0),"")</f>
        <v>0</v>
      </c>
      <c r="H435" t="str">
        <f>_xlfn.IFNA(VLOOKUP(Table1[[#This Row],[Tên đối tượng]],'DANH MỤC ĐỐI TƯỢNG'!A:I,9,0),"")</f>
        <v>WOORI BANK, SEOUL- TWIN TOWER BRANCH</v>
      </c>
      <c r="I435" t="str">
        <f>_xlfn.IFNA(VLOOKUP(Table1[[#This Row],[Tên đối tượng]],'DANH MỤC ĐỐI TƯỢNG'!A:J,10,0),"")</f>
        <v>LGCHQG05</v>
      </c>
    </row>
    <row r="436" spans="1:9" x14ac:dyDescent="0.3">
      <c r="A436">
        <v>432</v>
      </c>
      <c r="B436" t="s">
        <v>847</v>
      </c>
      <c r="C436" t="s">
        <v>848</v>
      </c>
      <c r="D436" t="str">
        <f t="shared" si="12"/>
        <v>432. V20131</v>
      </c>
      <c r="E436" s="5" t="str">
        <f t="shared" ca="1" si="13"/>
        <v>LINTEC Corporation</v>
      </c>
      <c r="F436" t="str">
        <f>IFERROR(VLOOKUP(Table1[[#This Row],[Tên đối tượng]],'DANH MỤC ĐỐI TƯỢNG'!A:E,5,0),"")</f>
        <v>Kowa Lidabashi Bldg, 2-1-2 Korabu, Bunkyo-ku, Tokyo 112-0004 Japan</v>
      </c>
      <c r="G436">
        <f>_xlfn.IFNA(VLOOKUP(Table1[[#This Row],[Tên đối tượng]],'DANH MỤC ĐỐI TƯỢNG'!A:F,6,0),"")</f>
        <v>0</v>
      </c>
      <c r="H436" t="str">
        <f>_xlfn.IFNA(VLOOKUP(Table1[[#This Row],[Tên đối tượng]],'DANH MỤC ĐỐI TƯỢNG'!A:I,9,0),"")</f>
        <v>MIZUHO BANK , LTD / Itabashi branch</v>
      </c>
      <c r="I436" t="str">
        <f>_xlfn.IFNA(VLOOKUP(Table1[[#This Row],[Tên đối tượng]],'DANH MỤC ĐỐI TƯỢNG'!A:J,10,0),"")</f>
        <v>0019514</v>
      </c>
    </row>
    <row r="437" spans="1:9" x14ac:dyDescent="0.3">
      <c r="A437">
        <v>433</v>
      </c>
      <c r="B437" t="s">
        <v>849</v>
      </c>
      <c r="C437" t="s">
        <v>850</v>
      </c>
      <c r="D437" t="str">
        <f t="shared" si="12"/>
        <v>433. V20061</v>
      </c>
      <c r="E437" s="5" t="str">
        <f t="shared" ca="1" si="13"/>
        <v>Lintec Singapore Pte Ltd (SS)</v>
      </c>
      <c r="F437" t="str">
        <f>IFERROR(VLOOKUP(Table1[[#This Row],[Tên đối tượng]],'DANH MỤC ĐỐI TƯỢNG'!A:E,5,0),"")</f>
        <v>2 Toh Guan Rd East # 02-01 Singapore 608837</v>
      </c>
      <c r="G437">
        <f>_xlfn.IFNA(VLOOKUP(Table1[[#This Row],[Tên đối tượng]],'DANH MỤC ĐỐI TƯỢNG'!A:F,6,0),"")</f>
        <v>0</v>
      </c>
      <c r="H437" t="str">
        <f>_xlfn.IFNA(VLOOKUP(Table1[[#This Row],[Tên đối tượng]],'DANH MỤC ĐỐI TƯỢNG'!A:I,9,0),"")</f>
        <v>The bank of Tokyo-Mitsubishi UFJ, Ltd - Singapore Branch</v>
      </c>
      <c r="I437" t="str">
        <f>_xlfn.IFNA(VLOOKUP(Table1[[#This Row],[Tên đối tượng]],'DANH MỤC ĐỐI TƯỢNG'!A:J,10,0),"")</f>
        <v>189042</v>
      </c>
    </row>
    <row r="438" spans="1:9" x14ac:dyDescent="0.3">
      <c r="A438">
        <v>434</v>
      </c>
      <c r="B438" t="s">
        <v>851</v>
      </c>
      <c r="C438" t="s">
        <v>852</v>
      </c>
      <c r="D438" t="str">
        <f t="shared" si="12"/>
        <v>434. V20002</v>
      </c>
      <c r="E438" s="5" t="str">
        <f t="shared" ca="1" si="13"/>
        <v>LMS Technologies PTE LTD</v>
      </c>
      <c r="F438" t="str">
        <f>IFERROR(VLOOKUP(Table1[[#This Row],[Tên đối tượng]],'DANH MỤC ĐỐI TƯỢNG'!A:E,5,0),"")</f>
        <v>20 Sin Ming Lane #05-59 Midview City, Singapore 573968</v>
      </c>
      <c r="G438">
        <f>_xlfn.IFNA(VLOOKUP(Table1[[#This Row],[Tên đối tượng]],'DANH MỤC ĐỐI TƯỢNG'!A:F,6,0),"")</f>
        <v>0</v>
      </c>
      <c r="H438" t="str">
        <f>_xlfn.IFNA(VLOOKUP(Table1[[#This Row],[Tên đối tượng]],'DANH MỤC ĐỐI TƯỢNG'!A:I,9,0),"")</f>
        <v>DBS Bank-Singapore</v>
      </c>
      <c r="I438" t="str">
        <f>_xlfn.IFNA(VLOOKUP(Table1[[#This Row],[Tên đối tượng]],'DANH MỤC ĐỐI TƯỢNG'!A:J,10,0),"")</f>
        <v>0004000039013022</v>
      </c>
    </row>
    <row r="439" spans="1:9" x14ac:dyDescent="0.3">
      <c r="A439">
        <v>435</v>
      </c>
      <c r="B439" t="s">
        <v>853</v>
      </c>
      <c r="C439" t="s">
        <v>854</v>
      </c>
      <c r="D439" t="str">
        <f t="shared" si="12"/>
        <v>435. V20085</v>
      </c>
      <c r="E439" s="5" t="str">
        <f t="shared" ca="1" si="13"/>
        <v>Maeda Seisakusho Co.,Ltd.</v>
      </c>
      <c r="F439" t="str">
        <f>IFERROR(VLOOKUP(Table1[[#This Row],[Tên đối tượng]],'DANH MỤC ĐỐI TƯỢNG'!A:E,5,0),"")</f>
        <v>1095 Onbegawa Shinonoi, Nagano City, Nagano 388-8522, Japan</v>
      </c>
      <c r="G439">
        <f>_xlfn.IFNA(VLOOKUP(Table1[[#This Row],[Tên đối tượng]],'DANH MỤC ĐỐI TƯỢNG'!A:F,6,0),"")</f>
        <v>0</v>
      </c>
      <c r="H439" t="str">
        <f>_xlfn.IFNA(VLOOKUP(Table1[[#This Row],[Tên đối tượng]],'DANH MỤC ĐỐI TƯỢNG'!A:I,9,0),"")</f>
        <v>Hachijuni Bank, Shinonoi Branch</v>
      </c>
      <c r="I439" t="str">
        <f>_xlfn.IFNA(VLOOKUP(Table1[[#This Row],[Tên đối tượng]],'DANH MỤC ĐỐI TƯỢNG'!A:J,10,0),"")</f>
        <v>670435</v>
      </c>
    </row>
    <row r="440" spans="1:9" x14ac:dyDescent="0.3">
      <c r="A440">
        <v>436</v>
      </c>
      <c r="B440" t="s">
        <v>855</v>
      </c>
      <c r="C440" t="s">
        <v>856</v>
      </c>
      <c r="D440" t="str">
        <f t="shared" si="12"/>
        <v>436. V10227</v>
      </c>
      <c r="E440" s="5" t="str">
        <f t="shared" ca="1" si="13"/>
        <v>Market</v>
      </c>
      <c r="F440">
        <f>IFERROR(VLOOKUP(Table1[[#This Row],[Tên đối tượng]],'DANH MỤC ĐỐI TƯỢNG'!A:E,5,0),"")</f>
        <v>0</v>
      </c>
      <c r="G440">
        <f>_xlfn.IFNA(VLOOKUP(Table1[[#This Row],[Tên đối tượng]],'DANH MỤC ĐỐI TƯỢNG'!A:F,6,0),"")</f>
        <v>0</v>
      </c>
      <c r="H440">
        <f>_xlfn.IFNA(VLOOKUP(Table1[[#This Row],[Tên đối tượng]],'DANH MỤC ĐỐI TƯỢNG'!A:I,9,0),"")</f>
        <v>0</v>
      </c>
      <c r="I440">
        <f>_xlfn.IFNA(VLOOKUP(Table1[[#This Row],[Tên đối tượng]],'DANH MỤC ĐỐI TƯỢNG'!A:J,10,0),"")</f>
        <v>0</v>
      </c>
    </row>
    <row r="441" spans="1:9" x14ac:dyDescent="0.3">
      <c r="A441">
        <v>437</v>
      </c>
      <c r="B441" t="s">
        <v>857</v>
      </c>
      <c r="C441" t="s">
        <v>858</v>
      </c>
      <c r="D441" t="str">
        <f t="shared" si="12"/>
        <v>437. V20046</v>
      </c>
      <c r="E441" s="5" t="str">
        <f t="shared" ca="1" si="13"/>
        <v>Marukoshi Co.,Ltd</v>
      </c>
      <c r="F441" t="str">
        <f>IFERROR(VLOOKUP(Table1[[#This Row],[Tên đối tượng]],'DANH MỤC ĐỐI TƯỢNG'!A:E,5,0),"")</f>
        <v>5-16-17 Nango, Chigasaki-Shi, Kanagawa-Ken, Japan.253-0061</v>
      </c>
      <c r="G441">
        <f>_xlfn.IFNA(VLOOKUP(Table1[[#This Row],[Tên đối tượng]],'DANH MỤC ĐỐI TƯỢNG'!A:F,6,0),"")</f>
        <v>0</v>
      </c>
      <c r="H441" t="str">
        <f>_xlfn.IFNA(VLOOKUP(Table1[[#This Row],[Tên đối tượng]],'DANH MỤC ĐỐI TƯỢNG'!A:I,9,0),"")</f>
        <v>The Bank of Tokyo-Mitsubishi UFJ Ltd, Fujisawa Branch</v>
      </c>
      <c r="I441" t="str">
        <f>_xlfn.IFNA(VLOOKUP(Table1[[#This Row],[Tên đối tượng]],'DANH MỤC ĐỐI TƯỢNG'!A:J,10,0),"")</f>
        <v>0071097</v>
      </c>
    </row>
    <row r="442" spans="1:9" x14ac:dyDescent="0.3">
      <c r="A442">
        <v>438</v>
      </c>
      <c r="B442" t="s">
        <v>859</v>
      </c>
      <c r="C442" t="s">
        <v>860</v>
      </c>
      <c r="D442" t="str">
        <f t="shared" si="12"/>
        <v>438. V20113</v>
      </c>
      <c r="E442" s="5" t="str">
        <f t="shared" ca="1" si="13"/>
        <v>Megatech Corporation</v>
      </c>
      <c r="F442" t="str">
        <f>IFERROR(VLOOKUP(Table1[[#This Row],[Tên đối tượng]],'DANH MỤC ĐỐI TƯỢNG'!A:E,5,0),"")</f>
        <v>Chiba Port Side Tower 26F, 1-35, Tonya-Cho, Chuo-Ku, Chiba-City, Chiba,260-0025, Japan</v>
      </c>
      <c r="G442">
        <f>_xlfn.IFNA(VLOOKUP(Table1[[#This Row],[Tên đối tượng]],'DANH MỤC ĐỐI TƯỢNG'!A:F,6,0),"")</f>
        <v>0</v>
      </c>
      <c r="H442" t="str">
        <f>_xlfn.IFNA(VLOOKUP(Table1[[#This Row],[Tên đối tượng]],'DANH MỤC ĐỐI TƯỢNG'!A:I,9,0),"")</f>
        <v>Mizuho Bank.,Ltd-Chiba Branch</v>
      </c>
      <c r="I442" t="str">
        <f>_xlfn.IFNA(VLOOKUP(Table1[[#This Row],[Tên đối tượng]],'DANH MỤC ĐỐI TƯỢNG'!A:J,10,0),"")</f>
        <v>280-1610911</v>
      </c>
    </row>
    <row r="443" spans="1:9" x14ac:dyDescent="0.3">
      <c r="A443">
        <v>439</v>
      </c>
      <c r="B443" t="s">
        <v>861</v>
      </c>
      <c r="C443" t="s">
        <v>862</v>
      </c>
      <c r="D443" t="str">
        <f t="shared" si="12"/>
        <v>439. V20133</v>
      </c>
      <c r="E443" s="5" t="str">
        <f t="shared" ca="1" si="13"/>
        <v>Mitsubishi Heavy Industries(Changshu) Machinery Co.,Ltd</v>
      </c>
      <c r="F443" t="str">
        <f>IFERROR(VLOOKUP(Table1[[#This Row],[Tên đối tượng]],'DANH MỤC ĐỐI TƯỢNG'!A:E,5,0),"")</f>
        <v>81, Huangpujiang Road, Changshu New and high-tech Industrial Development Zone, Changshu City, Jiangsu Province, P.R China</v>
      </c>
      <c r="G443">
        <f>_xlfn.IFNA(VLOOKUP(Table1[[#This Row],[Tên đối tượng]],'DANH MỤC ĐỐI TƯỢNG'!A:F,6,0),"")</f>
        <v>0</v>
      </c>
      <c r="H443" t="str">
        <f>_xlfn.IFNA(VLOOKUP(Table1[[#This Row],[Tên đối tượng]],'DANH MỤC ĐỐI TƯỢNG'!A:I,9,0),"")</f>
        <v>Bank of Tokyo-Mitsubushi UFJ (China), Ltd. Suzhou Branch</v>
      </c>
      <c r="I443" t="str">
        <f>_xlfn.IFNA(VLOOKUP(Table1[[#This Row],[Tên đối tượng]],'DANH MỤC ĐỐI TƯỢNG'!A:J,10,0),"")</f>
        <v>016152 (USD) / 016160 (JPY)</v>
      </c>
    </row>
    <row r="444" spans="1:9" x14ac:dyDescent="0.3">
      <c r="A444">
        <v>440</v>
      </c>
      <c r="B444" t="s">
        <v>863</v>
      </c>
      <c r="C444" t="s">
        <v>864</v>
      </c>
      <c r="D444" t="str">
        <f t="shared" si="12"/>
        <v>440. V20040</v>
      </c>
      <c r="E444" s="5" t="str">
        <f ca="1">IF(B444&lt;&gt;"",HYPERLINK($A$2&amp;D444,C444),"")</f>
        <v>Miwon Chemicals Co.,Ltd</v>
      </c>
      <c r="F444" t="str">
        <f>IFERROR(VLOOKUP(Table1[[#This Row],[Tên đối tượng]],'DANH MỤC ĐỐI TƯỢNG'!A:E,5,0),"")</f>
        <v>Miwon Bldg, 464, Anyang-ro, Manan-gu Anyang-si, Gyeonggi-do, Seoul 13967, Korea</v>
      </c>
      <c r="G444">
        <f>_xlfn.IFNA(VLOOKUP(Table1[[#This Row],[Tên đối tượng]],'DANH MỤC ĐỐI TƯỢNG'!A:F,6,0),"")</f>
        <v>0</v>
      </c>
      <c r="H444" t="str">
        <f>_xlfn.IFNA(VLOOKUP(Table1[[#This Row],[Tên đối tượng]],'DANH MỤC ĐỐI TƯỢNG'!A:I,9,0),"")</f>
        <v>Keb Hana Bank - Beomgye Station Branch</v>
      </c>
      <c r="I444" t="str">
        <f>_xlfn.IFNA(VLOOKUP(Table1[[#This Row],[Tên đối tượng]],'DANH MỤC ĐỐI TƯỢNG'!A:J,10,0),"")</f>
        <v>650-007963-871</v>
      </c>
    </row>
    <row r="445" spans="1:9" x14ac:dyDescent="0.3">
      <c r="A445">
        <v>441</v>
      </c>
      <c r="B445" t="s">
        <v>865</v>
      </c>
      <c r="C445" t="s">
        <v>866</v>
      </c>
      <c r="D445" t="str">
        <f t="shared" si="12"/>
        <v>441. V20124</v>
      </c>
      <c r="E445" s="5" t="str">
        <f t="shared" ca="1" si="13"/>
        <v>Mobley Group Pacific Limited</v>
      </c>
      <c r="F445" t="str">
        <f>IFERROR(VLOOKUP(Table1[[#This Row],[Tên đối tượng]],'DANH MỤC ĐỐI TƯỢNG'!A:E,5,0),"")</f>
        <v>222 Hubin Rd, Lu Wan Qu, Shanghai, Trung Quốc</v>
      </c>
      <c r="G445">
        <f>_xlfn.IFNA(VLOOKUP(Table1[[#This Row],[Tên đối tượng]],'DANH MỤC ĐỐI TƯỢNG'!A:F,6,0),"")</f>
        <v>0</v>
      </c>
      <c r="H445">
        <f>_xlfn.IFNA(VLOOKUP(Table1[[#This Row],[Tên đối tượng]],'DANH MỤC ĐỐI TƯỢNG'!A:I,9,0),"")</f>
        <v>0</v>
      </c>
      <c r="I445">
        <f>_xlfn.IFNA(VLOOKUP(Table1[[#This Row],[Tên đối tượng]],'DANH MỤC ĐỐI TƯỢNG'!A:J,10,0),"")</f>
        <v>0</v>
      </c>
    </row>
    <row r="446" spans="1:9" x14ac:dyDescent="0.3">
      <c r="A446">
        <v>442</v>
      </c>
      <c r="B446" t="s">
        <v>867</v>
      </c>
      <c r="C446" t="s">
        <v>868</v>
      </c>
      <c r="D446" t="str">
        <f t="shared" si="12"/>
        <v>442. V20088</v>
      </c>
      <c r="E446" s="5" t="str">
        <f t="shared" ca="1" si="13"/>
        <v>Nakao Industry Co.,Ltd.</v>
      </c>
      <c r="F446" t="str">
        <f>IFERROR(VLOOKUP(Table1[[#This Row],[Tên đối tượng]],'DANH MỤC ĐỐI TƯỢNG'!A:E,5,0),"")</f>
        <v>142-5, Gonose, Hirogawa-cho Arida-gun, Wakayama, 643-0053, Japan</v>
      </c>
      <c r="G446">
        <f>_xlfn.IFNA(VLOOKUP(Table1[[#This Row],[Tên đối tượng]],'DANH MỤC ĐỐI TƯỢNG'!A:F,6,0),"")</f>
        <v>0</v>
      </c>
      <c r="H446">
        <f>_xlfn.IFNA(VLOOKUP(Table1[[#This Row],[Tên đối tượng]],'DANH MỤC ĐỐI TƯỢNG'!A:I,9,0),"")</f>
        <v>0</v>
      </c>
      <c r="I446">
        <f>_xlfn.IFNA(VLOOKUP(Table1[[#This Row],[Tên đối tượng]],'DANH MỤC ĐỐI TƯỢNG'!A:J,10,0),"")</f>
        <v>0</v>
      </c>
    </row>
    <row r="447" spans="1:9" x14ac:dyDescent="0.3">
      <c r="A447">
        <v>443</v>
      </c>
      <c r="B447" t="s">
        <v>869</v>
      </c>
      <c r="C447" t="s">
        <v>870</v>
      </c>
      <c r="D447" t="str">
        <f t="shared" si="12"/>
        <v>443. V20093</v>
      </c>
      <c r="E447" s="5" t="str">
        <f t="shared" ca="1" si="13"/>
        <v>Nakata Engineering Co.,Ltd</v>
      </c>
      <c r="F447" t="str">
        <f>IFERROR(VLOOKUP(Table1[[#This Row],[Tên đối tượng]],'DANH MỤC ĐỐI TƯỢNG'!A:E,5,0),"")</f>
        <v>619 Minami, Kande-cho, Nishi-ku, Kobe 651-2312, Japan</v>
      </c>
      <c r="G447">
        <f>_xlfn.IFNA(VLOOKUP(Table1[[#This Row],[Tên đối tượng]],'DANH MỤC ĐỐI TƯỢNG'!A:F,6,0),"")</f>
        <v>0</v>
      </c>
      <c r="H447" t="str">
        <f>_xlfn.IFNA(VLOOKUP(Table1[[#This Row],[Tên đối tượng]],'DANH MỤC ĐỐI TƯỢNG'!A:I,9,0),"")</f>
        <v>Mizuho Bank, Ltd - Kobe Branch</v>
      </c>
      <c r="I447" t="str">
        <f>_xlfn.IFNA(VLOOKUP(Table1[[#This Row],[Tên đối tượng]],'DANH MỤC ĐỐI TƯỢNG'!A:J,10,0),"")</f>
        <v>1685792</v>
      </c>
    </row>
    <row r="448" spans="1:9" x14ac:dyDescent="0.3">
      <c r="A448">
        <v>444</v>
      </c>
      <c r="B448" t="s">
        <v>871</v>
      </c>
      <c r="C448" t="s">
        <v>872</v>
      </c>
      <c r="D448" t="str">
        <f t="shared" si="12"/>
        <v>444. V20009</v>
      </c>
      <c r="E448" s="5" t="str">
        <f t="shared" ca="1" si="13"/>
        <v>Nanjing Shuguang Silane Chemical Co.,Ltd</v>
      </c>
      <c r="F448" t="str">
        <f>IFERROR(VLOOKUP(Table1[[#This Row],[Tên đối tượng]],'DANH MỤC ĐỐI TƯỢNG'!A:E,5,0),"")</f>
        <v>No.226, ChongFu Road, Chemical Industrial Park District, Nanjing, China</v>
      </c>
      <c r="G448">
        <f>_xlfn.IFNA(VLOOKUP(Table1[[#This Row],[Tên đối tượng]],'DANH MỤC ĐỐI TƯỢNG'!A:F,6,0),"")</f>
        <v>0</v>
      </c>
      <c r="H448" t="str">
        <f>_xlfn.IFNA(VLOOKUP(Table1[[#This Row],[Tên đối tượng]],'DANH MỤC ĐỐI TƯỢNG'!A:I,9,0),"")</f>
        <v>China Guangfa Bank Co., Ltd-Nanjing Branch</v>
      </c>
      <c r="I448" t="str">
        <f>_xlfn.IFNA(VLOOKUP(Table1[[#This Row],[Tên đối tượng]],'DANH MỤC ĐỐI TƯỢNG'!A:J,10,0),"")</f>
        <v>136041-709-14-0000035</v>
      </c>
    </row>
    <row r="449" spans="1:9" x14ac:dyDescent="0.3">
      <c r="A449">
        <v>445</v>
      </c>
      <c r="B449" t="s">
        <v>873</v>
      </c>
      <c r="C449" t="s">
        <v>874</v>
      </c>
      <c r="D449" t="str">
        <f t="shared" si="12"/>
        <v>445. V4032C2</v>
      </c>
      <c r="E449" s="5" t="str">
        <f t="shared" ca="1" si="13"/>
        <v>Nguyễn Hồng Nam</v>
      </c>
      <c r="F449" t="str">
        <f>IFERROR(VLOOKUP(Table1[[#This Row],[Tên đối tượng]],'DANH MỤC ĐỐI TƯỢNG'!A:E,5,0),"")</f>
        <v>Nhà hàng Kaminumaya, 396A Lạch Tray, Ngô Quyền, Hải Phòng</v>
      </c>
      <c r="G449">
        <f>_xlfn.IFNA(VLOOKUP(Table1[[#This Row],[Tên đối tượng]],'DANH MỤC ĐỐI TƯỢNG'!A:F,6,0),"")</f>
        <v>0</v>
      </c>
      <c r="H449" t="str">
        <f>_xlfn.IFNA(VLOOKUP(Table1[[#This Row],[Tên đối tượng]],'DANH MỤC ĐỐI TƯỢNG'!A:I,9,0),"")</f>
        <v>Ngân hàng Vietinbank , chi nhánh Hải Phòng</v>
      </c>
      <c r="I449" t="str">
        <f>_xlfn.IFNA(VLOOKUP(Table1[[#This Row],[Tên đối tượng]],'DANH MỤC ĐỐI TƯỢNG'!A:J,10,0),"")</f>
        <v>101010002636770</v>
      </c>
    </row>
    <row r="450" spans="1:9" x14ac:dyDescent="0.3">
      <c r="A450">
        <v>446</v>
      </c>
      <c r="B450" t="s">
        <v>875</v>
      </c>
      <c r="C450" t="s">
        <v>876</v>
      </c>
      <c r="D450" t="str">
        <f t="shared" si="12"/>
        <v>446. V20065</v>
      </c>
      <c r="E450" s="5" t="str">
        <f t="shared" ca="1" si="13"/>
        <v>NHV Corporation</v>
      </c>
      <c r="F450" t="str">
        <f>IFERROR(VLOOKUP(Table1[[#This Row],[Tên đối tượng]],'DANH MỤC ĐỐI TƯỢNG'!A:E,5,0),"")</f>
        <v>47, Umezu-Takase-cho, Ukyo-ku, Kyoto 615-8686, Japan</v>
      </c>
      <c r="G450">
        <f>_xlfn.IFNA(VLOOKUP(Table1[[#This Row],[Tên đối tượng]],'DANH MỤC ĐỐI TƯỢNG'!A:F,6,0),"")</f>
        <v>0</v>
      </c>
      <c r="H450" t="str">
        <f>_xlfn.IFNA(VLOOKUP(Table1[[#This Row],[Tên đối tượng]],'DANH MỤC ĐỐI TƯỢNG'!A:I,9,0),"")</f>
        <v>Sumitomo Mitsui Banking Corporation - Kyoto Branch</v>
      </c>
      <c r="I450" t="str">
        <f>_xlfn.IFNA(VLOOKUP(Table1[[#This Row],[Tên đối tượng]],'DANH MỤC ĐỐI TƯỢNG'!A:J,10,0),"")</f>
        <v>205528</v>
      </c>
    </row>
    <row r="451" spans="1:9" x14ac:dyDescent="0.3">
      <c r="A451">
        <v>447</v>
      </c>
      <c r="B451" t="s">
        <v>877</v>
      </c>
      <c r="C451" t="s">
        <v>878</v>
      </c>
      <c r="D451" t="str">
        <f t="shared" si="12"/>
        <v>447. V20141</v>
      </c>
      <c r="E451" s="5" t="str">
        <f t="shared" ca="1" si="13"/>
        <v>Nihon Seikoh Giken co.,Ltd</v>
      </c>
      <c r="F451" t="str">
        <f>IFERROR(VLOOKUP(Table1[[#This Row],[Tên đối tượng]],'DANH MỤC ĐỐI TƯỢNG'!A:E,5,0),"")</f>
        <v>2-8-8 Shinjyuku,shinjyuku Ward,Tokyo 160-0022, Japan</v>
      </c>
      <c r="G451">
        <f>_xlfn.IFNA(VLOOKUP(Table1[[#This Row],[Tên đối tượng]],'DANH MỤC ĐỐI TƯỢNG'!A:F,6,0),"")</f>
        <v>0</v>
      </c>
      <c r="H451" t="str">
        <f>_xlfn.IFNA(VLOOKUP(Table1[[#This Row],[Tên đối tượng]],'DANH MỤC ĐỐI TƯỢNG'!A:I,9,0),"")</f>
        <v>Sumitomo Mitsui banking corporation / Shinjuku Branch</v>
      </c>
      <c r="I451" t="str">
        <f>_xlfn.IFNA(VLOOKUP(Table1[[#This Row],[Tên đối tượng]],'DANH MỤC ĐỐI TƯỢNG'!A:J,10,0),"")</f>
        <v>4567262</v>
      </c>
    </row>
    <row r="452" spans="1:9" x14ac:dyDescent="0.3">
      <c r="A452">
        <v>448</v>
      </c>
      <c r="B452" t="s">
        <v>879</v>
      </c>
      <c r="C452" t="s">
        <v>880</v>
      </c>
      <c r="D452" t="str">
        <f t="shared" si="12"/>
        <v>448. V20099</v>
      </c>
      <c r="E452" s="5" t="str">
        <f t="shared" ca="1" si="13"/>
        <v>NIKKA DENSOK LIMITED</v>
      </c>
      <c r="F452" t="str">
        <f>IFERROR(VLOOKUP(Table1[[#This Row],[Tên đối tượng]],'DANH MỤC ĐỐI TƯỢNG'!A:E,5,0),"")</f>
        <v>710 Shimoakasaka,Kawagoe-shi,Saitama-ken, Japan</v>
      </c>
      <c r="G452">
        <f>_xlfn.IFNA(VLOOKUP(Table1[[#This Row],[Tên đối tượng]],'DANH MỤC ĐỐI TƯỢNG'!A:F,6,0),"")</f>
        <v>0</v>
      </c>
      <c r="H452" t="str">
        <f>_xlfn.IFNA(VLOOKUP(Table1[[#This Row],[Tên đối tượng]],'DANH MỤC ĐỐI TƯỢNG'!A:I,9,0),"")</f>
        <v>The Bank of Tokyo-Mitsubishi UFJ, Ltd. - OYAMA Branch Branch</v>
      </c>
      <c r="I452" t="str">
        <f>_xlfn.IFNA(VLOOKUP(Table1[[#This Row],[Tên đối tượng]],'DANH MỤC ĐỐI TƯỢNG'!A:J,10,0),"")</f>
        <v>9010852</v>
      </c>
    </row>
    <row r="453" spans="1:9" x14ac:dyDescent="0.3">
      <c r="A453">
        <v>449</v>
      </c>
      <c r="B453" t="s">
        <v>881</v>
      </c>
      <c r="C453" t="s">
        <v>882</v>
      </c>
      <c r="D453" t="str">
        <f t="shared" ref="D453:D516" si="14">A453&amp;". "&amp;B453</f>
        <v>449. V20057</v>
      </c>
      <c r="E453" s="5" t="str">
        <f t="shared" ref="E453:E516" ca="1" si="15">IF(B453&lt;&gt;"",HYPERLINK($A$2&amp;D453,C453),"")</f>
        <v>Nippon Steel &amp; Sumikin Texeng.Co.,Ltd</v>
      </c>
      <c r="F453" t="str">
        <f>IFERROR(VLOOKUP(Table1[[#This Row],[Tên đối tượng]],'DANH MỤC ĐỐI TƯỢNG'!A:E,5,0),"")</f>
        <v>Mitsubishi Building, 2-5-2, Marunouchi, Chiyoda-ku, Tokyo Japan</v>
      </c>
      <c r="G453">
        <f>_xlfn.IFNA(VLOOKUP(Table1[[#This Row],[Tên đối tượng]],'DANH MỤC ĐỐI TƯỢNG'!A:F,6,0),"")</f>
        <v>0</v>
      </c>
      <c r="H453" t="str">
        <f>_xlfn.IFNA(VLOOKUP(Table1[[#This Row],[Tên đối tượng]],'DANH MỤC ĐỐI TƯỢNG'!A:I,9,0),"")</f>
        <v>Mizuho Bank Ltd., Kobunacho Branch</v>
      </c>
      <c r="I453" t="str">
        <f>_xlfn.IFNA(VLOOKUP(Table1[[#This Row],[Tên đối tượng]],'DANH MỤC ĐỐI TƯỢNG'!A:J,10,0),"")</f>
        <v>19982</v>
      </c>
    </row>
    <row r="454" spans="1:9" x14ac:dyDescent="0.3">
      <c r="A454">
        <v>450</v>
      </c>
      <c r="B454" t="s">
        <v>883</v>
      </c>
      <c r="C454" t="s">
        <v>884</v>
      </c>
      <c r="D454" t="str">
        <f t="shared" si="14"/>
        <v>450. V20069</v>
      </c>
      <c r="E454" s="5" t="str">
        <f t="shared" ca="1" si="15"/>
        <v>Nissin Shoji Co.,Ltd</v>
      </c>
      <c r="F454" t="str">
        <f>IFERROR(VLOOKUP(Table1[[#This Row],[Tên đối tượng]],'DANH MỤC ĐỐI TƯỢNG'!A:E,5,0),"")</f>
        <v>Daiwa Shibaura BLDG 4F, 12-3, Shibaura 1- Chome, Minato-ku, Tokyo 105-0023, Japan</v>
      </c>
      <c r="G454">
        <f>_xlfn.IFNA(VLOOKUP(Table1[[#This Row],[Tên đối tượng]],'DANH MỤC ĐỐI TƯỢNG'!A:F,6,0),"")</f>
        <v>0</v>
      </c>
      <c r="H454" t="str">
        <f>_xlfn.IFNA(VLOOKUP(Table1[[#This Row],[Tên đối tượng]],'DANH MỤC ĐỐI TƯỢNG'!A:I,9,0),"")</f>
        <v>SUMITOMO MITSUI BANKING CORPORATION - Marunouchi Branch</v>
      </c>
      <c r="I454" t="str">
        <f>_xlfn.IFNA(VLOOKUP(Table1[[#This Row],[Tên đối tượng]],'DANH MỤC ĐỐI TƯỢNG'!A:J,10,0),"")</f>
        <v>1022918</v>
      </c>
    </row>
    <row r="455" spans="1:9" x14ac:dyDescent="0.3">
      <c r="A455">
        <v>451</v>
      </c>
      <c r="B455" t="s">
        <v>885</v>
      </c>
      <c r="C455" t="s">
        <v>886</v>
      </c>
      <c r="D455" t="str">
        <f t="shared" si="14"/>
        <v>451. V20042</v>
      </c>
      <c r="E455" s="5" t="str">
        <f t="shared" ca="1" si="15"/>
        <v>Nitta Corporation of Singapore PTE LTD</v>
      </c>
      <c r="F455" t="str">
        <f>IFERROR(VLOOKUP(Table1[[#This Row],[Tên đối tượng]],'DANH MỤC ĐỐI TƯỢNG'!A:E,5,0),"")</f>
        <v>120 Lower Delta Road, #05-07/08 Cendex Centre, Singapore 169208</v>
      </c>
      <c r="G455">
        <f>_xlfn.IFNA(VLOOKUP(Table1[[#This Row],[Tên đối tượng]],'DANH MỤC ĐỐI TƯỢNG'!A:F,6,0),"")</f>
        <v>0</v>
      </c>
      <c r="H455" t="str">
        <f>_xlfn.IFNA(VLOOKUP(Table1[[#This Row],[Tên đối tượng]],'DANH MỤC ĐỐI TƯỢNG'!A:I,9,0),"")</f>
        <v>The bank of Tokyo-Mitsubishi UFJ, Ltd - Singapore Branch</v>
      </c>
      <c r="I455" t="str">
        <f>_xlfn.IFNA(VLOOKUP(Table1[[#This Row],[Tên đối tượng]],'DANH MỤC ĐỐI TƯỢNG'!A:J,10,0),"")</f>
        <v>187872</v>
      </c>
    </row>
    <row r="456" spans="1:9" x14ac:dyDescent="0.3">
      <c r="A456">
        <v>452</v>
      </c>
      <c r="B456" t="s">
        <v>887</v>
      </c>
      <c r="C456" t="s">
        <v>888</v>
      </c>
      <c r="D456" t="str">
        <f t="shared" si="14"/>
        <v>452. V20035</v>
      </c>
      <c r="E456" s="5" t="str">
        <f ca="1">IF(B456&lt;&gt;"",HYPERLINK($A$2&amp;D456,C456),"")</f>
        <v>Nocil Limited</v>
      </c>
      <c r="F456" t="str">
        <f>IFERROR(VLOOKUP(Table1[[#This Row],[Tên đối tượng]],'DANH MỤC ĐỐI TƯỢNG'!A:E,5,0),"")</f>
        <v>Mafatlal House, H.T. Parekh Marg Backbay Reclamation , Churchgate, Mumbai 400 020, India</v>
      </c>
      <c r="G456">
        <f>_xlfn.IFNA(VLOOKUP(Table1[[#This Row],[Tên đối tượng]],'DANH MỤC ĐỐI TƯỢNG'!A:F,6,0),"")</f>
        <v>0</v>
      </c>
      <c r="H456" t="str">
        <f>_xlfn.IFNA(VLOOKUP(Table1[[#This Row],[Tên đối tượng]],'DANH MỤC ĐỐI TƯỢNG'!A:I,9,0),"")</f>
        <v>HDFC BANK LTD., FORT BRANCH</v>
      </c>
      <c r="I456" t="str">
        <f>_xlfn.IFNA(VLOOKUP(Table1[[#This Row],[Tên đối tượng]],'DANH MỤC ĐỐI TƯỢNG'!A:J,10,0),"")</f>
        <v>000 1032 000 1756</v>
      </c>
    </row>
    <row r="457" spans="1:9" x14ac:dyDescent="0.3">
      <c r="A457">
        <v>453</v>
      </c>
      <c r="B457" t="s">
        <v>889</v>
      </c>
      <c r="C457" t="s">
        <v>890</v>
      </c>
      <c r="D457" t="str">
        <f t="shared" si="14"/>
        <v>453. V20128</v>
      </c>
      <c r="E457" s="5" t="str">
        <f t="shared" ca="1" si="15"/>
        <v>OCI Company Ltd</v>
      </c>
      <c r="F457" t="str">
        <f>IFERROR(VLOOKUP(Table1[[#This Row],[Tên đối tượng]],'DANH MỤC ĐỐI TƯỢNG'!A:E,5,0),"")</f>
        <v>OCI BLDG.94,SOGONG-RO JUNG-GU</v>
      </c>
      <c r="G457">
        <f>_xlfn.IFNA(VLOOKUP(Table1[[#This Row],[Tên đối tượng]],'DANH MỤC ĐỐI TƯỢNG'!A:F,6,0),"")</f>
        <v>0</v>
      </c>
      <c r="H457">
        <f>_xlfn.IFNA(VLOOKUP(Table1[[#This Row],[Tên đối tượng]],'DANH MỤC ĐỐI TƯỢNG'!A:I,9,0),"")</f>
        <v>0</v>
      </c>
      <c r="I457">
        <f>_xlfn.IFNA(VLOOKUP(Table1[[#This Row],[Tên đối tượng]],'DANH MỤC ĐỐI TƯỢNG'!A:J,10,0),"")</f>
        <v>0</v>
      </c>
    </row>
    <row r="458" spans="1:9" x14ac:dyDescent="0.3">
      <c r="A458">
        <v>454</v>
      </c>
      <c r="B458" t="s">
        <v>891</v>
      </c>
      <c r="C458" t="s">
        <v>892</v>
      </c>
      <c r="D458" t="str">
        <f t="shared" si="14"/>
        <v>454. V20058</v>
      </c>
      <c r="E458" s="5" t="str">
        <f t="shared" ca="1" si="15"/>
        <v>Omron Asia Pacific Pte Ltd</v>
      </c>
      <c r="F458" t="str">
        <f>IFERROR(VLOOKUP(Table1[[#This Row],[Tên đối tượng]],'DANH MỤC ĐỐI TƯỢNG'!A:E,5,0),"")</f>
        <v>438A Alexandra Road, #05-05/08 Alexandra Technopark Singapore 119967</v>
      </c>
      <c r="G458">
        <f>_xlfn.IFNA(VLOOKUP(Table1[[#This Row],[Tên đối tượng]],'DANH MỤC ĐỐI TƯỢNG'!A:F,6,0),"")</f>
        <v>0</v>
      </c>
      <c r="H458" t="str">
        <f>_xlfn.IFNA(VLOOKUP(Table1[[#This Row],[Tên đối tượng]],'DANH MỤC ĐỐI TƯỢNG'!A:I,9,0),"")</f>
        <v>The bank of Tokyo-Mitsubishi UFJ, Ltd</v>
      </c>
      <c r="I458" t="str">
        <f>_xlfn.IFNA(VLOOKUP(Table1[[#This Row],[Tên đối tượng]],'DANH MỤC ĐỐI TƯỢNG'!A:J,10,0),"")</f>
        <v>058610</v>
      </c>
    </row>
    <row r="459" spans="1:9" x14ac:dyDescent="0.3">
      <c r="A459">
        <v>455</v>
      </c>
      <c r="B459" t="s">
        <v>893</v>
      </c>
      <c r="C459" t="s">
        <v>894</v>
      </c>
      <c r="D459" t="str">
        <f t="shared" si="14"/>
        <v>455. V20004</v>
      </c>
      <c r="E459" s="5" t="str">
        <f t="shared" ca="1" si="15"/>
        <v>Oosaki Kikou Co.,Ltd</v>
      </c>
      <c r="F459" t="str">
        <f>IFERROR(VLOOKUP(Table1[[#This Row],[Tên đối tượng]],'DANH MỤC ĐỐI TƯỢNG'!A:E,5,0),"")</f>
        <v>6-3-17 Minamishinagawa, Shinagawa-ku, Tokyo, Japan 140-0004</v>
      </c>
      <c r="G459">
        <f>_xlfn.IFNA(VLOOKUP(Table1[[#This Row],[Tên đối tượng]],'DANH MỤC ĐỐI TƯỢNG'!A:F,6,0),"")</f>
        <v>0</v>
      </c>
      <c r="H459" t="str">
        <f>_xlfn.IFNA(VLOOKUP(Table1[[#This Row],[Tên đối tượng]],'DANH MỤC ĐỐI TƯỢNG'!A:I,9,0),"")</f>
        <v>THE SHOKO CHUKIN BANK, LTD</v>
      </c>
      <c r="I459" t="str">
        <f>_xlfn.IFNA(VLOOKUP(Table1[[#This Row],[Tên đối tượng]],'DANH MỤC ĐỐI TƯỢNG'!A:J,10,0),"")</f>
        <v>132-0142276</v>
      </c>
    </row>
    <row r="460" spans="1:9" x14ac:dyDescent="0.3">
      <c r="A460">
        <v>456</v>
      </c>
      <c r="B460" t="s">
        <v>895</v>
      </c>
      <c r="C460" t="s">
        <v>896</v>
      </c>
      <c r="D460" t="str">
        <f t="shared" si="14"/>
        <v>456. V20139</v>
      </c>
      <c r="E460" s="5" t="str">
        <f t="shared" ca="1" si="15"/>
        <v>Oriental Carbon &amp; Chemicals Ltd</v>
      </c>
      <c r="F460" t="str">
        <f>IFERROR(VLOOKUP(Table1[[#This Row],[Tên đối tượng]],'DANH MỤC ĐỐI TƯỢNG'!A:E,5,0),"")</f>
        <v>14th Floor, Tower B, World Trade Tower, Plot No. C-1, Sector -16, Noida - 201301. UP, 201301 India</v>
      </c>
      <c r="G460">
        <f>_xlfn.IFNA(VLOOKUP(Table1[[#This Row],[Tên đối tượng]],'DANH MỤC ĐỐI TƯỢNG'!A:F,6,0),"")</f>
        <v>0</v>
      </c>
      <c r="H460" t="str">
        <f>_xlfn.IFNA(VLOOKUP(Table1[[#This Row],[Tên đối tượng]],'DANH MỤC ĐỐI TƯỢNG'!A:I,9,0),"")</f>
        <v>State Bank of India / Overseas Branch</v>
      </c>
      <c r="I460" t="str">
        <f>_xlfn.IFNA(VLOOKUP(Table1[[#This Row],[Tên đối tượng]],'DANH MỤC ĐỐI TƯỢNG'!A:J,10,0),"")</f>
        <v>10324773718</v>
      </c>
    </row>
    <row r="461" spans="1:9" x14ac:dyDescent="0.3">
      <c r="A461">
        <v>457</v>
      </c>
      <c r="B461" t="s">
        <v>897</v>
      </c>
      <c r="C461" t="s">
        <v>5202</v>
      </c>
      <c r="D461" t="str">
        <f t="shared" si="14"/>
        <v>457. V10104</v>
      </c>
      <c r="E461" s="5" t="str">
        <f t="shared" ca="1" si="15"/>
        <v>Công ty TNHH OSG Việt Nam</v>
      </c>
      <c r="F461" t="str">
        <f>IFERROR(VLOOKUP(Table1[[#This Row],[Tên đối tượng]],'DANH MỤC ĐỐI TƯỢNG'!A:E,5,0),"")</f>
        <v>Tầng 3-561 Kim Mã, P.Ngọc Khánh, Q.Ba Đình, Hà Nội</v>
      </c>
      <c r="G461" t="str">
        <f>_xlfn.IFNA(VLOOKUP(Table1[[#This Row],[Tên đối tượng]],'DANH MỤC ĐỐI TƯỢNG'!A:F,6,0),"")</f>
        <v>0102981520</v>
      </c>
      <c r="H461" t="str">
        <f>_xlfn.IFNA(VLOOKUP(Table1[[#This Row],[Tên đối tượng]],'DANH MỤC ĐỐI TƯỢNG'!A:I,9,0),"")</f>
        <v>Sumitomo Mitsui Banking Corporation - Hanoi branch</v>
      </c>
      <c r="I461" t="str">
        <f>_xlfn.IFNA(VLOOKUP(Table1[[#This Row],[Tên đối tượng]],'DANH MỤC ĐỐI TƯỢNG'!A:J,10,0),"")</f>
        <v>10028801</v>
      </c>
    </row>
    <row r="462" spans="1:9" x14ac:dyDescent="0.3">
      <c r="A462">
        <v>458</v>
      </c>
      <c r="B462" t="s">
        <v>898</v>
      </c>
      <c r="C462" t="s">
        <v>899</v>
      </c>
      <c r="D462" t="str">
        <f t="shared" si="14"/>
        <v>458. V20014</v>
      </c>
      <c r="E462" s="5" t="str">
        <f t="shared" ca="1" si="15"/>
        <v>PCBL Limited</v>
      </c>
      <c r="F462" t="str">
        <f>IFERROR(VLOOKUP(Table1[[#This Row],[Tên đối tượng]],'DANH MỤC ĐỐI TƯỢNG'!A:E,5,0),"")</f>
        <v>31 Netaji Subhas Road, Post Box No.2229, Kolkata-700001, India</v>
      </c>
      <c r="G462">
        <f>_xlfn.IFNA(VLOOKUP(Table1[[#This Row],[Tên đối tượng]],'DANH MỤC ĐỐI TƯỢNG'!A:F,6,0),"")</f>
        <v>0</v>
      </c>
      <c r="H462" t="str">
        <f>_xlfn.IFNA(VLOOKUP(Table1[[#This Row],[Tên đối tượng]],'DANH MỤC ĐỐI TƯỢNG'!A:I,9,0),"")</f>
        <v>DBS Bank India Limited</v>
      </c>
      <c r="I462" t="str">
        <f>_xlfn.IFNA(VLOOKUP(Table1[[#This Row],[Tên đối tượng]],'DANH MỤC ĐỐI TƯỢNG'!A:J,10,0),"")</f>
        <v>828200112840</v>
      </c>
    </row>
    <row r="463" spans="1:9" x14ac:dyDescent="0.3">
      <c r="A463">
        <v>459</v>
      </c>
      <c r="B463" t="s">
        <v>900</v>
      </c>
      <c r="C463" t="s">
        <v>901</v>
      </c>
      <c r="D463" t="str">
        <f t="shared" si="14"/>
        <v>459. V20071</v>
      </c>
      <c r="E463" s="5" t="str">
        <f t="shared" ca="1" si="15"/>
        <v>PIPEBANK Co.,Ltd</v>
      </c>
      <c r="F463" t="str">
        <f>IFERROR(VLOOKUP(Table1[[#This Row],[Tên đối tượng]],'DANH MỤC ĐỐI TƯỢNG'!A:E,5,0),"")</f>
        <v>41, Yutongdanji 1-Ro, Gangseo-Gu, Busan, Korea (T-T-PLEX219-211)</v>
      </c>
      <c r="G463">
        <f>_xlfn.IFNA(VLOOKUP(Table1[[#This Row],[Tên đối tượng]],'DANH MỤC ĐỐI TƯỢNG'!A:F,6,0),"")</f>
        <v>0</v>
      </c>
      <c r="H463" t="str">
        <f>_xlfn.IFNA(VLOOKUP(Table1[[#This Row],[Tên đối tượng]],'DANH MỤC ĐỐI TƯỢNG'!A:I,9,0),"")</f>
        <v>Busanbank, Busan, Korea, Eobang Branch</v>
      </c>
      <c r="I463" t="str">
        <f>_xlfn.IFNA(VLOOKUP(Table1[[#This Row],[Tên đối tượng]],'DANH MỤC ĐỐI TƯỢNG'!A:J,10,0),"")</f>
        <v>154 2001 9580 07</v>
      </c>
    </row>
    <row r="464" spans="1:9" x14ac:dyDescent="0.3">
      <c r="A464">
        <v>460</v>
      </c>
      <c r="B464" t="s">
        <v>902</v>
      </c>
      <c r="C464" t="s">
        <v>903</v>
      </c>
      <c r="D464" t="str">
        <f t="shared" si="14"/>
        <v>460. V20073</v>
      </c>
      <c r="E464" s="5" t="str">
        <f t="shared" ca="1" si="15"/>
        <v>PT Indo Kordsa TBK</v>
      </c>
      <c r="F464" t="str">
        <f>IFERROR(VLOOKUP(Table1[[#This Row],[Tên đối tượng]],'DANH MỤC ĐỐI TƯỢNG'!A:E,5,0),"")</f>
        <v>JL. Pahlawan Desa Karang Asem Timur Citeureup, Bogor, Jawa Barat 16810 Indonesia</v>
      </c>
      <c r="G464">
        <f>_xlfn.IFNA(VLOOKUP(Table1[[#This Row],[Tên đối tượng]],'DANH MỤC ĐỐI TƯỢNG'!A:F,6,0),"")</f>
        <v>0</v>
      </c>
      <c r="H464" t="str">
        <f>_xlfn.IFNA(VLOOKUP(Table1[[#This Row],[Tên đối tượng]],'DANH MỤC ĐỐI TƯỢNG'!A:I,9,0),"")</f>
        <v>Standard Chartered Bank</v>
      </c>
      <c r="I464" t="str">
        <f>_xlfn.IFNA(VLOOKUP(Table1[[#This Row],[Tên đối tượng]],'DANH MỤC ĐỐI TƯỢNG'!A:J,10,0),"")</f>
        <v>30600.142105</v>
      </c>
    </row>
    <row r="465" spans="1:9" x14ac:dyDescent="0.3">
      <c r="A465">
        <v>461</v>
      </c>
      <c r="B465" t="s">
        <v>904</v>
      </c>
      <c r="C465" t="s">
        <v>905</v>
      </c>
      <c r="D465" t="str">
        <f t="shared" si="14"/>
        <v>461. 350200</v>
      </c>
      <c r="E465" s="5" t="str">
        <f t="shared" ca="1" si="15"/>
        <v>PT. Bridgestone Tire Indonesia</v>
      </c>
      <c r="F465" t="str">
        <f>IFERROR(VLOOKUP(Table1[[#This Row],[Tên đối tượng]],'DANH MỤC ĐỐI TƯỢNG'!A:E,5,0),"")</f>
        <v>Kawasan Industri Surya Cipta JL Utama Kav 8-13 Kutamekar Ciampel Kab, Karawang Jawa Barat 41363 Indonesia</v>
      </c>
      <c r="G465">
        <f>_xlfn.IFNA(VLOOKUP(Table1[[#This Row],[Tên đối tượng]],'DANH MỤC ĐỐI TƯỢNG'!A:F,6,0),"")</f>
        <v>0</v>
      </c>
      <c r="H465" t="str">
        <f>_xlfn.IFNA(VLOOKUP(Table1[[#This Row],[Tên đối tượng]],'DANH MỤC ĐỐI TƯỢNG'!A:I,9,0),"")</f>
        <v>Bank Mizuho Indonesia-Jakarta Branch</v>
      </c>
      <c r="I465" t="str">
        <f>_xlfn.IFNA(VLOOKUP(Table1[[#This Row],[Tên đối tượng]],'DANH MỤC ĐỐI TƯỢNG'!A:J,10,0),"")</f>
        <v>303-636-0201</v>
      </c>
    </row>
    <row r="466" spans="1:9" x14ac:dyDescent="0.3">
      <c r="A466">
        <v>462</v>
      </c>
      <c r="B466" t="s">
        <v>906</v>
      </c>
      <c r="C466" t="s">
        <v>907</v>
      </c>
      <c r="D466" t="str">
        <f t="shared" si="14"/>
        <v>462. V20076</v>
      </c>
      <c r="E466" s="5" t="str">
        <f t="shared" ca="1" si="15"/>
        <v>PT.Bekaert Indonesia</v>
      </c>
      <c r="F466" t="str">
        <f>IFERROR(VLOOKUP(Table1[[#This Row],[Tên đối tượng]],'DANH MỤC ĐỐI TƯỢNG'!A:E,5,0),"")</f>
        <v>JL.Surya Utama Kav I-14 Kota Industri Suryacipta, Karawang 41363-Indonesia</v>
      </c>
      <c r="G466">
        <f>_xlfn.IFNA(VLOOKUP(Table1[[#This Row],[Tên đối tượng]],'DANH MỤC ĐỐI TƯỢNG'!A:F,6,0),"")</f>
        <v>0</v>
      </c>
      <c r="H466" t="str">
        <f>_xlfn.IFNA(VLOOKUP(Table1[[#This Row],[Tên đối tượng]],'DANH MỤC ĐỐI TƯỢNG'!A:I,9,0),"")</f>
        <v>BNP Paribas -Singapore Branch</v>
      </c>
      <c r="I466" t="str">
        <f>_xlfn.IFNA(VLOOKUP(Table1[[#This Row],[Tên đối tượng]],'DANH MỤC ĐỐI TƯỢNG'!A:J,10,0),"")</f>
        <v>00050-044055-001-60</v>
      </c>
    </row>
    <row r="467" spans="1:9" x14ac:dyDescent="0.3">
      <c r="A467">
        <v>463</v>
      </c>
      <c r="B467" t="s">
        <v>908</v>
      </c>
      <c r="C467" t="s">
        <v>909</v>
      </c>
      <c r="D467" t="str">
        <f t="shared" si="14"/>
        <v>463. V20047</v>
      </c>
      <c r="E467" s="5" t="str">
        <f t="shared" ca="1" si="15"/>
        <v>Pyramid Corporation</v>
      </c>
      <c r="F467" t="str">
        <f>IFERROR(VLOOKUP(Table1[[#This Row],[Tên đối tượng]],'DANH MỤC ĐỐI TƯỢNG'!A:E,5,0),"")</f>
        <v>1178 Araki, Araki-machi, Kurume Fukuoka 830-0063, Japan</v>
      </c>
      <c r="G467">
        <f>_xlfn.IFNA(VLOOKUP(Table1[[#This Row],[Tên đối tượng]],'DANH MỤC ĐỐI TƯỢNG'!A:F,6,0),"")</f>
        <v>0</v>
      </c>
      <c r="H467" t="str">
        <f>_xlfn.IFNA(VLOOKUP(Table1[[#This Row],[Tên đối tượng]],'DANH MỤC ĐỐI TƯỢNG'!A:I,9,0),"")</f>
        <v>Mizuho Bank, Ltd. - Kyobashi Branch</v>
      </c>
      <c r="I467" t="str">
        <f>_xlfn.IFNA(VLOOKUP(Table1[[#This Row],[Tên đối tượng]],'DANH MỤC ĐỐI TƯỢNG'!A:J,10,0),"")</f>
        <v>9105244</v>
      </c>
    </row>
    <row r="468" spans="1:9" x14ac:dyDescent="0.3">
      <c r="A468">
        <v>464</v>
      </c>
      <c r="B468" t="s">
        <v>910</v>
      </c>
      <c r="C468" t="s">
        <v>911</v>
      </c>
      <c r="D468" t="str">
        <f t="shared" si="14"/>
        <v>464. V20137</v>
      </c>
      <c r="E468" s="5" t="str">
        <f t="shared" ca="1" si="15"/>
        <v>QINGDAO WENWUGANG TECHNOLOGY CO., LTD</v>
      </c>
      <c r="F468" t="str">
        <f>IFERROR(VLOOKUP(Table1[[#This Row],[Tên đối tượng]],'DANH MỤC ĐỐI TƯỢNG'!A:E,5,0),"")</f>
        <v>Gangdong East dock Wanggezhuang Town,Laoshan District,Qingdao,China</v>
      </c>
      <c r="G468">
        <f>_xlfn.IFNA(VLOOKUP(Table1[[#This Row],[Tên đối tượng]],'DANH MỤC ĐỐI TƯỢNG'!A:F,6,0),"")</f>
        <v>0</v>
      </c>
      <c r="H468" t="str">
        <f>_xlfn.IFNA(VLOOKUP(Table1[[#This Row],[Tên đối tượng]],'DANH MỤC ĐỐI TƯỢNG'!A:I,9,0),"")</f>
        <v>Qingdao Rural Commerical Bank Corporation</v>
      </c>
      <c r="I468" t="str">
        <f>_xlfn.IFNA(VLOOKUP(Table1[[#This Row],[Tên đối tượng]],'DANH MỤC ĐỐI TƯỢNG'!A:J,10,0),"")</f>
        <v>9021407810062228100026</v>
      </c>
    </row>
    <row r="469" spans="1:9" x14ac:dyDescent="0.3">
      <c r="A469">
        <v>465</v>
      </c>
      <c r="B469" t="s">
        <v>912</v>
      </c>
      <c r="C469" t="s">
        <v>913</v>
      </c>
      <c r="D469" t="str">
        <f t="shared" si="14"/>
        <v>465. V20105</v>
      </c>
      <c r="E469" s="5" t="str">
        <f t="shared" ca="1" si="15"/>
        <v>R K. Reclaim &amp; Rubber Products Pvt. Ltd</v>
      </c>
      <c r="F469" t="str">
        <f>IFERROR(VLOOKUP(Table1[[#This Row],[Tên đối tượng]],'DANH MỤC ĐỐI TƯỢNG'!A:E,5,0),"")</f>
        <v>104/48 to 104/52.Phase II.G.I.D.C.PalejBharuch</v>
      </c>
      <c r="G469">
        <f>_xlfn.IFNA(VLOOKUP(Table1[[#This Row],[Tên đối tượng]],'DANH MỤC ĐỐI TƯỢNG'!A:F,6,0),"")</f>
        <v>0</v>
      </c>
      <c r="H469" t="str">
        <f>_xlfn.IFNA(VLOOKUP(Table1[[#This Row],[Tên đối tượng]],'DANH MỤC ĐỐI TƯỢNG'!A:I,9,0),"")</f>
        <v>HDFC Bank Ltd.</v>
      </c>
      <c r="I469" t="str">
        <f>_xlfn.IFNA(VLOOKUP(Table1[[#This Row],[Tên đối tượng]],'DANH MỤC ĐỐI TƯỢNG'!A:J,10,0),"")</f>
        <v>14502790000029</v>
      </c>
    </row>
    <row r="470" spans="1:9" x14ac:dyDescent="0.3">
      <c r="A470">
        <v>466</v>
      </c>
      <c r="B470" t="s">
        <v>914</v>
      </c>
      <c r="C470" t="s">
        <v>915</v>
      </c>
      <c r="D470" t="str">
        <f t="shared" si="14"/>
        <v>466. V20134</v>
      </c>
      <c r="E470" s="5" t="str">
        <f t="shared" ca="1" si="15"/>
        <v>Rix Corporation</v>
      </c>
      <c r="F470" t="str">
        <f>IFERROR(VLOOKUP(Table1[[#This Row],[Tên đối tượng]],'DANH MỤC ĐỐI TƯỢNG'!A:E,5,0),"")</f>
        <v>1-15-15 Sanno, Hakata-ku, Fukuoka, Japan</v>
      </c>
      <c r="G470">
        <f>_xlfn.IFNA(VLOOKUP(Table1[[#This Row],[Tên đối tượng]],'DANH MỤC ĐỐI TƯỢNG'!A:F,6,0),"")</f>
        <v>0</v>
      </c>
      <c r="H470" t="str">
        <f>_xlfn.IFNA(VLOOKUP(Table1[[#This Row],[Tên đối tượng]],'DANH MỤC ĐỐI TƯỢNG'!A:I,9,0),"")</f>
        <v>The Bank of Tokyo-Mitsubishi UFJ, Ltd. / Fukuoka - Chuo Branch</v>
      </c>
      <c r="I470" t="str">
        <f>_xlfn.IFNA(VLOOKUP(Table1[[#This Row],[Tên đối tượng]],'DANH MỤC ĐỐI TƯỢNG'!A:J,10,0),"")</f>
        <v>110154</v>
      </c>
    </row>
    <row r="471" spans="1:9" x14ac:dyDescent="0.3">
      <c r="A471">
        <v>467</v>
      </c>
      <c r="B471" t="s">
        <v>916</v>
      </c>
      <c r="C471" t="s">
        <v>917</v>
      </c>
      <c r="D471" t="str">
        <f t="shared" si="14"/>
        <v>467. V20043</v>
      </c>
      <c r="E471" s="5" t="str">
        <f t="shared" ca="1" si="15"/>
        <v>Rix Technology (Thailand) Co.,Ltd.</v>
      </c>
      <c r="F471" t="str">
        <f>IFERROR(VLOOKUP(Table1[[#This Row],[Tên đối tượng]],'DANH MỤC ĐỐI TƯỢNG'!A:E,5,0),"")</f>
        <v>1588/5 Bangna-trad RD.,Bangna,Bangna,Bangkok 10260</v>
      </c>
      <c r="G471">
        <f>_xlfn.IFNA(VLOOKUP(Table1[[#This Row],[Tên đối tượng]],'DANH MỤC ĐỐI TƯỢNG'!A:F,6,0),"")</f>
        <v>0</v>
      </c>
      <c r="H471" t="str">
        <f>_xlfn.IFNA(VLOOKUP(Table1[[#This Row],[Tên đối tượng]],'DANH MỤC ĐỐI TƯỢNG'!A:I,9,0),"")</f>
        <v>Bank of Ayudhya Public Co., Ltd-Bangkok Sathorn Branch</v>
      </c>
      <c r="I471" t="str">
        <f>_xlfn.IFNA(VLOOKUP(Table1[[#This Row],[Tên đối tượng]],'DANH MỤC ĐỐI TƯỢNG'!A:J,10,0),"")</f>
        <v>2108100626</v>
      </c>
    </row>
    <row r="472" spans="1:9" x14ac:dyDescent="0.3">
      <c r="A472">
        <v>468</v>
      </c>
      <c r="B472" t="s">
        <v>918</v>
      </c>
      <c r="C472" t="s">
        <v>919</v>
      </c>
      <c r="D472" t="str">
        <f t="shared" si="14"/>
        <v>468. V20051</v>
      </c>
      <c r="E472" s="5" t="str">
        <f t="shared" ca="1" si="15"/>
        <v>Sanyo Company Limited</v>
      </c>
      <c r="F472" t="str">
        <f>IFERROR(VLOOKUP(Table1[[#This Row],[Tên đối tượng]],'DANH MỤC ĐỐI TƯỢNG'!A:E,5,0),"")</f>
        <v>4-23-4-903 Takanawa, Minato-Ku, Tokyo 108, Japan</v>
      </c>
      <c r="G472">
        <f>_xlfn.IFNA(VLOOKUP(Table1[[#This Row],[Tên đối tượng]],'DANH MỤC ĐỐI TƯỢNG'!A:F,6,0),"")</f>
        <v>0</v>
      </c>
      <c r="H472" t="str">
        <f>_xlfn.IFNA(VLOOKUP(Table1[[#This Row],[Tên đối tượng]],'DANH MỤC ĐỐI TƯỢNG'!A:I,9,0),"")</f>
        <v>Sumitomo Mitsui Banking Corporation, Mita-Dori Branch</v>
      </c>
      <c r="I472" t="str">
        <f>_xlfn.IFNA(VLOOKUP(Table1[[#This Row],[Tên đối tượng]],'DANH MỤC ĐỐI TƯỢNG'!A:J,10,0),"")</f>
        <v>7431835</v>
      </c>
    </row>
    <row r="473" spans="1:9" x14ac:dyDescent="0.3">
      <c r="A473">
        <v>469</v>
      </c>
      <c r="B473" t="s">
        <v>920</v>
      </c>
      <c r="C473" t="s">
        <v>921</v>
      </c>
      <c r="D473" t="str">
        <f t="shared" si="14"/>
        <v>469. V20079</v>
      </c>
      <c r="E473" s="5" t="str">
        <f t="shared" ca="1" si="15"/>
        <v>Sanyo Trading Co., LTD</v>
      </c>
      <c r="F473" t="str">
        <f>IFERROR(VLOOKUP(Table1[[#This Row],[Tên đối tượng]],'DANH MỤC ĐỐI TƯỢNG'!A:E,5,0),"")</f>
        <v>2-11 Kanda Nishiki-Cho, Chiyoda-Ku, Tokyo, 101-0054 Japan</v>
      </c>
      <c r="G473">
        <f>_xlfn.IFNA(VLOOKUP(Table1[[#This Row],[Tên đối tượng]],'DANH MỤC ĐỐI TƯỢNG'!A:F,6,0),"")</f>
        <v>0</v>
      </c>
      <c r="H473" t="str">
        <f>_xlfn.IFNA(VLOOKUP(Table1[[#This Row],[Tên đối tượng]],'DANH MỤC ĐỐI TƯỢNG'!A:I,9,0),"")</f>
        <v>The bank of Tokyo-Mitsubishi UFJ, Ltd-Head Office</v>
      </c>
      <c r="I473" t="str">
        <f>_xlfn.IFNA(VLOOKUP(Table1[[#This Row],[Tên đối tượng]],'DANH MỤC ĐỐI TƯỢNG'!A:J,10,0),"")</f>
        <v>0735603</v>
      </c>
    </row>
    <row r="474" spans="1:9" x14ac:dyDescent="0.3">
      <c r="A474">
        <v>470</v>
      </c>
      <c r="B474" t="s">
        <v>922</v>
      </c>
      <c r="C474" t="s">
        <v>923</v>
      </c>
      <c r="D474" t="str">
        <f t="shared" si="14"/>
        <v>470. V20064</v>
      </c>
      <c r="E474" s="5" t="str">
        <f t="shared" ca="1" si="15"/>
        <v>Taekyung SBC Co.ltd</v>
      </c>
      <c r="F474" t="str">
        <f>IFERROR(VLOOKUP(Table1[[#This Row],[Tên đối tượng]],'DANH MỤC ĐỐI TƯỢNG'!A:E,5,0),"")</f>
        <v>258, Sandandongseo-ro, Gunsan-Si, jeollabuk-Do, Korea</v>
      </c>
      <c r="G474">
        <f>_xlfn.IFNA(VLOOKUP(Table1[[#This Row],[Tên đối tượng]],'DANH MỤC ĐỐI TƯỢNG'!A:F,6,0),"")</f>
        <v>0</v>
      </c>
      <c r="H474" t="str">
        <f>_xlfn.IFNA(VLOOKUP(Table1[[#This Row],[Tên đối tượng]],'DANH MỤC ĐỐI TƯỢNG'!A:I,9,0),"")</f>
        <v>Woori Bank, SME Fin.cen.Banwolgongdan Branch</v>
      </c>
      <c r="I474" t="str">
        <f>_xlfn.IFNA(VLOOKUP(Table1[[#This Row],[Tên đối tượng]],'DANH MỤC ĐỐI TƯỢNG'!A:J,10,0),"")</f>
        <v>180-003-985470</v>
      </c>
    </row>
    <row r="475" spans="1:9" x14ac:dyDescent="0.3">
      <c r="A475">
        <v>471</v>
      </c>
      <c r="B475" t="s">
        <v>924</v>
      </c>
      <c r="C475" t="s">
        <v>925</v>
      </c>
      <c r="D475" t="str">
        <f t="shared" si="14"/>
        <v>471. V20101</v>
      </c>
      <c r="E475" s="5" t="str">
        <f t="shared" ca="1" si="15"/>
        <v>Shandong Sunsine Chemical Co.,Ltd</v>
      </c>
      <c r="F475" t="str">
        <f>IFERROR(VLOOKUP(Table1[[#This Row],[Tên đối tượng]],'DANH MỤC ĐỐI TƯỢNG'!A:E,5,0),"")</f>
        <v>Economy Technical Development Area, Shanxian City, Shandong Province, China 274300</v>
      </c>
      <c r="G475">
        <f>_xlfn.IFNA(VLOOKUP(Table1[[#This Row],[Tên đối tượng]],'DANH MỤC ĐỐI TƯỢNG'!A:F,6,0),"")</f>
        <v>0</v>
      </c>
      <c r="H475" t="str">
        <f>_xlfn.IFNA(VLOOKUP(Table1[[#This Row],[Tên đối tượng]],'DANH MỤC ĐỐI TƯỢNG'!A:I,9,0),"")</f>
        <v>Agricultural Bank Of China - Heze Branch</v>
      </c>
      <c r="I475" t="str">
        <f>_xlfn.IFNA(VLOOKUP(Table1[[#This Row],[Tên đối tượng]],'DANH MỤC ĐỐI TƯỢNG'!A:J,10,0),"")</f>
        <v>15919114040000027</v>
      </c>
    </row>
    <row r="476" spans="1:9" x14ac:dyDescent="0.3">
      <c r="A476">
        <v>473</v>
      </c>
      <c r="B476" t="s">
        <v>926</v>
      </c>
      <c r="C476" t="s">
        <v>927</v>
      </c>
      <c r="D476" t="str">
        <f t="shared" si="14"/>
        <v>473. V20030</v>
      </c>
      <c r="E476" s="5" t="str">
        <f t="shared" ca="1" si="15"/>
        <v>Shandong Yanggu Huatai Chemical Co.,Ltd</v>
      </c>
      <c r="F476" t="str">
        <f>IFERROR(VLOOKUP(Table1[[#This Row],[Tên đối tượng]],'DANH MỤC ĐỐI TƯỢNG'!A:E,5,0),"")</f>
        <v>No.399 Qinghexi Road, Yanggu County, Shandong province, China</v>
      </c>
      <c r="G476">
        <f>_xlfn.IFNA(VLOOKUP(Table1[[#This Row],[Tên đối tượng]],'DANH MỤC ĐỐI TƯỢNG'!A:F,6,0),"")</f>
        <v>0</v>
      </c>
      <c r="H476" t="str">
        <f>_xlfn.IFNA(VLOOKUP(Table1[[#This Row],[Tên đối tượng]],'DANH MỤC ĐỐI TƯỢNG'!A:I,9,0),"")</f>
        <v>Bank Of China-Shandong Branch</v>
      </c>
      <c r="I476" t="str">
        <f>_xlfn.IFNA(VLOOKUP(Table1[[#This Row],[Tên đối tượng]],'DANH MỤC ĐỐI TƯỢNG'!A:J,10,0),"")</f>
        <v>211701924074</v>
      </c>
    </row>
    <row r="477" spans="1:9" x14ac:dyDescent="0.3">
      <c r="A477">
        <v>474</v>
      </c>
      <c r="B477" t="s">
        <v>928</v>
      </c>
      <c r="C477" t="s">
        <v>929</v>
      </c>
      <c r="D477" t="str">
        <f t="shared" si="14"/>
        <v>474. V20003</v>
      </c>
      <c r="E477" s="5" t="str">
        <f t="shared" ca="1" si="15"/>
        <v>Shimadzu (Asia Pacific) Pte Ltd</v>
      </c>
      <c r="F477" t="str">
        <f>IFERROR(VLOOKUP(Table1[[#This Row],[Tên đối tượng]],'DANH MỤC ĐỐI TƯỢNG'!A:E,5,0),"")</f>
        <v>79 Science Park Drive #02-01/08, Cintech IV, Singapore Science Park 1, Singapore 118264</v>
      </c>
      <c r="G477">
        <f>_xlfn.IFNA(VLOOKUP(Table1[[#This Row],[Tên đối tượng]],'DANH MỤC ĐỐI TƯỢNG'!A:F,6,0),"")</f>
        <v>0</v>
      </c>
      <c r="H477" t="str">
        <f>_xlfn.IFNA(VLOOKUP(Table1[[#This Row],[Tên đối tượng]],'DANH MỤC ĐỐI TƯỢNG'!A:I,9,0),"")</f>
        <v>The Bank of Tokyo - Mitsubishi, Ltd</v>
      </c>
      <c r="I477" t="str">
        <f>_xlfn.IFNA(VLOOKUP(Table1[[#This Row],[Tên đối tượng]],'DANH MỤC ĐỐI TƯỢNG'!A:J,10,0),"")</f>
        <v>7126-001-059572</v>
      </c>
    </row>
    <row r="478" spans="1:9" x14ac:dyDescent="0.3">
      <c r="A478">
        <v>475</v>
      </c>
      <c r="B478" t="s">
        <v>930</v>
      </c>
      <c r="C478" t="s">
        <v>931</v>
      </c>
      <c r="D478" t="str">
        <f t="shared" si="14"/>
        <v>475. V20060</v>
      </c>
      <c r="E478" s="5" t="str">
        <f t="shared" ca="1" si="15"/>
        <v>Shinsho Corporation</v>
      </c>
      <c r="F478" t="str">
        <f>IFERROR(VLOOKUP(Table1[[#This Row],[Tên đối tượng]],'DANH MỤC ĐỐI TƯỢNG'!A:E,5,0),"")</f>
        <v>2-5, Nihonbashi 1-Chome, Chuo-ku, 103-8261 Tokyo, Japan</v>
      </c>
      <c r="G478">
        <f>_xlfn.IFNA(VLOOKUP(Table1[[#This Row],[Tên đối tượng]],'DANH MỤC ĐỐI TƯỢNG'!A:F,6,0),"")</f>
        <v>0</v>
      </c>
      <c r="H478" t="str">
        <f>_xlfn.IFNA(VLOOKUP(Table1[[#This Row],[Tên đối tượng]],'DANH MỤC ĐỐI TƯỢNG'!A:I,9,0),"")</f>
        <v>MUFG BANK, LTD - Tokyo Main Office</v>
      </c>
      <c r="I478" t="str">
        <f>_xlfn.IFNA(VLOOKUP(Table1[[#This Row],[Tên đối tượng]],'DANH MỤC ĐỐI TƯỢNG'!A:J,10,0),"")</f>
        <v>20125(USD); 374498(JPY)</v>
      </c>
    </row>
    <row r="479" spans="1:9" x14ac:dyDescent="0.3">
      <c r="A479">
        <v>476</v>
      </c>
      <c r="B479" t="s">
        <v>932</v>
      </c>
      <c r="C479" t="s">
        <v>933</v>
      </c>
      <c r="D479" t="str">
        <f t="shared" si="14"/>
        <v>476. V20037</v>
      </c>
      <c r="E479" s="5" t="str">
        <f t="shared" ca="1" si="15"/>
        <v>SI Group-Shanghai Co.,Ltd</v>
      </c>
      <c r="F479" t="str">
        <f>IFERROR(VLOOKUP(Table1[[#This Row],[Tên đối tượng]],'DANH MỤC ĐỐI TƯỢNG'!A:E,5,0),"")</f>
        <v>268 Jiangtian Road (E), Songjiang Industrial Zone, Shanghai 201600, China</v>
      </c>
      <c r="G479">
        <f>_xlfn.IFNA(VLOOKUP(Table1[[#This Row],[Tên đối tượng]],'DANH MỤC ĐỐI TƯỢNG'!A:F,6,0),"")</f>
        <v>0</v>
      </c>
      <c r="H479" t="str">
        <f>_xlfn.IFNA(VLOOKUP(Table1[[#This Row],[Tên đối tượng]],'DANH MỤC ĐỐI TƯỢNG'!A:I,9,0),"")</f>
        <v>JPMorgan Chase Bank (China) Co., Ltd, Shanghai Branch</v>
      </c>
      <c r="I479" t="str">
        <f>_xlfn.IFNA(VLOOKUP(Table1[[#This Row],[Tên đối tượng]],'DANH MỤC ĐỐI TƯỢNG'!A:J,10,0),"")</f>
        <v>2700015940</v>
      </c>
    </row>
    <row r="480" spans="1:9" x14ac:dyDescent="0.3">
      <c r="A480">
        <v>477</v>
      </c>
      <c r="B480" t="s">
        <v>934</v>
      </c>
      <c r="C480" t="s">
        <v>935</v>
      </c>
      <c r="D480" t="str">
        <f t="shared" si="14"/>
        <v>477. V20017</v>
      </c>
      <c r="E480" s="5" t="str">
        <f t="shared" ca="1" si="15"/>
        <v>Siam Okamura International Co.,Ltd</v>
      </c>
      <c r="F480" t="str">
        <f>IFERROR(VLOOKUP(Table1[[#This Row],[Tên đối tượng]],'DANH MỤC ĐỐI TƯỢNG'!A:E,5,0),"")</f>
        <v>3199 Maleenont Tower 19th Floor, Rama 4 road, Klongton, Klongtoey, Bangkok 10110 Thailand</v>
      </c>
      <c r="G480">
        <f>_xlfn.IFNA(VLOOKUP(Table1[[#This Row],[Tên đối tượng]],'DANH MỤC ĐỐI TƯỢNG'!A:F,6,0),"")</f>
        <v>0</v>
      </c>
      <c r="H480" t="str">
        <f>_xlfn.IFNA(VLOOKUP(Table1[[#This Row],[Tên đối tượng]],'DANH MỤC ĐỐI TƯỢNG'!A:I,9,0),"")</f>
        <v>Sumitomo Mitsui Banking Corporation-Bangkok Branch</v>
      </c>
      <c r="I480" t="str">
        <f>_xlfn.IFNA(VLOOKUP(Table1[[#This Row],[Tên đối tượng]],'DANH MỤC ĐỐI TƯỢNG'!A:J,10,0),"")</f>
        <v>20-1718102-1</v>
      </c>
    </row>
    <row r="481" spans="1:9" x14ac:dyDescent="0.3">
      <c r="A481">
        <v>478</v>
      </c>
      <c r="B481" t="s">
        <v>936</v>
      </c>
      <c r="C481" t="s">
        <v>5003</v>
      </c>
      <c r="D481" t="str">
        <f t="shared" si="14"/>
        <v>478. V10070</v>
      </c>
      <c r="E481" s="5" t="str">
        <f t="shared" ca="1" si="15"/>
        <v>Công ty TNHH Siemens</v>
      </c>
      <c r="F481" t="str">
        <f>IFERROR(VLOOKUP(Table1[[#This Row],[Tên đối tượng]],'DANH MỤC ĐỐI TƯỢNG'!A:E,5,0),"")</f>
        <v>05B Tôn Đức Thắng, Phường Bến Nghé, Quận 1, TP. HCM</v>
      </c>
      <c r="G481" t="str">
        <f>_xlfn.IFNA(VLOOKUP(Table1[[#This Row],[Tên đối tượng]],'DANH MỤC ĐỐI TƯỢNG'!A:F,6,0),"")</f>
        <v>0302727641</v>
      </c>
      <c r="H481" t="str">
        <f>_xlfn.IFNA(VLOOKUP(Table1[[#This Row],[Tên đối tượng]],'DANH MỤC ĐỐI TƯỢNG'!A:I,9,0),"")</f>
        <v>Deutsche Bank AG- Ho Chi Minh Branch</v>
      </c>
      <c r="I481" t="str">
        <f>_xlfn.IFNA(VLOOKUP(Table1[[#This Row],[Tên đối tượng]],'DANH MỤC ĐỐI TƯỢNG'!A:J,10,0),"")</f>
        <v>1008333-05-0</v>
      </c>
    </row>
    <row r="482" spans="1:9" x14ac:dyDescent="0.3">
      <c r="A482">
        <v>479</v>
      </c>
      <c r="B482" t="s">
        <v>937</v>
      </c>
      <c r="C482" t="s">
        <v>938</v>
      </c>
      <c r="D482" t="str">
        <f t="shared" si="14"/>
        <v>479. V20062</v>
      </c>
      <c r="E482" s="5" t="str">
        <f t="shared" ca="1" si="15"/>
        <v>SPM Instrument Japan KK</v>
      </c>
      <c r="F482" t="str">
        <f>IFERROR(VLOOKUP(Table1[[#This Row],[Tên đối tượng]],'DANH MỤC ĐỐI TƯỢNG'!A:E,5,0),"")</f>
        <v>Nagahori Bldg., 1-17-21, Minamisenba, Chuo-ku, Osaka 542-0081, Japan</v>
      </c>
      <c r="G482">
        <f>_xlfn.IFNA(VLOOKUP(Table1[[#This Row],[Tên đối tượng]],'DANH MỤC ĐỐI TƯỢNG'!A:F,6,0),"")</f>
        <v>0</v>
      </c>
      <c r="H482" t="str">
        <f>_xlfn.IFNA(VLOOKUP(Table1[[#This Row],[Tên đối tượng]],'DANH MỤC ĐỐI TƯỢNG'!A:I,9,0),"")</f>
        <v>Mizuho Bank, LTD., - Minamisenba Branch</v>
      </c>
      <c r="I482" t="str">
        <f>_xlfn.IFNA(VLOOKUP(Table1[[#This Row],[Tên đối tượng]],'DANH MỤC ĐỐI TƯỢNG'!A:J,10,0),"")</f>
        <v>0136782</v>
      </c>
    </row>
    <row r="483" spans="1:9" x14ac:dyDescent="0.3">
      <c r="A483">
        <v>480</v>
      </c>
      <c r="B483" t="s">
        <v>939</v>
      </c>
      <c r="C483" t="s">
        <v>940</v>
      </c>
      <c r="D483" t="str">
        <f t="shared" si="14"/>
        <v>480. V20094</v>
      </c>
      <c r="E483" s="5" t="str">
        <f t="shared" ca="1" si="15"/>
        <v>Sun-wa Technos (HK) Co.,Ltd</v>
      </c>
      <c r="F483" t="str">
        <f>IFERROR(VLOOKUP(Table1[[#This Row],[Tên đối tượng]],'DANH MỤC ĐỐI TƯỢNG'!A:E,5,0),"")</f>
        <v>Unit 1202-3, 12/F, Metropolis Tower, 10 Metropolis Drive, Hunghom, KLN, Hong Kong</v>
      </c>
      <c r="G483">
        <f>_xlfn.IFNA(VLOOKUP(Table1[[#This Row],[Tên đối tượng]],'DANH MỤC ĐỐI TƯỢNG'!A:F,6,0),"")</f>
        <v>0</v>
      </c>
      <c r="H483" t="str">
        <f>_xlfn.IFNA(VLOOKUP(Table1[[#This Row],[Tên đối tượng]],'DANH MỤC ĐỐI TƯỢNG'!A:I,9,0),"")</f>
        <v>The Bank of Tokyo-Mitsubishi UFJ,LTD - Hong Kong Branch</v>
      </c>
      <c r="I483" t="str">
        <f>_xlfn.IFNA(VLOOKUP(Table1[[#This Row],[Tên đối tượng]],'DANH MỤC ĐỐI TƯỢNG'!A:J,10,0),"")</f>
        <v>80806016304</v>
      </c>
    </row>
    <row r="484" spans="1:9" x14ac:dyDescent="0.3">
      <c r="A484">
        <v>481</v>
      </c>
      <c r="B484" t="s">
        <v>941</v>
      </c>
      <c r="C484" t="s">
        <v>942</v>
      </c>
      <c r="D484" t="str">
        <f t="shared" si="14"/>
        <v>481. V20022</v>
      </c>
      <c r="E484" s="5" t="str">
        <f t="shared" ca="1" si="15"/>
        <v>Sun-Wa Technos Asia (Thailand) Co.,Ltd</v>
      </c>
      <c r="F484" t="str">
        <f>IFERROR(VLOOKUP(Table1[[#This Row],[Tên đối tượng]],'DANH MỤC ĐỐI TƯỢNG'!A:E,5,0),"")</f>
        <v>889 Thai CC Tower, 31st Floor, Room no.319, South Sathorn, Bangkok 10120 Thailand</v>
      </c>
      <c r="G484">
        <f>_xlfn.IFNA(VLOOKUP(Table1[[#This Row],[Tên đối tượng]],'DANH MỤC ĐỐI TƯỢNG'!A:F,6,0),"")</f>
        <v>0</v>
      </c>
      <c r="H484" t="str">
        <f>_xlfn.IFNA(VLOOKUP(Table1[[#This Row],[Tên đối tượng]],'DANH MỤC ĐỐI TƯỢNG'!A:I,9,0),"")</f>
        <v>The Bank of Tokyo-Mitsubishi UFJ, Ltd - Bangkok branch</v>
      </c>
      <c r="I484" t="str">
        <f>_xlfn.IFNA(VLOOKUP(Table1[[#This Row],[Tên đối tượng]],'DANH MỤC ĐỐI TƯỢNG'!A:J,10,0),"")</f>
        <v>2100826022</v>
      </c>
    </row>
    <row r="485" spans="1:9" x14ac:dyDescent="0.3">
      <c r="A485">
        <v>482</v>
      </c>
      <c r="B485" t="s">
        <v>943</v>
      </c>
      <c r="C485" t="s">
        <v>944</v>
      </c>
      <c r="D485" t="str">
        <f t="shared" si="14"/>
        <v>482. V20041</v>
      </c>
      <c r="E485" s="5" t="str">
        <f t="shared" ca="1" si="15"/>
        <v>Taekwang Fine Chemical Co.,Ltd</v>
      </c>
      <c r="F485" t="str">
        <f>IFERROR(VLOOKUP(Table1[[#This Row],[Tên đối tượng]],'DANH MỤC ĐỐI TƯỢNG'!A:E,5,0),"")</f>
        <v>82 Gyeongje-ro, Siheung-si, Gyeonggi-do,15096, Korea (Jeongwang-dong)</v>
      </c>
      <c r="G485">
        <f>_xlfn.IFNA(VLOOKUP(Table1[[#This Row],[Tên đối tượng]],'DANH MỤC ĐỐI TƯỢNG'!A:F,6,0),"")</f>
        <v>0</v>
      </c>
      <c r="H485" t="str">
        <f>_xlfn.IFNA(VLOOKUP(Table1[[#This Row],[Tên đối tượng]],'DANH MỤC ĐỐI TƯỢNG'!A:I,9,0),"")</f>
        <v>Keb Hana Bank, Sihwa corporate banking center Branch(KOEXKRSE)</v>
      </c>
      <c r="I485" t="str">
        <f>_xlfn.IFNA(VLOOKUP(Table1[[#This Row],[Tên đối tượng]],'DANH MỤC ĐỐI TƯỢNG'!A:J,10,0),"")</f>
        <v>38689000007538</v>
      </c>
    </row>
    <row r="486" spans="1:9" x14ac:dyDescent="0.3">
      <c r="A486">
        <v>483</v>
      </c>
      <c r="B486" t="s">
        <v>945</v>
      </c>
      <c r="C486" t="s">
        <v>946</v>
      </c>
      <c r="D486" t="str">
        <f t="shared" si="14"/>
        <v>483. V10170</v>
      </c>
      <c r="E486" s="5" t="str">
        <f t="shared" ca="1" si="15"/>
        <v>Takasago Vietnam Co.,Ltd</v>
      </c>
      <c r="F486" t="str">
        <f>IFERROR(VLOOKUP(Table1[[#This Row],[Tên đối tượng]],'DANH MỤC ĐỐI TƯỢNG'!A:E,5,0),"")</f>
        <v>Khu 3, Dịch vọng, Cầu Giấy, Hà Nội</v>
      </c>
      <c r="G486">
        <f>_xlfn.IFNA(VLOOKUP(Table1[[#This Row],[Tên đối tượng]],'DANH MỤC ĐỐI TƯỢNG'!A:F,6,0),"")</f>
        <v>0</v>
      </c>
      <c r="H486">
        <f>_xlfn.IFNA(VLOOKUP(Table1[[#This Row],[Tên đối tượng]],'DANH MỤC ĐỐI TƯỢNG'!A:I,9,0),"")</f>
        <v>0</v>
      </c>
      <c r="I486">
        <f>_xlfn.IFNA(VLOOKUP(Table1[[#This Row],[Tên đối tượng]],'DANH MỤC ĐỐI TƯỢNG'!A:J,10,0),"")</f>
        <v>0</v>
      </c>
    </row>
    <row r="487" spans="1:9" x14ac:dyDescent="0.3">
      <c r="A487">
        <v>484</v>
      </c>
      <c r="B487" t="s">
        <v>947</v>
      </c>
      <c r="C487" t="s">
        <v>948</v>
      </c>
      <c r="D487" t="str">
        <f t="shared" si="14"/>
        <v>484. V20050</v>
      </c>
      <c r="E487" s="5" t="str">
        <f t="shared" ca="1" si="15"/>
        <v>Tanaka Ai Co.,Ltd</v>
      </c>
      <c r="F487" t="str">
        <f>IFERROR(VLOOKUP(Table1[[#This Row],[Tên đối tượng]],'DANH MỤC ĐỐI TƯỢNG'!A:E,5,0),"")</f>
        <v>Toranomon 2- Chome Tower, 21F, 2-3-17, Toranomon, Minato-ku, Tokyo 105-0001, Japan</v>
      </c>
      <c r="G487">
        <f>_xlfn.IFNA(VLOOKUP(Table1[[#This Row],[Tên đối tượng]],'DANH MỤC ĐỐI TƯỢNG'!A:F,6,0),"")</f>
        <v>0</v>
      </c>
      <c r="H487" t="str">
        <f>_xlfn.IFNA(VLOOKUP(Table1[[#This Row],[Tên đối tượng]],'DANH MỤC ĐỐI TƯỢNG'!A:I,9,0),"")</f>
        <v>Sumitomo Mitsui Banking Corporation, Hibiya Branch</v>
      </c>
      <c r="I487" t="str">
        <f>_xlfn.IFNA(VLOOKUP(Table1[[#This Row],[Tên đối tượng]],'DANH MỤC ĐỐI TƯỢNG'!A:J,10,0),"")</f>
        <v>3013843</v>
      </c>
    </row>
    <row r="488" spans="1:9" x14ac:dyDescent="0.3">
      <c r="A488">
        <v>485</v>
      </c>
      <c r="B488" t="s">
        <v>949</v>
      </c>
      <c r="C488" t="s">
        <v>950</v>
      </c>
      <c r="D488" t="str">
        <f t="shared" si="14"/>
        <v>485. V20090</v>
      </c>
      <c r="E488" s="5" t="str">
        <f t="shared" ca="1" si="15"/>
        <v>TEREX Singapore PTE LTD.</v>
      </c>
      <c r="F488" t="str">
        <f>IFERROR(VLOOKUP(Table1[[#This Row],[Tên đối tượng]],'DANH MỤC ĐỐI TƯỢNG'!A:E,5,0),"")</f>
        <v>23 Neythal Road BLK P #02-01 Singapore 628588</v>
      </c>
      <c r="G488">
        <f>_xlfn.IFNA(VLOOKUP(Table1[[#This Row],[Tên đối tượng]],'DANH MỤC ĐỐI TƯỢNG'!A:F,6,0),"")</f>
        <v>0</v>
      </c>
      <c r="H488">
        <f>_xlfn.IFNA(VLOOKUP(Table1[[#This Row],[Tên đối tượng]],'DANH MỤC ĐỐI TƯỢNG'!A:I,9,0),"")</f>
        <v>0</v>
      </c>
      <c r="I488">
        <f>_xlfn.IFNA(VLOOKUP(Table1[[#This Row],[Tên đối tượng]],'DANH MỤC ĐỐI TƯỢNG'!A:J,10,0),"")</f>
        <v>0</v>
      </c>
    </row>
    <row r="489" spans="1:9" x14ac:dyDescent="0.3">
      <c r="A489">
        <v>486</v>
      </c>
      <c r="B489" t="s">
        <v>951</v>
      </c>
      <c r="C489" t="s">
        <v>952</v>
      </c>
      <c r="D489" t="str">
        <f t="shared" si="14"/>
        <v>486. V20008</v>
      </c>
      <c r="E489" s="5" t="str">
        <f t="shared" ca="1" si="15"/>
        <v>Textilwerke Todtnau Bernauer GmbH &amp; Co. KG</v>
      </c>
      <c r="F489" t="str">
        <f>IFERROR(VLOOKUP(Table1[[#This Row],[Tên đối tượng]],'DANH MỤC ĐỐI TƯỢNG'!A:E,5,0),"")</f>
        <v>Meinrad Thoma Str. 14, 79674 Todtnau , Germany</v>
      </c>
      <c r="G489">
        <f>_xlfn.IFNA(VLOOKUP(Table1[[#This Row],[Tên đối tượng]],'DANH MỤC ĐỐI TƯỢNG'!A:F,6,0),"")</f>
        <v>0</v>
      </c>
      <c r="H489" t="str">
        <f>_xlfn.IFNA(VLOOKUP(Table1[[#This Row],[Tên đối tượng]],'DANH MỤC ĐỐI TƯỢNG'!A:I,9,0),"")</f>
        <v>POSTBANK AG</v>
      </c>
      <c r="I489" t="str">
        <f>_xlfn.IFNA(VLOOKUP(Table1[[#This Row],[Tên đối tượng]],'DANH MỤC ĐỐI TƯỢNG'!A:J,10,0),"")</f>
        <v>30410752</v>
      </c>
    </row>
    <row r="490" spans="1:9" x14ac:dyDescent="0.3">
      <c r="A490">
        <v>487</v>
      </c>
      <c r="B490" t="s">
        <v>953</v>
      </c>
      <c r="C490" t="s">
        <v>954</v>
      </c>
      <c r="D490" t="str">
        <f t="shared" si="14"/>
        <v>487. 350100</v>
      </c>
      <c r="E490" s="5" t="str">
        <f t="shared" ca="1" si="15"/>
        <v>Thai Bridgestone Co.,Ltd</v>
      </c>
      <c r="F490" t="str">
        <f>IFERROR(VLOOKUP(Table1[[#This Row],[Tên đối tượng]],'DANH MỤC ĐỐI TƯỢNG'!A:E,5,0),"")</f>
        <v>14/3 Phaholyothin Rd.KM.33,Klong Nueng, Klong Luang Pathumthani 12120, Thailand.</v>
      </c>
      <c r="G490">
        <f>_xlfn.IFNA(VLOOKUP(Table1[[#This Row],[Tên đối tượng]],'DANH MỤC ĐỐI TƯỢNG'!A:F,6,0),"")</f>
        <v>0</v>
      </c>
      <c r="H490" t="str">
        <f>_xlfn.IFNA(VLOOKUP(Table1[[#This Row],[Tên đối tượng]],'DANH MỤC ĐỐI TƯỢNG'!A:I,9,0),"")</f>
        <v>Bank of Ayudhya Public Company Limited - Bangkok Sathorn Branch</v>
      </c>
      <c r="I490" t="str">
        <f>_xlfn.IFNA(VLOOKUP(Table1[[#This Row],[Tên đối tượng]],'DANH MỤC ĐỐI TƯỢNG'!A:J,10,0),"")</f>
        <v>2100802689</v>
      </c>
    </row>
    <row r="491" spans="1:9" x14ac:dyDescent="0.3">
      <c r="A491">
        <v>488</v>
      </c>
      <c r="B491" t="s">
        <v>955</v>
      </c>
      <c r="C491" t="s">
        <v>956</v>
      </c>
      <c r="D491" t="str">
        <f t="shared" si="14"/>
        <v>488. V20112</v>
      </c>
      <c r="E491" s="5" t="str">
        <f t="shared" ca="1" si="15"/>
        <v>Birla Carbon (Thailand) Public Co.,Ltd</v>
      </c>
      <c r="F491" t="str">
        <f>IFERROR(VLOOKUP(Table1[[#This Row],[Tên đối tượng]],'DANH MỤC ĐỐI TƯỢNG'!A:E,5,0),"")</f>
        <v>Mahatun plaza,12th Floor 888/122,128 Ploenchit road Lumpini Patumwan,BANGKOK 10330, THAILAND(office)</v>
      </c>
      <c r="G491">
        <f>_xlfn.IFNA(VLOOKUP(Table1[[#This Row],[Tên đối tượng]],'DANH MỤC ĐỐI TƯỢNG'!A:F,6,0),"")</f>
        <v>0</v>
      </c>
      <c r="H491" t="str">
        <f>_xlfn.IFNA(VLOOKUP(Table1[[#This Row],[Tên đối tượng]],'DANH MỤC ĐỐI TƯỢNG'!A:I,9,0),"")</f>
        <v>Standard Chartered Bank (Thai) Public Company Limited - Head Office</v>
      </c>
      <c r="I491" t="str">
        <f>_xlfn.IFNA(VLOOKUP(Table1[[#This Row],[Tên đối tượng]],'DANH MỤC ĐỐI TƯỢNG'!A:J,10,0),"")</f>
        <v>5118504021</v>
      </c>
    </row>
    <row r="492" spans="1:9" x14ac:dyDescent="0.3">
      <c r="A492">
        <v>489</v>
      </c>
      <c r="B492" t="s">
        <v>957</v>
      </c>
      <c r="C492" t="s">
        <v>958</v>
      </c>
      <c r="D492" t="str">
        <f t="shared" si="14"/>
        <v>489. V20089</v>
      </c>
      <c r="E492" s="5" t="str">
        <f t="shared" ca="1" si="15"/>
        <v>Thai Molten Bag and Film Ltd.,Part</v>
      </c>
      <c r="F492" t="str">
        <f>IFERROR(VLOOKUP(Table1[[#This Row],[Tên đối tượng]],'DANH MỤC ĐỐI TƯỢNG'!A:E,5,0),"")</f>
        <v>294/65 RK Office Park, Romklao Rd., Ladkrabang, Bangkok, Thailand, 10520</v>
      </c>
      <c r="G492">
        <f>_xlfn.IFNA(VLOOKUP(Table1[[#This Row],[Tên đối tượng]],'DANH MỤC ĐỐI TƯỢNG'!A:F,6,0),"")</f>
        <v>0</v>
      </c>
      <c r="H492" t="str">
        <f>_xlfn.IFNA(VLOOKUP(Table1[[#This Row],[Tên đối tượng]],'DANH MỤC ĐỐI TƯỢNG'!A:I,9,0),"")</f>
        <v>Krung Thai Bank Public Company Limited (KTB)</v>
      </c>
      <c r="I492" t="str">
        <f>_xlfn.IFNA(VLOOKUP(Table1[[#This Row],[Tên đối tượng]],'DANH MỤC ĐỐI TƯỢNG'!A:J,10,0),"")</f>
        <v>028-1-66925-2</v>
      </c>
    </row>
    <row r="493" spans="1:9" x14ac:dyDescent="0.3">
      <c r="A493">
        <v>490</v>
      </c>
      <c r="B493" t="s">
        <v>959</v>
      </c>
      <c r="C493" t="s">
        <v>2444</v>
      </c>
      <c r="D493" t="str">
        <f t="shared" si="14"/>
        <v>490. V20097</v>
      </c>
      <c r="E493" s="5" t="str">
        <f t="shared" ca="1" si="15"/>
        <v>Thavorn Label and Ribbon Co.,Ltd</v>
      </c>
      <c r="F493" t="str">
        <f>IFERROR(VLOOKUP(Table1[[#This Row],[Tên đối tượng]],'DANH MỤC ĐỐI TƯỢNG'!A:E,5,0),"")</f>
        <v>50/1 moo3, Khokkrabue, Muangsamutsakorn, Samutsakorn 74000, Thailand.</v>
      </c>
      <c r="G493">
        <f>_xlfn.IFNA(VLOOKUP(Table1[[#This Row],[Tên đối tượng]],'DANH MỤC ĐỐI TƯỢNG'!A:F,6,0),"")</f>
        <v>0</v>
      </c>
      <c r="H493" t="str">
        <f>_xlfn.IFNA(VLOOKUP(Table1[[#This Row],[Tên đối tượng]],'DANH MỤC ĐỐI TƯỢNG'!A:I,9,0),"")</f>
        <v>Bangkok Bank-Taksin road</v>
      </c>
      <c r="I493" t="str">
        <f>_xlfn.IFNA(VLOOKUP(Table1[[#This Row],[Tên đối tượng]],'DANH MỤC ĐỐI TƯỢNG'!A:J,10,0),"")</f>
        <v>158-304961-2</v>
      </c>
    </row>
    <row r="494" spans="1:9" x14ac:dyDescent="0.3">
      <c r="A494">
        <v>491</v>
      </c>
      <c r="B494" t="s">
        <v>960</v>
      </c>
      <c r="C494" t="s">
        <v>961</v>
      </c>
      <c r="D494" t="str">
        <f t="shared" si="14"/>
        <v>491. V20019</v>
      </c>
      <c r="E494" s="5" t="str">
        <f t="shared" ca="1" si="15"/>
        <v>The Tire and Rim Association,INC</v>
      </c>
      <c r="F494" t="str">
        <f>IFERROR(VLOOKUP(Table1[[#This Row],[Tên đối tượng]],'DANH MỤC ĐỐI TƯỢNG'!A:E,5,0),"")</f>
        <v>175 Montrose West Avenue, Suite 150 Copley, Ohio, 44321, USA</v>
      </c>
      <c r="G494">
        <f>_xlfn.IFNA(VLOOKUP(Table1[[#This Row],[Tên đối tượng]],'DANH MỤC ĐỐI TƯỢNG'!A:F,6,0),"")</f>
        <v>0</v>
      </c>
      <c r="H494" t="str">
        <f>_xlfn.IFNA(VLOOKUP(Table1[[#This Row],[Tên đối tượng]],'DANH MỤC ĐỐI TƯỢNG'!A:I,9,0),"")</f>
        <v>JP Morgan Chase Bank</v>
      </c>
      <c r="I494" t="str">
        <f>_xlfn.IFNA(VLOOKUP(Table1[[#This Row],[Tên đối tượng]],'DANH MỤC ĐỐI TƯỢNG'!A:J,10,0),"")</f>
        <v>861859627</v>
      </c>
    </row>
    <row r="495" spans="1:9" x14ac:dyDescent="0.3">
      <c r="A495">
        <v>492</v>
      </c>
      <c r="B495" t="s">
        <v>962</v>
      </c>
      <c r="C495" t="s">
        <v>963</v>
      </c>
      <c r="D495" t="str">
        <f t="shared" si="14"/>
        <v>492. V20001</v>
      </c>
      <c r="E495" s="5" t="str">
        <f t="shared" ca="1" si="15"/>
        <v>The Zenitaka Corporation - BTMV Project</v>
      </c>
      <c r="F495" t="str">
        <f>IFERROR(VLOOKUP(Table1[[#This Row],[Tên đối tượng]],'DANH MỤC ĐỐI TƯỢNG'!A:E,5,0),"")</f>
        <v>31, Ichibancho, Chiyoda-ku, Tokyo, Japan</v>
      </c>
      <c r="G495">
        <f>_xlfn.IFNA(VLOOKUP(Table1[[#This Row],[Tên đối tượng]],'DANH MỤC ĐỐI TƯỢNG'!A:F,6,0),"")</f>
        <v>0</v>
      </c>
      <c r="H495">
        <f>_xlfn.IFNA(VLOOKUP(Table1[[#This Row],[Tên đối tượng]],'DANH MỤC ĐỐI TƯỢNG'!A:I,9,0),"")</f>
        <v>0</v>
      </c>
      <c r="I495">
        <f>_xlfn.IFNA(VLOOKUP(Table1[[#This Row],[Tên đối tượng]],'DANH MỤC ĐỐI TƯỢNG'!A:J,10,0),"")</f>
        <v>0</v>
      </c>
    </row>
    <row r="496" spans="1:9" x14ac:dyDescent="0.3">
      <c r="A496">
        <v>493</v>
      </c>
      <c r="B496" t="s">
        <v>964</v>
      </c>
      <c r="C496" t="s">
        <v>965</v>
      </c>
      <c r="D496" t="str">
        <f t="shared" si="14"/>
        <v>493. V20102</v>
      </c>
      <c r="E496" s="5" t="str">
        <f t="shared" ca="1" si="15"/>
        <v>The Zenitaka Corporation - BTMV Project Phase 3&amp;4</v>
      </c>
      <c r="F496" t="str">
        <f>IFERROR(VLOOKUP(Table1[[#This Row],[Tên đối tượng]],'DANH MỤC ĐỐI TƯỢNG'!A:E,5,0),"")</f>
        <v>31, Ichibancho, Chiyoda-ku, Tokyo, Japan</v>
      </c>
      <c r="G496">
        <f>_xlfn.IFNA(VLOOKUP(Table1[[#This Row],[Tên đối tượng]],'DANH MỤC ĐỐI TƯỢNG'!A:F,6,0),"")</f>
        <v>0</v>
      </c>
      <c r="H496" t="str">
        <f>_xlfn.IFNA(VLOOKUP(Table1[[#This Row],[Tên đối tượng]],'DANH MỤC ĐỐI TƯỢNG'!A:I,9,0),"")</f>
        <v>The Bank of Tokyo - Mitsubishi UFJ, Hanoi Branch</v>
      </c>
      <c r="I496" t="str">
        <f>_xlfn.IFNA(VLOOKUP(Table1[[#This Row],[Tên đối tượng]],'DANH MỤC ĐỐI TƯỢNG'!A:J,10,0),"")</f>
        <v>244740</v>
      </c>
    </row>
    <row r="497" spans="1:9" x14ac:dyDescent="0.3">
      <c r="A497">
        <v>494</v>
      </c>
      <c r="B497" t="s">
        <v>966</v>
      </c>
      <c r="C497" t="s">
        <v>967</v>
      </c>
      <c r="D497" t="str">
        <f t="shared" si="14"/>
        <v>494. V20096</v>
      </c>
      <c r="E497" s="5" t="str">
        <f t="shared" ca="1" si="15"/>
        <v>TIANJIN JIURONG WHEEL TECH CO., LTD</v>
      </c>
      <c r="F497" t="str">
        <f>IFERROR(VLOOKUP(Table1[[#This Row],[Tên đối tượng]],'DANH MỤC ĐỐI TƯỢNG'!A:E,5,0),"")</f>
        <v>Zhongzin Industrial Zone, Yan An Rd, Nankai Dist. Tianjian 300112</v>
      </c>
      <c r="G497">
        <f>_xlfn.IFNA(VLOOKUP(Table1[[#This Row],[Tên đối tượng]],'DANH MỤC ĐỐI TƯỢNG'!A:F,6,0),"")</f>
        <v>0</v>
      </c>
      <c r="H497" t="str">
        <f>_xlfn.IFNA(VLOOKUP(Table1[[#This Row],[Tên đối tượng]],'DANH MỤC ĐỐI TƯỢNG'!A:I,9,0),"")</f>
        <v>Industrial and Commercial Bank Of China Tianjin-NANKAI  sub-Br.</v>
      </c>
      <c r="I497" t="str">
        <f>_xlfn.IFNA(VLOOKUP(Table1[[#This Row],[Tên đối tượng]],'DANH MỤC ĐỐI TƯỢNG'!A:J,10,0),"")</f>
        <v>0302070709911414078</v>
      </c>
    </row>
    <row r="498" spans="1:9" x14ac:dyDescent="0.3">
      <c r="A498">
        <v>495</v>
      </c>
      <c r="B498" t="s">
        <v>968</v>
      </c>
      <c r="C498" t="s">
        <v>969</v>
      </c>
      <c r="D498" t="str">
        <f t="shared" si="14"/>
        <v>495. 970060</v>
      </c>
      <c r="E498" s="5" t="str">
        <f t="shared" ca="1" si="15"/>
        <v>TIRE MOLD (THAILAND) CO.,LTD.</v>
      </c>
      <c r="F498" t="str">
        <f>IFERROR(VLOOKUP(Table1[[#This Row],[Tên đối tượng]],'DANH MỤC ĐỐI TƯỢNG'!A:E,5,0),"")</f>
        <v>700/622 Amata Nakorn Industrial Estate, Moo 4 Bankao, Panthong, Chonburi 20160, Thailand</v>
      </c>
      <c r="G498">
        <f>_xlfn.IFNA(VLOOKUP(Table1[[#This Row],[Tên đối tượng]],'DANH MỤC ĐỐI TƯỢNG'!A:F,6,0),"")</f>
        <v>0</v>
      </c>
      <c r="H498" t="str">
        <f>_xlfn.IFNA(VLOOKUP(Table1[[#This Row],[Tên đối tượng]],'DANH MỤC ĐỐI TƯỢNG'!A:I,9,0),"")</f>
        <v>The bank of Ayudhya public company Ltd- Bangkok Sathorn Branch</v>
      </c>
      <c r="I498" t="str">
        <f>_xlfn.IFNA(VLOOKUP(Table1[[#This Row],[Tên đối tượng]],'DANH MỤC ĐỐI TƯỢNG'!A:J,10,0),"")</f>
        <v>2100822159</v>
      </c>
    </row>
    <row r="499" spans="1:9" x14ac:dyDescent="0.3">
      <c r="A499">
        <v>496</v>
      </c>
      <c r="B499" t="s">
        <v>970</v>
      </c>
      <c r="C499" t="s">
        <v>971</v>
      </c>
      <c r="D499" t="str">
        <f t="shared" si="14"/>
        <v>496. V20125</v>
      </c>
      <c r="E499" s="5" t="str">
        <f t="shared" ca="1" si="15"/>
        <v>TMEIC Aisa Pte.Ltd</v>
      </c>
      <c r="F499" t="str">
        <f>IFERROR(VLOOKUP(Table1[[#This Row],[Tên đối tượng]],'DANH MỤC ĐỐI TƯỢNG'!A:E,5,0),"")</f>
        <v>152 Beach Road #13-07/08 Gateway East Singapore 189721</v>
      </c>
      <c r="G499">
        <f>_xlfn.IFNA(VLOOKUP(Table1[[#This Row],[Tên đối tượng]],'DANH MỤC ĐỐI TƯỢNG'!A:F,6,0),"")</f>
        <v>0</v>
      </c>
      <c r="H499" t="str">
        <f>_xlfn.IFNA(VLOOKUP(Table1[[#This Row],[Tên đối tượng]],'DANH MỤC ĐỐI TƯỢNG'!A:I,9,0),"")</f>
        <v>Sumitomo Mitsui Banking Corporation, Singapore Branch</v>
      </c>
      <c r="I499" t="str">
        <f>_xlfn.IFNA(VLOOKUP(Table1[[#This Row],[Tên đối tượng]],'DANH MỤC ĐỐI TƯỢNG'!A:J,10,0),"")</f>
        <v>1033780-2</v>
      </c>
    </row>
    <row r="500" spans="1:9" x14ac:dyDescent="0.3">
      <c r="A500">
        <v>497</v>
      </c>
      <c r="B500" t="s">
        <v>972</v>
      </c>
      <c r="C500" t="s">
        <v>973</v>
      </c>
      <c r="D500" t="str">
        <f t="shared" si="14"/>
        <v>497. V10028</v>
      </c>
      <c r="E500" s="5" t="str">
        <f t="shared" ca="1" si="15"/>
        <v>TNT-Vietrans Express Worldwide (Vietnam) Ltd</v>
      </c>
      <c r="F500" t="str">
        <f>IFERROR(VLOOKUP(Table1[[#This Row],[Tên đối tượng]],'DANH MỤC ĐỐI TƯỢNG'!A:E,5,0),"")</f>
        <v>Cảng thông quan nội địa Mỹ Đình, Số 17 Phạm Hùng, xã Mỹ Đình, Huyện Từ Liêm, Thành phố Hà Nội</v>
      </c>
      <c r="G500" t="str">
        <f>_xlfn.IFNA(VLOOKUP(Table1[[#This Row],[Tên đối tượng]],'DANH MỤC ĐỐI TƯỢNG'!A:F,6,0),"")</f>
        <v>0100112613</v>
      </c>
      <c r="H500" t="str">
        <f>_xlfn.IFNA(VLOOKUP(Table1[[#This Row],[Tên đối tượng]],'DANH MỤC ĐỐI TƯỢNG'!A:I,9,0),"")</f>
        <v>CitiBank - CN Hà Nội 17 Ngô Quyền, Hà Nội</v>
      </c>
      <c r="I500" t="str">
        <f>_xlfn.IFNA(VLOOKUP(Table1[[#This Row],[Tên đối tượng]],'DANH MỤC ĐỐI TƯỢNG'!A:J,10,0),"")</f>
        <v>0200888189</v>
      </c>
    </row>
    <row r="501" spans="1:9" x14ac:dyDescent="0.3">
      <c r="A501">
        <v>498</v>
      </c>
      <c r="B501" t="s">
        <v>974</v>
      </c>
      <c r="C501" t="s">
        <v>975</v>
      </c>
      <c r="D501" t="str">
        <f t="shared" si="14"/>
        <v>498. V20013</v>
      </c>
      <c r="E501" s="5" t="str">
        <f t="shared" ca="1" si="15"/>
        <v>Tokai Carbon(Tianjin) Co.,Ltd.</v>
      </c>
      <c r="F501" t="str">
        <f>IFERROR(VLOOKUP(Table1[[#This Row],[Tên đối tượng]],'DANH MỤC ĐỐI TƯỢNG'!A:E,5,0),"")</f>
        <v>No.45 Xixia Road,Teda Chemical Industry Park,Tianjin P.R.China 300480</v>
      </c>
      <c r="G501">
        <f>_xlfn.IFNA(VLOOKUP(Table1[[#This Row],[Tên đối tượng]],'DANH MỤC ĐỐI TƯỢNG'!A:F,6,0),"")</f>
        <v>0</v>
      </c>
      <c r="H501" t="str">
        <f>_xlfn.IFNA(VLOOKUP(Table1[[#This Row],[Tên đối tượng]],'DANH MỤC ĐỐI TƯỢNG'!A:I,9,0),"")</f>
        <v>Bank of Tokyo-Mitsubishi UFJ( China ), Ltd., Tianjin Branch</v>
      </c>
      <c r="I501" t="str">
        <f>_xlfn.IFNA(VLOOKUP(Table1[[#This Row],[Tên đối tượng]],'DANH MỤC ĐỐI TƯỢNG'!A:J,10,0),"")</f>
        <v>151491</v>
      </c>
    </row>
    <row r="502" spans="1:9" x14ac:dyDescent="0.3">
      <c r="A502">
        <v>499</v>
      </c>
      <c r="B502" t="s">
        <v>976</v>
      </c>
      <c r="C502" t="s">
        <v>977</v>
      </c>
      <c r="D502" t="str">
        <f t="shared" si="14"/>
        <v>499. V20109</v>
      </c>
      <c r="E502" s="5" t="str">
        <f t="shared" ca="1" si="15"/>
        <v>TOKOKOSEN CORP.</v>
      </c>
      <c r="F502" t="str">
        <f>IFERROR(VLOOKUP(Table1[[#This Row],[Tên đối tượng]],'DANH MỤC ĐỐI TƯỢNG'!A:E,5,0),"")</f>
        <v>Ban Building 4-2,Yonbancho Chiyoda-ku,Tokyo, 102-8362 Japan</v>
      </c>
      <c r="G502" t="str">
        <f>_xlfn.IFNA(VLOOKUP(Table1[[#This Row],[Tên đối tượng]],'DANH MỤC ĐỐI TƯỢNG'!A:F,6,0),"")</f>
        <v>Sw:BOTKJPJT</v>
      </c>
      <c r="H502" t="str">
        <f>_xlfn.IFNA(VLOOKUP(Table1[[#This Row],[Tên đối tượng]],'DANH MỤC ĐỐI TƯỢNG'!A:I,9,0),"")</f>
        <v>The Bank of Tokyo- Mitsubishi UFJ,Ltd.Aoyamadori Branch</v>
      </c>
      <c r="I502" t="str">
        <f>_xlfn.IFNA(VLOOKUP(Table1[[#This Row],[Tên đối tượng]],'DANH MỤC ĐỐI TƯỢNG'!A:J,10,0),"")</f>
        <v>0024682</v>
      </c>
    </row>
    <row r="503" spans="1:9" x14ac:dyDescent="0.3">
      <c r="A503">
        <v>500</v>
      </c>
      <c r="B503" t="s">
        <v>978</v>
      </c>
      <c r="C503" t="s">
        <v>979</v>
      </c>
      <c r="D503" t="str">
        <f t="shared" si="14"/>
        <v>500. V20126</v>
      </c>
      <c r="E503" s="5" t="str">
        <f t="shared" ca="1" si="15"/>
        <v>Tokyo Boeki Techno-System Ltd.,</v>
      </c>
      <c r="F503" t="str">
        <f>IFERROR(VLOOKUP(Table1[[#This Row],[Tên đối tượng]],'DANH MỤC ĐỐI TƯỢNG'!A:E,5,0),"")</f>
        <v>2-13-8 Hatchoubori, Chuo-ku, Tokyo, Japan 104-0032</v>
      </c>
      <c r="G503">
        <f>_xlfn.IFNA(VLOOKUP(Table1[[#This Row],[Tên đối tượng]],'DANH MỤC ĐỐI TƯỢNG'!A:F,6,0),"")</f>
        <v>0</v>
      </c>
      <c r="H503" t="str">
        <f>_xlfn.IFNA(VLOOKUP(Table1[[#This Row],[Tên đối tượng]],'DANH MỤC ĐỐI TƯỢNG'!A:I,9,0),"")</f>
        <v>Sumitomo Mitsui banking corporation / ATSUGI branch</v>
      </c>
      <c r="I503" t="str">
        <f>_xlfn.IFNA(VLOOKUP(Table1[[#This Row],[Tên đối tượng]],'DANH MỤC ĐỐI TƯỢNG'!A:J,10,0),"")</f>
        <v>6983731</v>
      </c>
    </row>
    <row r="504" spans="1:9" x14ac:dyDescent="0.3">
      <c r="A504">
        <v>501</v>
      </c>
      <c r="B504" t="s">
        <v>980</v>
      </c>
      <c r="C504" t="s">
        <v>981</v>
      </c>
      <c r="D504" t="str">
        <f t="shared" si="14"/>
        <v>501. V20080</v>
      </c>
      <c r="E504" s="5" t="str">
        <f t="shared" ca="1" si="15"/>
        <v>Tokyo Zairyo Co.,Ltd</v>
      </c>
      <c r="F504" t="str">
        <f>IFERROR(VLOOKUP(Table1[[#This Row],[Tên đối tượng]],'DANH MỤC ĐỐI TƯỢNG'!A:E,5,0),"")</f>
        <v>1-6-2 Marunouchi, 1-Chome, Chiyoda-ku , Tokyo 100-0005 , Japan</v>
      </c>
      <c r="G504">
        <f>_xlfn.IFNA(VLOOKUP(Table1[[#This Row],[Tên đối tượng]],'DANH MỤC ĐỐI TƯỢNG'!A:F,6,0),"")</f>
        <v>0</v>
      </c>
      <c r="H504" t="str">
        <f>_xlfn.IFNA(VLOOKUP(Table1[[#This Row],[Tên đối tượng]],'DANH MỤC ĐỐI TƯỢNG'!A:I,9,0),"")</f>
        <v>The bank of Tokyo-Mitsubishi UFJ, LTD SHIMBASHI BRANCH</v>
      </c>
      <c r="I504" t="str">
        <f>_xlfn.IFNA(VLOOKUP(Table1[[#This Row],[Tên đối tượng]],'DANH MỤC ĐỐI TƯỢNG'!A:J,10,0),"")</f>
        <v>4462467</v>
      </c>
    </row>
    <row r="505" spans="1:9" x14ac:dyDescent="0.3">
      <c r="A505">
        <v>502</v>
      </c>
      <c r="B505" t="s">
        <v>982</v>
      </c>
      <c r="C505" t="s">
        <v>983</v>
      </c>
      <c r="D505" t="str">
        <f t="shared" si="14"/>
        <v>502. V20119</v>
      </c>
      <c r="E505" s="5" t="str">
        <f t="shared" ca="1" si="15"/>
        <v>TOYO MACHINERY CO.,LTD</v>
      </c>
      <c r="F505" t="str">
        <f>IFERROR(VLOOKUP(Table1[[#This Row],[Tên đối tượng]],'DANH MỤC ĐỐI TƯỢNG'!A:E,5,0),"")</f>
        <v>Zuiko 4-5-1, Higashi-Yodogawa-ku,Osaka 533-0005, Japan</v>
      </c>
      <c r="G505">
        <f>_xlfn.IFNA(VLOOKUP(Table1[[#This Row],[Tên đối tượng]],'DANH MỤC ĐỐI TƯỢNG'!A:F,6,0),"")</f>
        <v>0</v>
      </c>
      <c r="H505" t="str">
        <f>_xlfn.IFNA(VLOOKUP(Table1[[#This Row],[Tên đối tượng]],'DANH MỤC ĐỐI TƯỢNG'!A:I,9,0),"")</f>
        <v>The bank of Tokyo-Mitsubishi UFJ, Ltd. - Tenruko branch</v>
      </c>
      <c r="I505" t="str">
        <f>_xlfn.IFNA(VLOOKUP(Table1[[#This Row],[Tên đối tượng]],'DANH MỤC ĐỐI TƯỢNG'!A:J,10,0),"")</f>
        <v>039-0308143</v>
      </c>
    </row>
    <row r="506" spans="1:9" x14ac:dyDescent="0.3">
      <c r="A506">
        <v>503</v>
      </c>
      <c r="B506" t="s">
        <v>984</v>
      </c>
      <c r="C506" t="s">
        <v>985</v>
      </c>
      <c r="D506" t="str">
        <f t="shared" si="14"/>
        <v>503. V20006</v>
      </c>
      <c r="E506" s="5" t="str">
        <f t="shared" ca="1" si="15"/>
        <v>Toyo Seiki Seisaku-Sho, Ltd</v>
      </c>
      <c r="F506" t="str">
        <f>IFERROR(VLOOKUP(Table1[[#This Row],[Tên đối tượng]],'DANH MỤC ĐỐI TƯỢNG'!A:E,5,0),"")</f>
        <v>15-4, Takinogawa 5-Chome, Kita-Ku, Tokyo 114-8558 Japan</v>
      </c>
      <c r="G506">
        <f>_xlfn.IFNA(VLOOKUP(Table1[[#This Row],[Tên đối tượng]],'DANH MỤC ĐỐI TƯỢNG'!A:F,6,0),"")</f>
        <v>0</v>
      </c>
      <c r="H506" t="str">
        <f>_xlfn.IFNA(VLOOKUP(Table1[[#This Row],[Tên đối tượng]],'DANH MỤC ĐỐI TƯỢNG'!A:I,9,0),"")</f>
        <v>BANK OF  TOKYO MITSUBISHI UFJ - SUGAMO BRANCH</v>
      </c>
      <c r="I506" t="str">
        <f>_xlfn.IFNA(VLOOKUP(Table1[[#This Row],[Tên đối tượng]],'DANH MỤC ĐỐI TƯỢNG'!A:J,10,0),"")</f>
        <v>2160</v>
      </c>
    </row>
    <row r="507" spans="1:9" x14ac:dyDescent="0.3">
      <c r="A507">
        <v>504</v>
      </c>
      <c r="B507" t="s">
        <v>986</v>
      </c>
      <c r="C507" t="s">
        <v>987</v>
      </c>
      <c r="D507" t="str">
        <f t="shared" si="14"/>
        <v>504. V20072</v>
      </c>
      <c r="E507" s="5" t="str">
        <f t="shared" ca="1" si="15"/>
        <v>Toyotsu Chemiplas Corporation</v>
      </c>
      <c r="F507" t="str">
        <f>IFERROR(VLOOKUP(Table1[[#This Row],[Tên đối tượng]],'DANH MỤC ĐỐI TƯỢNG'!A:E,5,0),"")</f>
        <v>Shinagawa Front Bldg. 11F, 3-13, Konan 2-chome, Minato-ku, Tokyo 108-8216 Japan</v>
      </c>
      <c r="G507">
        <f>_xlfn.IFNA(VLOOKUP(Table1[[#This Row],[Tên đối tượng]],'DANH MỤC ĐỐI TƯỢNG'!A:F,6,0),"")</f>
        <v>0</v>
      </c>
      <c r="H507" t="str">
        <f>_xlfn.IFNA(VLOOKUP(Table1[[#This Row],[Tên đối tượng]],'DANH MỤC ĐỐI TƯỢNG'!A:I,9,0),"")</f>
        <v>Sumitomo Mitsui Banking Corporation Head office</v>
      </c>
      <c r="I507" t="str">
        <f>_xlfn.IFNA(VLOOKUP(Table1[[#This Row],[Tên đối tượng]],'DANH MỤC ĐỐI TƯỢNG'!A:J,10,0),"")</f>
        <v>2037134</v>
      </c>
    </row>
    <row r="508" spans="1:9" x14ac:dyDescent="0.3">
      <c r="A508">
        <v>505</v>
      </c>
      <c r="B508" t="s">
        <v>988</v>
      </c>
      <c r="C508" t="s">
        <v>989</v>
      </c>
      <c r="D508" t="str">
        <f t="shared" si="14"/>
        <v>505. V20048</v>
      </c>
      <c r="E508" s="5" t="str">
        <f t="shared" ca="1" si="15"/>
        <v>Trigon Gulf FZCO</v>
      </c>
      <c r="F508" t="str">
        <f>IFERROR(VLOOKUP(Table1[[#This Row],[Tên đối tượng]],'DANH MỤC ĐỐI TƯỢNG'!A:E,5,0),"")</f>
        <v>P.O. Box 61468, Jebel Ali, Dubai, U.A.E.</v>
      </c>
      <c r="G508">
        <f>_xlfn.IFNA(VLOOKUP(Table1[[#This Row],[Tên đối tượng]],'DANH MỤC ĐỐI TƯỢNG'!A:F,6,0),"")</f>
        <v>0</v>
      </c>
      <c r="H508" t="str">
        <f>_xlfn.IFNA(VLOOKUP(Table1[[#This Row],[Tên đối tượng]],'DANH MỤC ĐỐI TƯỢNG'!A:I,9,0),"")</f>
        <v>HSBC Bank Middle East Ltd.,Jebel Ali Branch</v>
      </c>
      <c r="I508" t="str">
        <f>_xlfn.IFNA(VLOOKUP(Table1[[#This Row],[Tên đối tượng]],'DANH MỤC ĐỐI TƯỢNG'!A:J,10,0),"")</f>
        <v>AE950200000035069384101</v>
      </c>
    </row>
    <row r="509" spans="1:9" x14ac:dyDescent="0.3">
      <c r="A509">
        <v>506</v>
      </c>
      <c r="B509" t="s">
        <v>990</v>
      </c>
      <c r="C509" t="s">
        <v>991</v>
      </c>
      <c r="D509" t="str">
        <f t="shared" si="14"/>
        <v>506. V10047</v>
      </c>
      <c r="E509" s="5" t="str">
        <f t="shared" ca="1" si="15"/>
        <v>Trung tâm Hỗ trợ kỹ thuật an toàn bức xạ hạt nhân và ứng phó sự cố</v>
      </c>
      <c r="F509" t="str">
        <f>IFERROR(VLOOKUP(Table1[[#This Row],[Tên đối tượng]],'DANH MỤC ĐỐI TƯỢNG'!A:E,5,0),"")</f>
        <v>Số 56, phố Linh Lang - Quận Ba Đình - Thành phố Hà Nội</v>
      </c>
      <c r="G509" t="str">
        <f>_xlfn.IFNA(VLOOKUP(Table1[[#This Row],[Tên đối tượng]],'DANH MỤC ĐỐI TƯỢNG'!A:F,6,0),"")</f>
        <v>0103071972</v>
      </c>
      <c r="H509" t="str">
        <f>_xlfn.IFNA(VLOOKUP(Table1[[#This Row],[Tên đối tượng]],'DANH MỤC ĐỐI TƯỢNG'!A:I,9,0),"")</f>
        <v>Ngân hàng NN&amp;PTNT, CN Hà Nội - PGD Linh Lang</v>
      </c>
      <c r="I509" t="str">
        <f>_xlfn.IFNA(VLOOKUP(Table1[[#This Row],[Tên đối tượng]],'DANH MỤC ĐỐI TƯỢNG'!A:J,10,0),"")</f>
        <v>1500201063462</v>
      </c>
    </row>
    <row r="510" spans="1:9" x14ac:dyDescent="0.3">
      <c r="A510">
        <v>507</v>
      </c>
      <c r="B510" t="s">
        <v>992</v>
      </c>
      <c r="C510" t="s">
        <v>993</v>
      </c>
      <c r="D510" t="str">
        <f t="shared" si="14"/>
        <v>507. V10264</v>
      </c>
      <c r="E510" s="5" t="str">
        <f t="shared" ca="1" si="15"/>
        <v>Trung tâm Hỗ trợ Kỹ thuật an toàn công nghiệp</v>
      </c>
      <c r="F510" t="str">
        <f>IFERROR(VLOOKUP(Table1[[#This Row],[Tên đối tượng]],'DANH MỤC ĐỐI TƯỢNG'!A:E,5,0),"")</f>
        <v>Phòng 31, Tầng 3, Số 91 Đinh Tiên Hoàng, Phường Tràng Tiền, Quận Hoàn Kiếm, TP. Hà Nội</v>
      </c>
      <c r="G510" t="str">
        <f>_xlfn.IFNA(VLOOKUP(Table1[[#This Row],[Tên đối tượng]],'DANH MỤC ĐỐI TƯỢNG'!A:F,6,0),"")</f>
        <v>0100792912</v>
      </c>
      <c r="H510" t="str">
        <f>_xlfn.IFNA(VLOOKUP(Table1[[#This Row],[Tên đối tượng]],'DANH MỤC ĐỐI TƯỢNG'!A:I,9,0),"")</f>
        <v>Ngân hàng TMCP Công thương Việt Nam - Chi nhánh Hà Nội</v>
      </c>
      <c r="I510" t="str">
        <f>_xlfn.IFNA(VLOOKUP(Table1[[#This Row],[Tên đối tượng]],'DANH MỤC ĐỐI TƯỢNG'!A:J,10,0),"")</f>
        <v>102010000031815</v>
      </c>
    </row>
    <row r="511" spans="1:9" x14ac:dyDescent="0.3">
      <c r="A511">
        <v>508</v>
      </c>
      <c r="B511" t="s">
        <v>994</v>
      </c>
      <c r="C511" t="s">
        <v>995</v>
      </c>
      <c r="D511" t="str">
        <f t="shared" si="14"/>
        <v>508. V10332</v>
      </c>
      <c r="E511" s="5" t="str">
        <f t="shared" ca="1" si="15"/>
        <v>Trung tâm huấn luyện an toàn vệ sinh lao động</v>
      </c>
      <c r="F511" t="str">
        <f>IFERROR(VLOOKUP(Table1[[#This Row],[Tên đối tượng]],'DANH MỤC ĐỐI TƯỢNG'!A:E,5,0),"")</f>
        <v>Toàn nhà Liên cơ Bộ LĐTBXH, ngõ 8B Tôn Thất thuyế, P.Dịch Vọng, Q.Cầu giấy, Hà nội</v>
      </c>
      <c r="G511" t="str">
        <f>_xlfn.IFNA(VLOOKUP(Table1[[#This Row],[Tên đối tượng]],'DANH MỤC ĐỐI TƯỢNG'!A:F,6,0),"")</f>
        <v>0101539285</v>
      </c>
      <c r="H511" t="str">
        <f>_xlfn.IFNA(VLOOKUP(Table1[[#This Row],[Tên đối tượng]],'DANH MỤC ĐỐI TƯỢNG'!A:I,9,0),"")</f>
        <v>Ngân hàng BIDV - CN Thăng Long</v>
      </c>
      <c r="I511" t="str">
        <f>_xlfn.IFNA(VLOOKUP(Table1[[#This Row],[Tên đối tượng]],'DANH MỤC ĐỐI TƯỢNG'!A:J,10,0),"")</f>
        <v>220-10-00-7686866</v>
      </c>
    </row>
    <row r="512" spans="1:9" x14ac:dyDescent="0.3">
      <c r="A512">
        <v>509</v>
      </c>
      <c r="B512" t="s">
        <v>996</v>
      </c>
      <c r="C512" t="s">
        <v>997</v>
      </c>
      <c r="D512" t="str">
        <f t="shared" si="14"/>
        <v>509. V10043</v>
      </c>
      <c r="E512" s="5" t="str">
        <f t="shared" ca="1" si="15"/>
        <v>TRUNG TÂM KIỂM ĐỊNH KỸ THUẬT AN TOÀN KHU VỰC I</v>
      </c>
      <c r="F512" t="str">
        <f>IFERROR(VLOOKUP(Table1[[#This Row],[Tên đối tượng]],'DANH MỤC ĐỐI TƯỢNG'!A:E,5,0),"")</f>
        <v>Tầng 19, Tòa nhà VTC Online, Số 18 Tam Trinh , Phường Minh Khai, Q. Hai Bà Trưng, Hà Nội</v>
      </c>
      <c r="G512" t="str">
        <f>_xlfn.IFNA(VLOOKUP(Table1[[#This Row],[Tên đối tượng]],'DANH MỤC ĐỐI TƯỢNG'!A:F,6,0),"")</f>
        <v>0100110341</v>
      </c>
      <c r="H512" t="str">
        <f>_xlfn.IFNA(VLOOKUP(Table1[[#This Row],[Tên đối tượng]],'DANH MỤC ĐỐI TƯỢNG'!A:I,9,0),"")</f>
        <v>Tầng 19, Tòa nhà VTC Online, Số 18 Tam Trinh , Phường Minh Khai,</v>
      </c>
      <c r="I512" t="str">
        <f>_xlfn.IFNA(VLOOKUP(Table1[[#This Row],[Tên đối tượng]],'DANH MỤC ĐỐI TƯỢNG'!A:J,10,0),"")</f>
        <v>0011004014831</v>
      </c>
    </row>
    <row r="513" spans="1:9" x14ac:dyDescent="0.3">
      <c r="A513">
        <v>510</v>
      </c>
      <c r="B513" t="s">
        <v>998</v>
      </c>
      <c r="C513" t="s">
        <v>999</v>
      </c>
      <c r="D513" t="str">
        <f t="shared" si="14"/>
        <v>510. V10382</v>
      </c>
      <c r="E513" s="5" t="str">
        <f t="shared" ca="1" si="15"/>
        <v>CÔNG TY TNHH HẢI VÂN XANH</v>
      </c>
      <c r="F513" t="str">
        <f>IFERROR(VLOOKUP(Table1[[#This Row],[Tên đối tượng]],'DANH MỤC ĐỐI TƯỢNG'!A:E,5,0),"")</f>
        <v>Số 388 Lê Thánh Tông, phường Máy Chai, Quận Ngô Quyền, Thành phố Hải Phòng</v>
      </c>
      <c r="G513">
        <f>_xlfn.IFNA(VLOOKUP(Table1[[#This Row],[Tên đối tượng]],'DANH MỤC ĐỐI TƯỢNG'!A:F,6,0),"")</f>
        <v>0</v>
      </c>
      <c r="H513" t="str">
        <f>_xlfn.IFNA(VLOOKUP(Table1[[#This Row],[Tên đối tượng]],'DANH MỤC ĐỐI TƯỢNG'!A:I,9,0),"")</f>
        <v>Saigon - Hanoi Commercial Joint Stock Bank (SHB)/PGD Niệm Nghĩa</v>
      </c>
      <c r="I513" t="str">
        <f>_xlfn.IFNA(VLOOKUP(Table1[[#This Row],[Tên đối tượng]],'DANH MỤC ĐỐI TƯỢNG'!A:J,10,0),"")</f>
        <v>1009061887</v>
      </c>
    </row>
    <row r="514" spans="1:9" x14ac:dyDescent="0.3">
      <c r="A514">
        <v>511</v>
      </c>
      <c r="B514" t="s">
        <v>1000</v>
      </c>
      <c r="C514" t="s">
        <v>1001</v>
      </c>
      <c r="D514" t="str">
        <f t="shared" si="14"/>
        <v>511. V10049</v>
      </c>
      <c r="E514" s="5" t="str">
        <f t="shared" ca="1" si="15"/>
        <v>Trung tâm kinh doanh VNPT-Hải Phòng Chi nhánh tổng công ty dịch vụ viễn thông</v>
      </c>
      <c r="F514" t="str">
        <f>IFERROR(VLOOKUP(Table1[[#This Row],[Tên đối tượng]],'DANH MỤC ĐỐI TƯỢNG'!A:E,5,0),"")</f>
        <v>Số 4 Lạch Tray - Ngô Quyền - Hải Phòng</v>
      </c>
      <c r="G514" t="str">
        <f>_xlfn.IFNA(VLOOKUP(Table1[[#This Row],[Tên đối tượng]],'DANH MỤC ĐỐI TƯỢNG'!A:F,6,0),"")</f>
        <v>0106869738-056</v>
      </c>
      <c r="H514" t="str">
        <f>_xlfn.IFNA(VLOOKUP(Table1[[#This Row],[Tên đối tượng]],'DANH MỤC ĐỐI TƯỢNG'!A:I,9,0),"")</f>
        <v>Vietcombank - CN Hải Phòng</v>
      </c>
      <c r="I514" t="str">
        <f>_xlfn.IFNA(VLOOKUP(Table1[[#This Row],[Tên đối tượng]],'DANH MỤC ĐỐI TƯỢNG'!A:J,10,0),"")</f>
        <v>0031000258888</v>
      </c>
    </row>
    <row r="515" spans="1:9" x14ac:dyDescent="0.3">
      <c r="A515">
        <v>512</v>
      </c>
      <c r="B515" t="s">
        <v>1002</v>
      </c>
      <c r="C515" t="s">
        <v>1003</v>
      </c>
      <c r="D515" t="str">
        <f t="shared" si="14"/>
        <v>512. V10285</v>
      </c>
      <c r="E515" s="5" t="str">
        <f t="shared" ca="1" si="15"/>
        <v>Trung tâm Kỹ thuật Tiêu chuẩn Đo lường Chất lượng Hải Phòng</v>
      </c>
      <c r="F515" t="str">
        <f>IFERROR(VLOOKUP(Table1[[#This Row],[Tên đối tượng]],'DANH MỤC ĐỐI TƯỢNG'!A:E,5,0),"")</f>
        <v>Số 240 Văn Cao, phường Đằng Giang, Quận Ngô Quyền Thành phố Hải Phòng</v>
      </c>
      <c r="G515">
        <f>_xlfn.IFNA(VLOOKUP(Table1[[#This Row],[Tên đối tượng]],'DANH MỤC ĐỐI TƯỢNG'!A:F,6,0),"")</f>
        <v>0</v>
      </c>
      <c r="H515" t="str">
        <f>_xlfn.IFNA(VLOOKUP(Table1[[#This Row],[Tên đối tượng]],'DANH MỤC ĐỐI TƯỢNG'!A:I,9,0),"")</f>
        <v>Ngân hàng TMCP ngoại thương Việt Nam-  CN Hải Phòng</v>
      </c>
      <c r="I515" t="str">
        <f>_xlfn.IFNA(VLOOKUP(Table1[[#This Row],[Tên đối tượng]],'DANH MỤC ĐỐI TƯỢNG'!A:J,10,0),"")</f>
        <v>0031000218079</v>
      </c>
    </row>
    <row r="516" spans="1:9" x14ac:dyDescent="0.3">
      <c r="A516">
        <v>513</v>
      </c>
      <c r="B516" t="s">
        <v>1004</v>
      </c>
      <c r="C516" t="s">
        <v>1005</v>
      </c>
      <c r="D516" t="str">
        <f t="shared" si="14"/>
        <v>513. V10320</v>
      </c>
      <c r="E516" s="5" t="str">
        <f t="shared" ca="1" si="15"/>
        <v>Trung tâm phát triển thương mại điện tử</v>
      </c>
      <c r="F516" t="str">
        <f>IFERROR(VLOOKUP(Table1[[#This Row],[Tên đối tượng]],'DANH MỤC ĐỐI TƯỢNG'!A:E,5,0),"")</f>
        <v>25 Ngô quyền, Hoàn kiếm, Hà nội</v>
      </c>
      <c r="G516" t="str">
        <f>_xlfn.IFNA(VLOOKUP(Table1[[#This Row],[Tên đối tượng]],'DANH MỤC ĐỐI TƯỢNG'!A:F,6,0),"")</f>
        <v>0102721113</v>
      </c>
      <c r="H516" t="str">
        <f>_xlfn.IFNA(VLOOKUP(Table1[[#This Row],[Tên đối tượng]],'DANH MỤC ĐỐI TƯỢNG'!A:I,9,0),"")</f>
        <v>NH TMCP Á Châu - CN Thăng Long</v>
      </c>
      <c r="I516" t="str">
        <f>_xlfn.IFNA(VLOOKUP(Table1[[#This Row],[Tên đối tượng]],'DANH MỤC ĐỐI TƯỢNG'!A:J,10,0),"")</f>
        <v>38946139</v>
      </c>
    </row>
    <row r="517" spans="1:9" x14ac:dyDescent="0.3">
      <c r="A517">
        <v>514</v>
      </c>
      <c r="B517" t="s">
        <v>1006</v>
      </c>
      <c r="C517" t="s">
        <v>1007</v>
      </c>
      <c r="D517" t="str">
        <f t="shared" ref="D517:D580" si="16">A517&amp;". "&amp;B517</f>
        <v>514. V10019</v>
      </c>
      <c r="E517" s="5" t="str">
        <f t="shared" ref="E517:E580" ca="1" si="17">IF(B517&lt;&gt;"",HYPERLINK($A$2&amp;D517,C517),"")</f>
        <v>Trung Tâm Quan trắc Môi trường</v>
      </c>
      <c r="F517" t="str">
        <f>IFERROR(VLOOKUP(Table1[[#This Row],[Tên đối tượng]],'DANH MỤC ĐỐI TƯỢNG'!A:E,5,0),"")</f>
        <v>Số 275 Lạch Tray,phường Đằng Giang ,Ngô Quyền,,Hải Phòng</v>
      </c>
      <c r="G517" t="str">
        <f>_xlfn.IFNA(VLOOKUP(Table1[[#This Row],[Tên đối tượng]],'DANH MỤC ĐỐI TƯỢNG'!A:F,6,0),"")</f>
        <v>0200588244</v>
      </c>
      <c r="H517" t="str">
        <f>_xlfn.IFNA(VLOOKUP(Table1[[#This Row],[Tên đối tượng]],'DANH MỤC ĐỐI TƯỢNG'!A:I,9,0),"")</f>
        <v>TMCP Công Thương Việt Nam - CN Tô Hiệu Hải Phòng</v>
      </c>
      <c r="I517" t="str">
        <f>_xlfn.IFNA(VLOOKUP(Table1[[#This Row],[Tên đối tượng]],'DANH MỤC ĐỐI TƯỢNG'!A:J,10,0),"")</f>
        <v>102010000321839</v>
      </c>
    </row>
    <row r="518" spans="1:9" x14ac:dyDescent="0.3">
      <c r="A518">
        <v>515</v>
      </c>
      <c r="B518" t="s">
        <v>1008</v>
      </c>
      <c r="C518" t="s">
        <v>1009</v>
      </c>
      <c r="D518" t="str">
        <f t="shared" si="16"/>
        <v>515. V10036</v>
      </c>
      <c r="E518" s="5" t="str">
        <f t="shared" ca="1" si="17"/>
        <v>Trung tâm tần số vô tuyến điện khu vực V</v>
      </c>
      <c r="F518" t="str">
        <f>IFERROR(VLOOKUP(Table1[[#This Row],[Tên đối tượng]],'DANH MỤC ĐỐI TƯỢNG'!A:E,5,0),"")</f>
        <v>783 Tôn Đức Thắng, P. Sở Dầu, Q. Hồng Bàng, Hải Phòng</v>
      </c>
      <c r="G518">
        <f>_xlfn.IFNA(VLOOKUP(Table1[[#This Row],[Tên đối tượng]],'DANH MỤC ĐỐI TƯỢNG'!A:F,6,0),"")</f>
        <v>0</v>
      </c>
      <c r="H518" t="str">
        <f>_xlfn.IFNA(VLOOKUP(Table1[[#This Row],[Tên đối tượng]],'DANH MỤC ĐỐI TƯỢNG'!A:I,9,0),"")</f>
        <v>Ngân hàng Công thương - CN Hải Phòng</v>
      </c>
      <c r="I518" t="str">
        <f>_xlfn.IFNA(VLOOKUP(Table1[[#This Row],[Tên đối tượng]],'DANH MỤC ĐỐI TƯỢNG'!A:J,10,0),"")</f>
        <v>102010000200321</v>
      </c>
    </row>
    <row r="519" spans="1:9" x14ac:dyDescent="0.3">
      <c r="A519">
        <v>516</v>
      </c>
      <c r="B519" t="s">
        <v>1010</v>
      </c>
      <c r="C519" t="s">
        <v>1011</v>
      </c>
      <c r="D519" t="str">
        <f t="shared" si="16"/>
        <v>516. V10130</v>
      </c>
      <c r="E519" s="5" t="str">
        <f t="shared" ca="1" si="17"/>
        <v>Trung tâm viễn thông khu vực I - Chi nhánh Công ty Viễn thông liên tỉnh</v>
      </c>
      <c r="F519" t="str">
        <f>IFERROR(VLOOKUP(Table1[[#This Row],[Tên đối tượng]],'DANH MỤC ĐỐI TƯỢNG'!A:E,5,0),"")</f>
        <v>30 Phạm Hùng, Từ Liêm, Hà Nội</v>
      </c>
      <c r="G519" t="str">
        <f>_xlfn.IFNA(VLOOKUP(Table1[[#This Row],[Tên đối tượng]],'DANH MỤC ĐỐI TƯỢNG'!A:F,6,0),"")</f>
        <v>0100686216-001</v>
      </c>
      <c r="H519" t="str">
        <f>_xlfn.IFNA(VLOOKUP(Table1[[#This Row],[Tên đối tượng]],'DANH MỤC ĐỐI TƯỢNG'!A:I,9,0),"")</f>
        <v>TMCP Công Thương Việt Nam chi nhánh Ba Đình - Hà Nội</v>
      </c>
      <c r="I519" t="str">
        <f>_xlfn.IFNA(VLOOKUP(Table1[[#This Row],[Tên đối tượng]],'DANH MỤC ĐỐI TƯỢNG'!A:J,10,0),"")</f>
        <v>10201 000 000 0989</v>
      </c>
    </row>
    <row r="520" spans="1:9" x14ac:dyDescent="0.3">
      <c r="A520">
        <v>517</v>
      </c>
      <c r="B520" t="s">
        <v>1012</v>
      </c>
      <c r="C520" t="s">
        <v>1013</v>
      </c>
      <c r="D520" t="str">
        <f t="shared" si="16"/>
        <v>517. V10165</v>
      </c>
      <c r="E520" s="5" t="str">
        <f t="shared" ca="1" si="17"/>
        <v>Trung tâm y tế dự phòng</v>
      </c>
      <c r="F520" t="str">
        <f>IFERROR(VLOOKUP(Table1[[#This Row],[Tên đối tượng]],'DANH MỤC ĐỐI TƯỢNG'!A:E,5,0),"")</f>
        <v>21 Lê Đại Hành, Hồng Bàng, Hải Phòng</v>
      </c>
      <c r="G520" t="str">
        <f>_xlfn.IFNA(VLOOKUP(Table1[[#This Row],[Tên đối tượng]],'DANH MỤC ĐỐI TƯỢNG'!A:F,6,0),"")</f>
        <v>0200139961</v>
      </c>
      <c r="H520" t="str">
        <f>_xlfn.IFNA(VLOOKUP(Table1[[#This Row],[Tên đối tượng]],'DANH MỤC ĐỐI TƯỢNG'!A:I,9,0),"")</f>
        <v>Kho bạc nhà nước Hải Phòng</v>
      </c>
      <c r="I520" t="str">
        <f>_xlfn.IFNA(VLOOKUP(Table1[[#This Row],[Tên đối tượng]],'DANH MỤC ĐỐI TƯỢNG'!A:J,10,0),"")</f>
        <v>3511, cấp NS 2. Mã ĐVQHNS 1070297</v>
      </c>
    </row>
    <row r="521" spans="1:9" x14ac:dyDescent="0.3">
      <c r="A521">
        <v>518</v>
      </c>
      <c r="B521" t="s">
        <v>1014</v>
      </c>
      <c r="C521" t="s">
        <v>1015</v>
      </c>
      <c r="D521" t="str">
        <f t="shared" si="16"/>
        <v>518. V10337</v>
      </c>
      <c r="E521" s="5" t="str">
        <f t="shared" ca="1" si="17"/>
        <v>Trường trung cấp Khu kinh tế Hải phòng</v>
      </c>
      <c r="F521" t="str">
        <f>IFERROR(VLOOKUP(Table1[[#This Row],[Tên đối tượng]],'DANH MỤC ĐỐI TƯỢNG'!A:E,5,0),"")</f>
        <v>Số 1, đường Bạch đằng, Thị trấn Núi đèo, h.Thủy nguyên, TP Hải phòng</v>
      </c>
      <c r="G521">
        <f>_xlfn.IFNA(VLOOKUP(Table1[[#This Row],[Tên đối tượng]],'DANH MỤC ĐỐI TƯỢNG'!A:F,6,0),"")</f>
        <v>0</v>
      </c>
      <c r="H521" t="str">
        <f>_xlfn.IFNA(VLOOKUP(Table1[[#This Row],[Tên đối tượng]],'DANH MỤC ĐỐI TƯỢNG'!A:I,9,0),"")</f>
        <v>Ngân hàng TMCP Công thương Việt Nam - CN Lê chân</v>
      </c>
      <c r="I521" t="str">
        <f>_xlfn.IFNA(VLOOKUP(Table1[[#This Row],[Tên đối tượng]],'DANH MỤC ĐỐI TƯỢNG'!A:J,10,0),"")</f>
        <v>117000162165</v>
      </c>
    </row>
    <row r="522" spans="1:9" x14ac:dyDescent="0.3">
      <c r="A522">
        <v>519</v>
      </c>
      <c r="B522" t="s">
        <v>1016</v>
      </c>
      <c r="C522" t="s">
        <v>1017</v>
      </c>
      <c r="D522" t="str">
        <f t="shared" si="16"/>
        <v>519. V20116</v>
      </c>
      <c r="E522" s="5" t="str">
        <f t="shared" ca="1" si="17"/>
        <v>TSUBAKIMOTO KOGYO CO., LTD</v>
      </c>
      <c r="F522" t="str">
        <f>IFERROR(VLOOKUP(Table1[[#This Row],[Tên đối tượng]],'DANH MỤC ĐỐI TƯỢNG'!A:E,5,0),"")</f>
        <v>OSAKA UMEDA BLDG., 3-3-20,27th FL., MEIJI YASUDA LIFEUMEDA KITA-KU,OSAKA 530-0001, JAPAN</v>
      </c>
      <c r="G522">
        <f>_xlfn.IFNA(VLOOKUP(Table1[[#This Row],[Tên đối tượng]],'DANH MỤC ĐỐI TƯỢNG'!A:F,6,0),"")</f>
        <v>0</v>
      </c>
      <c r="H522">
        <f>_xlfn.IFNA(VLOOKUP(Table1[[#This Row],[Tên đối tượng]],'DANH MỤC ĐỐI TƯỢNG'!A:I,9,0),"")</f>
        <v>0</v>
      </c>
      <c r="I522">
        <f>_xlfn.IFNA(VLOOKUP(Table1[[#This Row],[Tên đối tượng]],'DANH MỤC ĐỐI TƯỢNG'!A:J,10,0),"")</f>
        <v>0</v>
      </c>
    </row>
    <row r="523" spans="1:9" x14ac:dyDescent="0.3">
      <c r="A523">
        <v>520</v>
      </c>
      <c r="B523" t="s">
        <v>1018</v>
      </c>
      <c r="C523" t="s">
        <v>1019</v>
      </c>
      <c r="D523" t="str">
        <f t="shared" si="16"/>
        <v>520. V20029</v>
      </c>
      <c r="E523" s="5" t="str">
        <f t="shared" ca="1" si="17"/>
        <v>Ube Industries, Ltd</v>
      </c>
      <c r="F523" t="str">
        <f>IFERROR(VLOOKUP(Table1[[#This Row],[Tên đối tượng]],'DANH MỤC ĐỐI TƯỢNG'!A:E,5,0),"")</f>
        <v>Seavans North Building,1-2-1, Shibaura, Minato-Ku, Tokyo 105-8449, Japan</v>
      </c>
      <c r="G523">
        <f>_xlfn.IFNA(VLOOKUP(Table1[[#This Row],[Tên đối tượng]],'DANH MỤC ĐỐI TƯỢNG'!A:F,6,0),"")</f>
        <v>0</v>
      </c>
      <c r="H523" t="str">
        <f>_xlfn.IFNA(VLOOKUP(Table1[[#This Row],[Tên đối tượng]],'DANH MỤC ĐỐI TƯỢNG'!A:I,9,0),"")</f>
        <v>The Bank Of Tokyo -Mitsubishi UFJ Ltd. Tokyo Main Office</v>
      </c>
      <c r="I523" t="str">
        <f>_xlfn.IFNA(VLOOKUP(Table1[[#This Row],[Tên đối tượng]],'DANH MỤC ĐỐI TƯỢNG'!A:J,10,0),"")</f>
        <v>0004208</v>
      </c>
    </row>
    <row r="524" spans="1:9" x14ac:dyDescent="0.3">
      <c r="A524">
        <v>521</v>
      </c>
      <c r="B524" t="s">
        <v>1020</v>
      </c>
      <c r="C524" t="s">
        <v>2097</v>
      </c>
      <c r="D524" t="str">
        <f t="shared" si="16"/>
        <v>521. V20107</v>
      </c>
      <c r="E524" s="5" t="str">
        <f t="shared" ca="1" si="17"/>
        <v>ULVAC Singapore PTE LTD</v>
      </c>
      <c r="F524" t="str">
        <f>IFERROR(VLOOKUP(Table1[[#This Row],[Tên đối tượng]],'DANH MỤC ĐỐI TƯỢNG'!A:E,5,0),"")</f>
        <v>92 Tampines Biz-Hub #02-08, 11 Tampines Street, Singapore</v>
      </c>
      <c r="G524">
        <f>_xlfn.IFNA(VLOOKUP(Table1[[#This Row],[Tên đối tượng]],'DANH MỤC ĐỐI TƯỢNG'!A:F,6,0),"")</f>
        <v>0</v>
      </c>
      <c r="H524" t="str">
        <f>_xlfn.IFNA(VLOOKUP(Table1[[#This Row],[Tên đối tượng]],'DANH MỤC ĐỐI TƯỢNG'!A:I,9,0),"")</f>
        <v>SUMITOMO MITSUI  BANKING CORPORATION</v>
      </c>
      <c r="I524" t="str">
        <f>_xlfn.IFNA(VLOOKUP(Table1[[#This Row],[Tên đối tượng]],'DANH MỤC ĐỐI TƯỢNG'!A:J,10,0),"")</f>
        <v>1695951-1</v>
      </c>
    </row>
    <row r="525" spans="1:9" x14ac:dyDescent="0.3">
      <c r="A525">
        <v>522</v>
      </c>
      <c r="B525" t="s">
        <v>1021</v>
      </c>
      <c r="C525" t="s">
        <v>1022</v>
      </c>
      <c r="D525" t="str">
        <f t="shared" si="16"/>
        <v>522. V20023</v>
      </c>
      <c r="E525" s="5" t="str">
        <f t="shared" ca="1" si="17"/>
        <v>Valqua Industries (Thailand), Ltd.</v>
      </c>
      <c r="F525" t="str">
        <f>IFERROR(VLOOKUP(Table1[[#This Row],[Tên đối tượng]],'DANH MỤC ĐỐI TƯỢNG'!A:E,5,0),"")</f>
        <v>538 Moo 4 Bangpoo Industrial Estate, Pattana2 Road, Muang District, Samutprakarn 10280</v>
      </c>
      <c r="G525">
        <f>_xlfn.IFNA(VLOOKUP(Table1[[#This Row],[Tên đối tượng]],'DANH MỤC ĐỐI TƯỢNG'!A:F,6,0),"")</f>
        <v>0</v>
      </c>
      <c r="H525" t="str">
        <f>_xlfn.IFNA(VLOOKUP(Table1[[#This Row],[Tên đối tượng]],'DANH MỤC ĐỐI TƯỢNG'!A:I,9,0),"")</f>
        <v>The Sumitomo Mitsui Banking Corporation , Bangkok Branch</v>
      </c>
      <c r="I525" t="str">
        <f>_xlfn.IFNA(VLOOKUP(Table1[[#This Row],[Tên đối tượng]],'DANH MỤC ĐỐI TƯỢNG'!A:J,10,0),"")</f>
        <v>2035649671</v>
      </c>
    </row>
    <row r="526" spans="1:9" x14ac:dyDescent="0.3">
      <c r="A526">
        <v>523</v>
      </c>
      <c r="B526" t="s">
        <v>1023</v>
      </c>
      <c r="C526" t="s">
        <v>1024</v>
      </c>
      <c r="D526" t="str">
        <f t="shared" si="16"/>
        <v>523. V10101</v>
      </c>
      <c r="E526" s="5" t="str">
        <f t="shared" ca="1" si="17"/>
        <v>VIỆN ĐO LƯỜNG VIỆT NAM</v>
      </c>
      <c r="F526" t="str">
        <f>IFERROR(VLOOKUP(Table1[[#This Row],[Tên đối tượng]],'DANH MỤC ĐỐI TƯỢNG'!A:E,5,0),"")</f>
        <v>Số 8 Hoàng Quốc Việt, phường Nghĩa Đô, quận Cầu Giấy, thành phố Hà Nội</v>
      </c>
      <c r="G526" t="str">
        <f>_xlfn.IFNA(VLOOKUP(Table1[[#This Row],[Tên đối tượng]],'DANH MỤC ĐỐI TƯỢNG'!A:F,6,0),"")</f>
        <v>0100407085</v>
      </c>
      <c r="H526" t="str">
        <f>_xlfn.IFNA(VLOOKUP(Table1[[#This Row],[Tên đối tượng]],'DANH MỤC ĐỐI TƯỢNG'!A:I,9,0),"")</f>
        <v>Chi nhánh Ngân hàng Nông nghiệp và Phát triển nông thôn Tây Đô</v>
      </c>
      <c r="I526" t="str">
        <f>_xlfn.IFNA(VLOOKUP(Table1[[#This Row],[Tên đối tượng]],'DANH MỤC ĐỐI TƯỢNG'!A:J,10,0),"")</f>
        <v>14624311.20.000089</v>
      </c>
    </row>
    <row r="527" spans="1:9" x14ac:dyDescent="0.3">
      <c r="A527">
        <v>524</v>
      </c>
      <c r="B527" t="s">
        <v>1025</v>
      </c>
      <c r="C527" t="s">
        <v>1026</v>
      </c>
      <c r="D527" t="str">
        <f t="shared" si="16"/>
        <v>524. V10278</v>
      </c>
      <c r="E527" s="5" t="str">
        <f t="shared" ca="1" si="17"/>
        <v>Viện y học biển</v>
      </c>
      <c r="F527" t="str">
        <f>IFERROR(VLOOKUP(Table1[[#This Row],[Tên đối tượng]],'DANH MỤC ĐỐI TƯỢNG'!A:E,5,0),"")</f>
        <v>Võ Nguyên Giáp, P.Kênh Dương, Lê chân, Hải phòng</v>
      </c>
      <c r="G527">
        <f>_xlfn.IFNA(VLOOKUP(Table1[[#This Row],[Tên đối tượng]],'DANH MỤC ĐỐI TƯỢNG'!A:F,6,0),"")</f>
        <v>0</v>
      </c>
      <c r="H527" t="str">
        <f>_xlfn.IFNA(VLOOKUP(Table1[[#This Row],[Tên đối tượng]],'DANH MỤC ĐỐI TƯỢNG'!A:I,9,0),"")</f>
        <v>Ngân hàng NNPT NT Hải Phòng</v>
      </c>
      <c r="I527" t="str">
        <f>_xlfn.IFNA(VLOOKUP(Table1[[#This Row],[Tên đối tượng]],'DANH MỤC ĐỐI TƯỢNG'!A:J,10,0),"")</f>
        <v>2100311000042</v>
      </c>
    </row>
    <row r="528" spans="1:9" x14ac:dyDescent="0.3">
      <c r="A528">
        <v>525</v>
      </c>
      <c r="B528" t="s">
        <v>1027</v>
      </c>
      <c r="C528" t="s">
        <v>1028</v>
      </c>
      <c r="D528" t="str">
        <f t="shared" si="16"/>
        <v>525. V20074</v>
      </c>
      <c r="E528" s="5" t="str">
        <f t="shared" ca="1" si="17"/>
        <v>Wire Automatic Device Co.,Ltd</v>
      </c>
      <c r="F528" t="str">
        <f>IFERROR(VLOOKUP(Table1[[#This Row],[Tên đối tượng]],'DANH MỤC ĐỐI TƯỢNG'!A:E,5,0),"")</f>
        <v>1-9-27, Jokoji, Amagasaki-shi, Hyogo-ken 660-0811, Japan</v>
      </c>
      <c r="G528">
        <f>_xlfn.IFNA(VLOOKUP(Table1[[#This Row],[Tên đối tượng]],'DANH MỤC ĐỐI TƯỢNG'!A:F,6,0),"")</f>
        <v>0</v>
      </c>
      <c r="H528" t="str">
        <f>_xlfn.IFNA(VLOOKUP(Table1[[#This Row],[Tên đối tượng]],'DANH MỤC ĐỐI TƯỢNG'!A:I,9,0),"")</f>
        <v>The Sumitomo Mitsui Banking Corporation - Utajimabashi Branch</v>
      </c>
      <c r="I528" t="str">
        <f>_xlfn.IFNA(VLOOKUP(Table1[[#This Row],[Tên đối tượng]],'DANH MỤC ĐỐI TƯỢNG'!A:J,10,0),"")</f>
        <v>299102</v>
      </c>
    </row>
    <row r="529" spans="1:9" x14ac:dyDescent="0.3">
      <c r="A529">
        <v>526</v>
      </c>
      <c r="B529" t="s">
        <v>1029</v>
      </c>
      <c r="C529" t="s">
        <v>1030</v>
      </c>
      <c r="D529" t="str">
        <f t="shared" si="16"/>
        <v>526. V20123</v>
      </c>
      <c r="E529" s="5" t="str">
        <f t="shared" ca="1" si="17"/>
        <v>YAMAZEN CORPORATION</v>
      </c>
      <c r="F529" t="str">
        <f>IFERROR(VLOOKUP(Table1[[#This Row],[Tên đối tượng]],'DANH MỤC ĐỐI TƯỢNG'!A:E,5,0),"")</f>
        <v>2-3-16 Itachibori, Nishi-ku, Osaka 550-8660 Japan</v>
      </c>
      <c r="G529">
        <f>_xlfn.IFNA(VLOOKUP(Table1[[#This Row],[Tên đối tượng]],'DANH MỤC ĐỐI TƯỢNG'!A:F,6,0),"")</f>
        <v>0</v>
      </c>
      <c r="H529" t="str">
        <f>_xlfn.IFNA(VLOOKUP(Table1[[#This Row],[Tên đối tượng]],'DANH MỤC ĐỐI TƯỢNG'!A:I,9,0),"")</f>
        <v>Sumitomo Mitsui banking corporation / SENBA</v>
      </c>
      <c r="I529" t="str">
        <f>_xlfn.IFNA(VLOOKUP(Table1[[#This Row],[Tên đối tượng]],'DANH MỤC ĐỐI TƯỢNG'!A:J,10,0),"")</f>
        <v>289271</v>
      </c>
    </row>
    <row r="530" spans="1:9" x14ac:dyDescent="0.3">
      <c r="A530">
        <v>527</v>
      </c>
      <c r="B530" t="s">
        <v>1031</v>
      </c>
      <c r="C530" t="s">
        <v>1032</v>
      </c>
      <c r="D530" t="str">
        <f t="shared" si="16"/>
        <v>527. V20104</v>
      </c>
      <c r="E530" s="5" t="str">
        <f t="shared" ca="1" si="17"/>
        <v>Yuasa Trading Co.,Ltd</v>
      </c>
      <c r="F530" t="str">
        <f>IFERROR(VLOOKUP(Table1[[#This Row],[Tên đối tượng]],'DANH MỤC ĐỐI TƯỢNG'!A:E,5,0),"")</f>
        <v>13-10 Nihombashi - Odenmacho, Chuo-ku, Tokyo 103-8570 Japan</v>
      </c>
      <c r="G530">
        <f>_xlfn.IFNA(VLOOKUP(Table1[[#This Row],[Tên đối tượng]],'DANH MỤC ĐỐI TƯỢNG'!A:F,6,0),"")</f>
        <v>0</v>
      </c>
      <c r="H530" t="str">
        <f>_xlfn.IFNA(VLOOKUP(Table1[[#This Row],[Tên đối tượng]],'DANH MỤC ĐỐI TƯỢNG'!A:I,9,0),"")</f>
        <v>SUMITOMO MITSUI  BANKING CORPORATION- NINGYOCHO BRANCH</v>
      </c>
      <c r="I530" t="str">
        <f>_xlfn.IFNA(VLOOKUP(Table1[[#This Row],[Tên đối tượng]],'DANH MỤC ĐỐI TƯỢNG'!A:J,10,0),"")</f>
        <v>8701219</v>
      </c>
    </row>
    <row r="531" spans="1:9" x14ac:dyDescent="0.3">
      <c r="A531">
        <v>528</v>
      </c>
      <c r="B531" t="s">
        <v>1033</v>
      </c>
      <c r="C531" t="s">
        <v>1034</v>
      </c>
      <c r="D531" t="str">
        <f t="shared" si="16"/>
        <v>528. V4025C0</v>
      </c>
      <c r="E531" s="5" t="str">
        <f t="shared" ca="1" si="17"/>
        <v>Công ty TNHH Mai Linh Hải Phòng</v>
      </c>
      <c r="F531" t="str">
        <f>IFERROR(VLOOKUP(Table1[[#This Row],[Tên đối tượng]],'DANH MỤC ĐỐI TƯỢNG'!A:E,5,0),"")</f>
        <v>Đường 14 cũ, KDC Phú Hải, Anh Dũng, Dương Kinh, Hải Phòng</v>
      </c>
      <c r="G531">
        <f>_xlfn.IFNA(VLOOKUP(Table1[[#This Row],[Tên đối tượng]],'DANH MỤC ĐỐI TƯỢNG'!A:F,6,0),"")</f>
        <v>0</v>
      </c>
      <c r="H531">
        <f>_xlfn.IFNA(VLOOKUP(Table1[[#This Row],[Tên đối tượng]],'DANH MỤC ĐỐI TƯỢNG'!A:I,9,0),"")</f>
        <v>0</v>
      </c>
      <c r="I531">
        <f>_xlfn.IFNA(VLOOKUP(Table1[[#This Row],[Tên đối tượng]],'DANH MỤC ĐỐI TƯỢNG'!A:J,10,0),"")</f>
        <v>0</v>
      </c>
    </row>
    <row r="532" spans="1:9" x14ac:dyDescent="0.3">
      <c r="A532">
        <v>529</v>
      </c>
      <c r="B532" t="s">
        <v>1035</v>
      </c>
      <c r="C532" t="s">
        <v>1036</v>
      </c>
      <c r="D532" t="str">
        <f t="shared" si="16"/>
        <v>529. V4021C0</v>
      </c>
      <c r="E532" s="5" t="str">
        <f t="shared" ca="1" si="17"/>
        <v>Công ty TNHH ĐTPT Thương mại Dịch vụ Ánh Dương</v>
      </c>
      <c r="F532" t="str">
        <f>IFERROR(VLOOKUP(Table1[[#This Row],[Tên đối tượng]],'DANH MỤC ĐỐI TƯỢNG'!A:E,5,0),"")</f>
        <v>Thôn Bấc (tại nhà bà Trần Thị Yến), xã Phục Lễ, huyện Thủy Nguyên, TP.Hải Phòng</v>
      </c>
      <c r="G532" t="str">
        <f>_xlfn.IFNA(VLOOKUP(Table1[[#This Row],[Tên đối tượng]],'DANH MỤC ĐỐI TƯỢNG'!A:F,6,0),"")</f>
        <v>0201582083</v>
      </c>
      <c r="H532" t="str">
        <f>_xlfn.IFNA(VLOOKUP(Table1[[#This Row],[Tên đối tượng]],'DANH MỤC ĐỐI TƯỢNG'!A:I,9,0),"")</f>
        <v>Agribank - CN Ngũ Lão, Hải Phòng</v>
      </c>
      <c r="I532" t="str">
        <f>_xlfn.IFNA(VLOOKUP(Table1[[#This Row],[Tên đối tượng]],'DANH MỤC ĐỐI TƯỢNG'!A:J,10,0),"")</f>
        <v>2115201001127</v>
      </c>
    </row>
    <row r="533" spans="1:9" x14ac:dyDescent="0.3">
      <c r="A533">
        <v>530</v>
      </c>
      <c r="B533" t="s">
        <v>1037</v>
      </c>
      <c r="C533" t="s">
        <v>1038</v>
      </c>
      <c r="D533" t="str">
        <f t="shared" si="16"/>
        <v>530. V4060C0</v>
      </c>
      <c r="E533" s="5" t="str">
        <f t="shared" ca="1" si="17"/>
        <v>Công ty Luật TNHH Nishimura &amp; Asahi Việt Nam</v>
      </c>
      <c r="F533" t="str">
        <f>IFERROR(VLOOKUP(Table1[[#This Row],[Tên đối tượng]],'DANH MỤC ĐỐI TƯỢNG'!A:E,5,0),"")</f>
        <v>Suite 607, tòa nhà 63 Lý Thái Tổ, P. Tràng Tiền, Q. Hoàn Kiếm, TP. Hà Nội</v>
      </c>
      <c r="G533" t="str">
        <f>_xlfn.IFNA(VLOOKUP(Table1[[#This Row],[Tên đối tượng]],'DANH MỤC ĐỐI TƯỢNG'!A:F,6,0),"")</f>
        <v>0105486468</v>
      </c>
      <c r="H533" t="str">
        <f>_xlfn.IFNA(VLOOKUP(Table1[[#This Row],[Tên đối tượng]],'DANH MỤC ĐỐI TƯỢNG'!A:I,9,0),"")</f>
        <v>Mizuho Bank, Ltd - CN Hà Nội</v>
      </c>
      <c r="I533" t="str">
        <f>_xlfn.IFNA(VLOOKUP(Table1[[#This Row],[Tên đối tượng]],'DANH MỤC ĐỐI TƯỢNG'!A:J,10,0),"")</f>
        <v>H15-795-009734</v>
      </c>
    </row>
    <row r="534" spans="1:9" x14ac:dyDescent="0.3">
      <c r="A534">
        <v>531</v>
      </c>
      <c r="B534" t="s">
        <v>1039</v>
      </c>
      <c r="C534" t="s">
        <v>1040</v>
      </c>
      <c r="D534" t="str">
        <f t="shared" si="16"/>
        <v>531. V4003C0</v>
      </c>
      <c r="E534" s="5" t="str">
        <f t="shared" ca="1" si="17"/>
        <v>Công ty Cổ phần Đầu tư và Du lịch LV</v>
      </c>
      <c r="F534" t="str">
        <f>IFERROR(VLOOKUP(Table1[[#This Row],[Tên đối tượng]],'DANH MỤC ĐỐI TƯỢNG'!A:E,5,0),"")</f>
        <v>Số 71 Lạch Tray, phường Lạch Tray, quận Ngô Quyền, Hải Phòng</v>
      </c>
      <c r="G534" t="str">
        <f>_xlfn.IFNA(VLOOKUP(Table1[[#This Row],[Tên đối tượng]],'DANH MỤC ĐỐI TƯỢNG'!A:F,6,0),"")</f>
        <v>0201019307</v>
      </c>
      <c r="H534" t="str">
        <f>_xlfn.IFNA(VLOOKUP(Table1[[#This Row],[Tên đối tượng]],'DANH MỤC ĐỐI TƯỢNG'!A:I,9,0),"")</f>
        <v>Ngân hàng TMCP Ngoại thương Việt Nam - CN Hải Phòng</v>
      </c>
      <c r="I534" t="str">
        <f>_xlfn.IFNA(VLOOKUP(Table1[[#This Row],[Tên đối tượng]],'DANH MỤC ĐỐI TƯỢNG'!A:J,10,0),"")</f>
        <v>0031 000 121 619</v>
      </c>
    </row>
    <row r="535" spans="1:9" x14ac:dyDescent="0.3">
      <c r="A535">
        <v>532</v>
      </c>
      <c r="B535" t="s">
        <v>1041</v>
      </c>
      <c r="C535" t="s">
        <v>1042</v>
      </c>
      <c r="D535" t="str">
        <f t="shared" si="16"/>
        <v>532. V10397</v>
      </c>
      <c r="E535" s="5" t="str">
        <f t="shared" ca="1" si="17"/>
        <v>Công Ty Cổ Phần Công Nghệ Thẻ Nacencomm</v>
      </c>
      <c r="F535" t="str">
        <f>IFERROR(VLOOKUP(Table1[[#This Row],[Tên đối tượng]],'DANH MỤC ĐỐI TƯỢNG'!A:E,5,0),"")</f>
        <v>Tầng 5, Số 2 Chùa Bộc, Phường Trung Tự, Quận Đống Đa, TP.Hà Nội, Việt Nam</v>
      </c>
      <c r="G535">
        <f>_xlfn.IFNA(VLOOKUP(Table1[[#This Row],[Tên đối tượng]],'DANH MỤC ĐỐI TƯỢNG'!A:F,6,0),"")</f>
        <v>0</v>
      </c>
      <c r="H535" t="str">
        <f>_xlfn.IFNA(VLOOKUP(Table1[[#This Row],[Tên đối tượng]],'DANH MỤC ĐỐI TƯỢNG'!A:I,9,0),"")</f>
        <v>ngân hàng Techcombank, CN Thăng Long, PGD Kim Liên</v>
      </c>
      <c r="I535" t="str">
        <f>_xlfn.IFNA(VLOOKUP(Table1[[#This Row],[Tên đối tượng]],'DANH MỤC ĐỐI TƯỢNG'!A:J,10,0),"")</f>
        <v>10321656622015</v>
      </c>
    </row>
    <row r="536" spans="1:9" x14ac:dyDescent="0.3">
      <c r="A536">
        <v>533</v>
      </c>
      <c r="B536" t="s">
        <v>1043</v>
      </c>
      <c r="C536" t="s">
        <v>1044</v>
      </c>
      <c r="D536" t="str">
        <f t="shared" si="16"/>
        <v>533. V4002C0</v>
      </c>
      <c r="E536" s="5" t="str">
        <f t="shared" ca="1" si="17"/>
        <v>Công ty Cổ phần Công nghệ Môi trường An Sinh</v>
      </c>
      <c r="F536" t="str">
        <f>IFERROR(VLOOKUP(Table1[[#This Row],[Tên đối tượng]],'DANH MỤC ĐỐI TƯỢNG'!A:E,5,0),"")</f>
        <v>Thôn Phong Lâm, xã Hoàng Diệu, huyện Gia Lộc, tỉnh Hải Dương</v>
      </c>
      <c r="G536" t="str">
        <f>_xlfn.IFNA(VLOOKUP(Table1[[#This Row],[Tên đối tượng]],'DANH MỤC ĐỐI TƯỢNG'!A:F,6,0),"")</f>
        <v>0800754983</v>
      </c>
      <c r="H536" t="str">
        <f>_xlfn.IFNA(VLOOKUP(Table1[[#This Row],[Tên đối tượng]],'DANH MỤC ĐỐI TƯỢNG'!A:I,9,0),"")</f>
        <v>Ngân hàng thương mại cổ phần Ngoại thương Việt Nam - Chi nhánh Hải Dương</v>
      </c>
      <c r="I536" t="str">
        <f>_xlfn.IFNA(VLOOKUP(Table1[[#This Row],[Tên đối tượng]],'DANH MỤC ĐỐI TƯỢNG'!A:J,10,0),"")</f>
        <v>0341006990138</v>
      </c>
    </row>
    <row r="537" spans="1:9" x14ac:dyDescent="0.3">
      <c r="A537">
        <v>534</v>
      </c>
      <c r="B537" t="s">
        <v>1045</v>
      </c>
      <c r="C537" t="s">
        <v>1046</v>
      </c>
      <c r="D537" t="str">
        <f t="shared" si="16"/>
        <v>534. V4035C0</v>
      </c>
      <c r="E537" s="5" t="str">
        <f t="shared" ca="1" si="17"/>
        <v>Trung tâm Dịch vụ việc làm Khu kinh tế Hải Phòng</v>
      </c>
      <c r="F537" t="str">
        <f>IFERROR(VLOOKUP(Table1[[#This Row],[Tên đối tượng]],'DANH MỤC ĐỐI TƯỢNG'!A:E,5,0),"")</f>
        <v>24 Cù Chính Lan, Hồng Bàng, Hải Phòng</v>
      </c>
      <c r="G537" t="str">
        <f>_xlfn.IFNA(VLOOKUP(Table1[[#This Row],[Tên đối tượng]],'DANH MỤC ĐỐI TƯỢNG'!A:F,6,0),"")</f>
        <v>0200355803-001</v>
      </c>
      <c r="H537" t="str">
        <f>_xlfn.IFNA(VLOOKUP(Table1[[#This Row],[Tên đối tượng]],'DANH MỤC ĐỐI TƯỢNG'!A:I,9,0),"")</f>
        <v>Ngân hàng TMCP Công thương Việt Nam - CN Hồng Bàng</v>
      </c>
      <c r="I537" t="str">
        <f>_xlfn.IFNA(VLOOKUP(Table1[[#This Row],[Tên đối tượng]],'DANH MỤC ĐỐI TƯỢNG'!A:J,10,0),"")</f>
        <v>116000009878</v>
      </c>
    </row>
    <row r="538" spans="1:9" x14ac:dyDescent="0.3">
      <c r="A538">
        <v>535</v>
      </c>
      <c r="B538" t="s">
        <v>1047</v>
      </c>
      <c r="C538" t="s">
        <v>1048</v>
      </c>
      <c r="D538" t="str">
        <f t="shared" si="16"/>
        <v>535. V4029C0</v>
      </c>
      <c r="E538" s="5" t="str">
        <f t="shared" ca="1" si="17"/>
        <v>Công ty TNHH Trang Thành</v>
      </c>
      <c r="F538" t="str">
        <f>IFERROR(VLOOKUP(Table1[[#This Row],[Tên đối tượng]],'DANH MỤC ĐỐI TƯỢNG'!A:E,5,0),"")</f>
        <v>Số 119 Nguyễn Đức Cảnh, Phường Cát Dài, Hải Phòng</v>
      </c>
      <c r="G538">
        <f>_xlfn.IFNA(VLOOKUP(Table1[[#This Row],[Tên đối tượng]],'DANH MỤC ĐỐI TƯỢNG'!A:F,6,0),"")</f>
        <v>0</v>
      </c>
      <c r="H538">
        <f>_xlfn.IFNA(VLOOKUP(Table1[[#This Row],[Tên đối tượng]],'DANH MỤC ĐỐI TƯỢNG'!A:I,9,0),"")</f>
        <v>0</v>
      </c>
      <c r="I538">
        <f>_xlfn.IFNA(VLOOKUP(Table1[[#This Row],[Tên đối tượng]],'DANH MỤC ĐỐI TƯỢNG'!A:J,10,0),"")</f>
        <v>0</v>
      </c>
    </row>
    <row r="539" spans="1:9" x14ac:dyDescent="0.3">
      <c r="A539">
        <v>536</v>
      </c>
      <c r="B539" t="s">
        <v>1049</v>
      </c>
      <c r="C539" t="s">
        <v>6878</v>
      </c>
      <c r="D539" t="str">
        <f t="shared" si="16"/>
        <v>536. V4006C0</v>
      </c>
      <c r="E539" s="5" t="str">
        <f t="shared" ca="1" si="17"/>
        <v>Công ty Cổ phần Xây dựng số 3 Hải Phòng</v>
      </c>
      <c r="F539" t="str">
        <f>IFERROR(VLOOKUP(Table1[[#This Row],[Tên đối tượng]],'DANH MỤC ĐỐI TƯỢNG'!A:E,5,0),"")</f>
        <v>Tầng 3, Tòa nhà Htower II, Số 195 Văn Cao, Phường Đằng Giang, Q. Ngô Quyền, TP. Hải Phòng</v>
      </c>
      <c r="G539" t="str">
        <f>_xlfn.IFNA(VLOOKUP(Table1[[#This Row],[Tên đối tượng]],'DANH MỤC ĐỐI TƯỢNG'!A:F,6,0),"")</f>
        <v>0200509429</v>
      </c>
      <c r="H539" t="str">
        <f>_xlfn.IFNA(VLOOKUP(Table1[[#This Row],[Tên đối tượng]],'DANH MỤC ĐỐI TƯỢNG'!A:I,9,0),"")</f>
        <v>Ngân hàng TMCP Kỹ thương Việt Nam - CN Hải Phòng</v>
      </c>
      <c r="I539" t="str">
        <f>_xlfn.IFNA(VLOOKUP(Table1[[#This Row],[Tên đối tượng]],'DANH MỤC ĐỐI TƯỢNG'!A:J,10,0),"")</f>
        <v>109 109 017 950 15</v>
      </c>
    </row>
    <row r="540" spans="1:9" x14ac:dyDescent="0.3">
      <c r="A540">
        <v>537</v>
      </c>
      <c r="B540" t="s">
        <v>1050</v>
      </c>
      <c r="C540" t="s">
        <v>1051</v>
      </c>
      <c r="D540" t="str">
        <f t="shared" si="16"/>
        <v>537. V4013C0</v>
      </c>
      <c r="E540" s="5" t="str">
        <f t="shared" ca="1" si="17"/>
        <v>Công ty Liên doanh làng Quốc tế Hướng Dương GS-HP</v>
      </c>
      <c r="F540" t="str">
        <f>IFERROR(VLOOKUP(Table1[[#This Row],[Tên đối tượng]],'DANH MỤC ĐỐI TƯỢNG'!A:E,5,0),"")</f>
        <v>Số 35A, Văn Cao, Ngô Quyền, Hải Phòng</v>
      </c>
      <c r="G540">
        <f>_xlfn.IFNA(VLOOKUP(Table1[[#This Row],[Tên đối tượng]],'DANH MỤC ĐỐI TƯỢNG'!A:F,6,0),"")</f>
        <v>0</v>
      </c>
      <c r="H540">
        <f>_xlfn.IFNA(VLOOKUP(Table1[[#This Row],[Tên đối tượng]],'DANH MỤC ĐỐI TƯỢNG'!A:I,9,0),"")</f>
        <v>0</v>
      </c>
      <c r="I540">
        <f>_xlfn.IFNA(VLOOKUP(Table1[[#This Row],[Tên đối tượng]],'DANH MỤC ĐỐI TƯỢNG'!A:J,10,0),"")</f>
        <v>0</v>
      </c>
    </row>
    <row r="541" spans="1:9" x14ac:dyDescent="0.3">
      <c r="A541">
        <v>538</v>
      </c>
      <c r="B541" t="s">
        <v>1052</v>
      </c>
      <c r="C541" t="s">
        <v>1053</v>
      </c>
      <c r="D541" t="str">
        <f t="shared" si="16"/>
        <v>538. V4085C0</v>
      </c>
      <c r="E541" s="5" t="str">
        <f t="shared" ca="1" si="17"/>
        <v>HRnet One (Guangzhou) Limited</v>
      </c>
      <c r="F541" t="str">
        <f>IFERROR(VLOOKUP(Table1[[#This Row],[Tên đối tượng]],'DANH MỤC ĐỐI TƯỢNG'!A:E,5,0),"")</f>
        <v>Unit 3809 Guangzhou International Finance Center No5 West Zhujiang Road, Tianhe District, Guangzhou 510623 P R China</v>
      </c>
      <c r="G541">
        <f>_xlfn.IFNA(VLOOKUP(Table1[[#This Row],[Tên đối tượng]],'DANH MỤC ĐỐI TƯỢNG'!A:F,6,0),"")</f>
        <v>0</v>
      </c>
      <c r="H541" t="str">
        <f>_xlfn.IFNA(VLOOKUP(Table1[[#This Row],[Tên đối tượng]],'DANH MỤC ĐỐI TƯỢNG'!A:I,9,0),"")</f>
        <v>HSBC BANK (CHINA) COMPANY LIMITED- GUANGZHOU BRANCH</v>
      </c>
      <c r="I541" t="str">
        <f>_xlfn.IFNA(VLOOKUP(Table1[[#This Row],[Tên đối tượng]],'DANH MỤC ĐỐI TƯỢNG'!A:J,10,0),"")</f>
        <v>629-016999-001</v>
      </c>
    </row>
    <row r="542" spans="1:9" x14ac:dyDescent="0.3">
      <c r="A542">
        <v>539</v>
      </c>
      <c r="B542" t="s">
        <v>1054</v>
      </c>
      <c r="C542" t="s">
        <v>1055</v>
      </c>
      <c r="D542" t="str">
        <f t="shared" si="16"/>
        <v>539. V4059C0</v>
      </c>
      <c r="E542" s="5" t="str">
        <f t="shared" ca="1" si="17"/>
        <v>CN Công ty Cổ Phần Navigos Group Việt Nam</v>
      </c>
      <c r="F542" t="str">
        <f>IFERROR(VLOOKUP(Table1[[#This Row],[Tên đối tượng]],'DANH MỤC ĐỐI TƯỢNG'!A:E,5,0),"")</f>
        <v>Tầng 7 tòa nhà V-building, 125-127 Bà Triệu, P. Nguyễn Du, Q. Hai Bà Trưng, Hà Nội</v>
      </c>
      <c r="G542" t="str">
        <f>_xlfn.IFNA(VLOOKUP(Table1[[#This Row],[Tên đối tượng]],'DANH MỤC ĐỐI TƯỢNG'!A:F,6,0),"")</f>
        <v>0304836029-001</v>
      </c>
      <c r="H542" t="str">
        <f>_xlfn.IFNA(VLOOKUP(Table1[[#This Row],[Tên đối tượng]],'DANH MỤC ĐỐI TƯỢNG'!A:I,9,0),"")</f>
        <v>Ngân hàng Citibank NA - CN Hà Nội</v>
      </c>
      <c r="I542" t="str">
        <f>_xlfn.IFNA(VLOOKUP(Table1[[#This Row],[Tên đối tượng]],'DANH MỤC ĐỐI TƯỢNG'!A:J,10,0),"")</f>
        <v>0201870003</v>
      </c>
    </row>
    <row r="543" spans="1:9" x14ac:dyDescent="0.3">
      <c r="A543">
        <v>540</v>
      </c>
      <c r="B543" t="s">
        <v>1056</v>
      </c>
      <c r="C543" t="s">
        <v>4494</v>
      </c>
      <c r="D543" t="str">
        <f t="shared" si="16"/>
        <v>540. V4039C0</v>
      </c>
      <c r="E543" s="5" t="str">
        <f t="shared" ca="1" si="17"/>
        <v>Công ty TNHH Thương Mại và Dịch Vụ Du lịch Hải Thành</v>
      </c>
      <c r="F543" t="str">
        <f>IFERROR(VLOOKUP(Table1[[#This Row],[Tên đối tượng]],'DANH MỤC ĐỐI TƯỢNG'!A:E,5,0),"")</f>
        <v>Số 17/4 Phù Đổng, Hoàng Văn Thụ, Minh Khai, Hồng Bàng, Hải Phòng</v>
      </c>
      <c r="G543">
        <f>_xlfn.IFNA(VLOOKUP(Table1[[#This Row],[Tên đối tượng]],'DANH MỤC ĐỐI TƯỢNG'!A:F,6,0),"")</f>
        <v>0</v>
      </c>
      <c r="H543" t="str">
        <f>_xlfn.IFNA(VLOOKUP(Table1[[#This Row],[Tên đối tượng]],'DANH MỤC ĐỐI TƯỢNG'!A:I,9,0),"")</f>
        <v>Techcombank - CN Hải Phòng</v>
      </c>
      <c r="I543" t="str">
        <f>_xlfn.IFNA(VLOOKUP(Table1[[#This Row],[Tên đối tượng]],'DANH MỤC ĐỐI TƯỢNG'!A:J,10,0),"")</f>
        <v>109 20 59 59 59 012</v>
      </c>
    </row>
    <row r="544" spans="1:9" x14ac:dyDescent="0.3">
      <c r="A544">
        <v>541</v>
      </c>
      <c r="B544" t="s">
        <v>1057</v>
      </c>
      <c r="C544" t="s">
        <v>1058</v>
      </c>
      <c r="D544" t="str">
        <f t="shared" si="16"/>
        <v>541. V4034C0</v>
      </c>
      <c r="E544" s="5" t="str">
        <f t="shared" ca="1" si="17"/>
        <v>Trung tâm Chính trị Huyện An Dương</v>
      </c>
      <c r="F544" t="str">
        <f>IFERROR(VLOOKUP(Table1[[#This Row],[Tên đối tượng]],'DANH MỤC ĐỐI TƯỢNG'!A:E,5,0),"")</f>
        <v>Số 184, tổ 4, thị trấn An Dương, huyện An Dương, Hải Phòng</v>
      </c>
      <c r="G544">
        <f>_xlfn.IFNA(VLOOKUP(Table1[[#This Row],[Tên đối tượng]],'DANH MỤC ĐỐI TƯỢNG'!A:F,6,0),"")</f>
        <v>0</v>
      </c>
      <c r="H544" t="str">
        <f>_xlfn.IFNA(VLOOKUP(Table1[[#This Row],[Tên đối tượng]],'DANH MỤC ĐỐI TƯỢNG'!A:I,9,0),"")</f>
        <v>Kho bạc Nhà nước An Dương</v>
      </c>
      <c r="I544" t="str">
        <f>_xlfn.IFNA(VLOOKUP(Table1[[#This Row],[Tên đối tượng]],'DANH MỤC ĐỐI TƯỢNG'!A:J,10,0),"")</f>
        <v>3713.0.1067946</v>
      </c>
    </row>
    <row r="545" spans="1:9" x14ac:dyDescent="0.3">
      <c r="A545">
        <v>542</v>
      </c>
      <c r="B545" t="s">
        <v>1059</v>
      </c>
      <c r="C545" t="s">
        <v>1060</v>
      </c>
      <c r="D545" t="str">
        <f t="shared" si="16"/>
        <v>542. V4000C0</v>
      </c>
      <c r="E545" s="5" t="str">
        <f t="shared" ca="1" si="17"/>
        <v>Bệnh viện đa khoa Lê Chân</v>
      </c>
      <c r="F545" t="str">
        <f>IFERROR(VLOOKUP(Table1[[#This Row],[Tên đối tượng]],'DANH MỤC ĐỐI TƯỢNG'!A:E,5,0),"")</f>
        <v>169 Tô Hiệu, Lê Chân, Hải Phòng</v>
      </c>
      <c r="G545">
        <f>_xlfn.IFNA(VLOOKUP(Table1[[#This Row],[Tên đối tượng]],'DANH MỤC ĐỐI TƯỢNG'!A:F,6,0),"")</f>
        <v>0</v>
      </c>
      <c r="H545" t="str">
        <f>_xlfn.IFNA(VLOOKUP(Table1[[#This Row],[Tên đối tượng]],'DANH MỤC ĐỐI TƯỢNG'!A:I,9,0),"")</f>
        <v>Ngân Hàng Thương mại Cổ Phần Công Thương - Chi Nhánh Lê Chân</v>
      </c>
      <c r="I545" t="str">
        <f>_xlfn.IFNA(VLOOKUP(Table1[[#This Row],[Tên đối tượng]],'DANH MỤC ĐỐI TƯỢNG'!A:J,10,0),"")</f>
        <v>102010001243642</v>
      </c>
    </row>
    <row r="546" spans="1:9" x14ac:dyDescent="0.3">
      <c r="A546">
        <v>543</v>
      </c>
      <c r="B546" t="s">
        <v>1061</v>
      </c>
      <c r="C546" t="s">
        <v>1062</v>
      </c>
      <c r="D546" t="str">
        <f t="shared" si="16"/>
        <v>543. V4032C0</v>
      </c>
      <c r="E546" s="5" t="str">
        <f t="shared" ca="1" si="17"/>
        <v>Hoàng Văn Quang</v>
      </c>
      <c r="F546" t="str">
        <f>IFERROR(VLOOKUP(Table1[[#This Row],[Tên đối tượng]],'DANH MỤC ĐỐI TƯỢNG'!A:E,5,0),"")</f>
        <v>Thôn 5, xã Thủy Sơn, huyện Thủy Nguyên, thành phố Hải Phòng</v>
      </c>
      <c r="G546">
        <f>_xlfn.IFNA(VLOOKUP(Table1[[#This Row],[Tên đối tượng]],'DANH MỤC ĐỐI TƯỢNG'!A:F,6,0),"")</f>
        <v>0</v>
      </c>
      <c r="H546" t="str">
        <f>_xlfn.IFNA(VLOOKUP(Table1[[#This Row],[Tên đối tượng]],'DANH MỤC ĐỐI TƯỢNG'!A:I,9,0),"")</f>
        <v>Ngân hàng Nông nghiệp và phát triển nông thôn-huyện Thủy Nguyên</v>
      </c>
      <c r="I546" t="str">
        <f>_xlfn.IFNA(VLOOKUP(Table1[[#This Row],[Tên đối tượng]],'DANH MỤC ĐỐI TƯỢNG'!A:J,10,0),"")</f>
        <v>2105205052478</v>
      </c>
    </row>
    <row r="547" spans="1:9" x14ac:dyDescent="0.3">
      <c r="A547">
        <v>544</v>
      </c>
      <c r="B547" t="s">
        <v>1063</v>
      </c>
      <c r="C547" t="s">
        <v>1064</v>
      </c>
      <c r="D547" t="str">
        <f t="shared" si="16"/>
        <v>544. V4031C0</v>
      </c>
      <c r="E547" s="5" t="str">
        <f t="shared" ca="1" si="17"/>
        <v>Cửa hàng Long Anh</v>
      </c>
      <c r="F547" t="str">
        <f>IFERROR(VLOOKUP(Table1[[#This Row],[Tên đối tượng]],'DANH MỤC ĐỐI TƯỢNG'!A:E,5,0),"")</f>
        <v>Tổ 11, phường Hòa Nghĩa, quận Dương Kinh, thành phố Hải Phòng</v>
      </c>
      <c r="G547" t="str">
        <f>_xlfn.IFNA(VLOOKUP(Table1[[#This Row],[Tên đối tượng]],'DANH MỤC ĐỐI TƯỢNG'!A:F,6,0),"")</f>
        <v>8104100772</v>
      </c>
      <c r="H547" t="str">
        <f>_xlfn.IFNA(VLOOKUP(Table1[[#This Row],[Tên đối tượng]],'DANH MỤC ĐỐI TƯỢNG'!A:I,9,0),"")</f>
        <v>VPBank - CN Hải Phòng</v>
      </c>
      <c r="I547" t="str">
        <f>_xlfn.IFNA(VLOOKUP(Table1[[#This Row],[Tên đối tượng]],'DANH MỤC ĐỐI TƯỢNG'!A:J,10,0),"")</f>
        <v>38643746</v>
      </c>
    </row>
    <row r="548" spans="1:9" x14ac:dyDescent="0.3">
      <c r="A548">
        <v>545</v>
      </c>
      <c r="B548" t="s">
        <v>1065</v>
      </c>
      <c r="C548" t="s">
        <v>1066</v>
      </c>
      <c r="D548" t="str">
        <f t="shared" si="16"/>
        <v>545. V4028C0</v>
      </c>
      <c r="E548" s="5" t="str">
        <f t="shared" ca="1" si="17"/>
        <v>Công Ty TNHH Thương mại và Dịch Vụ V-Shine</v>
      </c>
      <c r="F548" t="str">
        <f>IFERROR(VLOOKUP(Table1[[#This Row],[Tên đối tượng]],'DANH MỤC ĐỐI TƯỢNG'!A:E,5,0),"")</f>
        <v>Xóm mới (tại nhà ông Vũ Văn Việt), Xã Hồng Thái, Huyện An Dương, Thành phố Hải Phòng, Việt Nam</v>
      </c>
      <c r="G548" t="str">
        <f>_xlfn.IFNA(VLOOKUP(Table1[[#This Row],[Tên đối tượng]],'DANH MỤC ĐỐI TƯỢNG'!A:F,6,0),"")</f>
        <v>0201309327</v>
      </c>
      <c r="H548" t="str">
        <f>_xlfn.IFNA(VLOOKUP(Table1[[#This Row],[Tên đối tượng]],'DANH MỤC ĐỐI TƯỢNG'!A:I,9,0),"")</f>
        <v>Ngân hàng TMCP Đông Á - Phòng Giao dịch Hồng Bàng</v>
      </c>
      <c r="I548" t="str">
        <f>_xlfn.IFNA(VLOOKUP(Table1[[#This Row],[Tên đối tượng]],'DANH MỤC ĐỐI TƯỢNG'!A:J,10,0),"")</f>
        <v>012242460001</v>
      </c>
    </row>
    <row r="549" spans="1:9" x14ac:dyDescent="0.3">
      <c r="A549">
        <v>546</v>
      </c>
      <c r="B549" t="s">
        <v>1067</v>
      </c>
      <c r="C549" t="s">
        <v>1068</v>
      </c>
      <c r="D549" t="str">
        <f t="shared" si="16"/>
        <v>546. V4038C0</v>
      </c>
      <c r="E549" s="5" t="str">
        <f t="shared" ca="1" si="17"/>
        <v>Công ty Cổ phần Thương Mại Du Lịch và Dịch vụ Kuroba</v>
      </c>
      <c r="F549" t="str">
        <f>IFERROR(VLOOKUP(Table1[[#This Row],[Tên đối tượng]],'DANH MỤC ĐỐI TƯỢNG'!A:E,5,0),"")</f>
        <v>Số 73/161 Phố Cấm, Gia Viên, Ngô Quyền, Hải Phòng</v>
      </c>
      <c r="G549" t="str">
        <f>_xlfn.IFNA(VLOOKUP(Table1[[#This Row],[Tên đối tượng]],'DANH MỤC ĐỐI TƯỢNG'!A:F,6,0),"")</f>
        <v>0201232748</v>
      </c>
      <c r="H549" t="str">
        <f>_xlfn.IFNA(VLOOKUP(Table1[[#This Row],[Tên đối tượng]],'DANH MỤC ĐỐI TƯỢNG'!A:I,9,0),"")</f>
        <v>Ngân hàng TMCP Bưu điện Liên Việt - CN Hải Phòng</v>
      </c>
      <c r="I549" t="str">
        <f>_xlfn.IFNA(VLOOKUP(Table1[[#This Row],[Tên đối tượng]],'DANH MỤC ĐỐI TƯỢNG'!A:J,10,0),"")</f>
        <v>001423319999</v>
      </c>
    </row>
    <row r="550" spans="1:9" x14ac:dyDescent="0.3">
      <c r="A550">
        <v>547</v>
      </c>
      <c r="B550" t="s">
        <v>1069</v>
      </c>
      <c r="C550" t="s">
        <v>1070</v>
      </c>
      <c r="D550" t="str">
        <f t="shared" si="16"/>
        <v>547. V4070C0</v>
      </c>
      <c r="E550" s="5" t="str">
        <f t="shared" ca="1" si="17"/>
        <v>Công ty TNHH Wellbe Việt Nam</v>
      </c>
      <c r="F550" t="str">
        <f>IFERROR(VLOOKUP(Table1[[#This Row],[Tên đối tượng]],'DANH MỤC ĐỐI TƯỢNG'!A:E,5,0),"")</f>
        <v>Tầng 5, Tòa nhà Sun red river, 23 Phan Chu Trinh, Q.Hoàn Kiếm, Hà nội</v>
      </c>
      <c r="G550" t="str">
        <f>_xlfn.IFNA(VLOOKUP(Table1[[#This Row],[Tên đối tượng]],'DANH MỤC ĐỐI TƯỢNG'!A:F,6,0),"")</f>
        <v>0104035254</v>
      </c>
      <c r="H550" t="str">
        <f>_xlfn.IFNA(VLOOKUP(Table1[[#This Row],[Tên đối tượng]],'DANH MỤC ĐỐI TƯỢNG'!A:I,9,0),"")</f>
        <v>Mizuho bank, Ltd Hanoi Branch</v>
      </c>
      <c r="I550" t="str">
        <f>_xlfn.IFNA(VLOOKUP(Table1[[#This Row],[Tên đối tượng]],'DANH MỤC ĐỐI TƯỢNG'!A:J,10,0),"")</f>
        <v>H15-795-018806 VND\F15-795-016236 (USD)</v>
      </c>
    </row>
    <row r="551" spans="1:9" x14ac:dyDescent="0.3">
      <c r="A551">
        <v>548</v>
      </c>
      <c r="B551" t="s">
        <v>1071</v>
      </c>
      <c r="C551" t="s">
        <v>1072</v>
      </c>
      <c r="D551" t="str">
        <f t="shared" si="16"/>
        <v>548. V10378</v>
      </c>
      <c r="E551" s="5" t="str">
        <f t="shared" ca="1" si="17"/>
        <v>CÔNG TY TNHH SNC TÍN PHÁT</v>
      </c>
      <c r="F551" t="str">
        <f>IFERROR(VLOOKUP(Table1[[#This Row],[Tên đối tượng]],'DANH MỤC ĐỐI TƯỢNG'!A:E,5,0),"")</f>
        <v>Số 17 Ngách 230/21,Tổ dân phố số 3- Thượng, Phường Mễ Trì, Quận Nam Từ Liêm, Thành phố Hà Nội</v>
      </c>
      <c r="G551">
        <f>_xlfn.IFNA(VLOOKUP(Table1[[#This Row],[Tên đối tượng]],'DANH MỤC ĐỐI TƯỢNG'!A:F,6,0),"")</f>
        <v>0</v>
      </c>
      <c r="H551" t="str">
        <f>_xlfn.IFNA(VLOOKUP(Table1[[#This Row],[Tên đối tượng]],'DANH MỤC ĐỐI TƯỢNG'!A:I,9,0),"")</f>
        <v>NH TMCP đầu tư và phát triển Việt Nam (BIDV)- Sở giao dịch 3</v>
      </c>
      <c r="I551" t="str">
        <f>_xlfn.IFNA(VLOOKUP(Table1[[#This Row],[Tên đối tượng]],'DANH MỤC ĐỐI TƯỢNG'!A:J,10,0),"")</f>
        <v>16010000081126</v>
      </c>
    </row>
    <row r="552" spans="1:9" x14ac:dyDescent="0.3">
      <c r="A552">
        <v>549</v>
      </c>
      <c r="B552" t="s">
        <v>1073</v>
      </c>
      <c r="C552" t="s">
        <v>1074</v>
      </c>
      <c r="D552" t="str">
        <f t="shared" si="16"/>
        <v>549. V4045C0</v>
      </c>
      <c r="E552" s="5" t="str">
        <f t="shared" ca="1" si="17"/>
        <v>Trung tâm kiểm định kỹ thuật an toàn Hải phòng</v>
      </c>
      <c r="F552" t="str">
        <f>IFERROR(VLOOKUP(Table1[[#This Row],[Tên đối tượng]],'DANH MỤC ĐỐI TƯỢNG'!A:E,5,0),"")</f>
        <v>Số 2 đường Nguyễn Sơn Hà, Phường Vĩnh Niệm, Quận Lê Chân, TP Hải Phòng</v>
      </c>
      <c r="G552" t="str">
        <f>_xlfn.IFNA(VLOOKUP(Table1[[#This Row],[Tên đối tượng]],'DANH MỤC ĐỐI TƯỢNG'!A:F,6,0),"")</f>
        <v>0200809278</v>
      </c>
      <c r="H552" t="str">
        <f>_xlfn.IFNA(VLOOKUP(Table1[[#This Row],[Tên đối tượng]],'DANH MỤC ĐỐI TƯỢNG'!A:I,9,0),"")</f>
        <v>Ngân Hàng Thương Mại Cổ Phần Hàng Hải- chi nhánh Hải Phòng</v>
      </c>
      <c r="I552" t="str">
        <f>_xlfn.IFNA(VLOOKUP(Table1[[#This Row],[Tên đối tượng]],'DANH MỤC ĐỐI TƯỢNG'!A:J,10,0),"")</f>
        <v>02001010051093</v>
      </c>
    </row>
    <row r="553" spans="1:9" x14ac:dyDescent="0.3">
      <c r="A553">
        <v>550</v>
      </c>
      <c r="B553" t="s">
        <v>1075</v>
      </c>
      <c r="C553" t="s">
        <v>7199</v>
      </c>
      <c r="D553" t="str">
        <f t="shared" si="16"/>
        <v>550. V10381</v>
      </c>
      <c r="E553" s="5" t="str">
        <f t="shared" ca="1" si="17"/>
        <v>Công ty cổ phần sản xuất và thương mại 3TK</v>
      </c>
      <c r="F553" t="str">
        <f>IFERROR(VLOOKUP(Table1[[#This Row],[Tên đối tượng]],'DANH MỤC ĐỐI TƯỢNG'!A:E,5,0),"")</f>
        <v>Số 22 ngõ 181 Trường Chinh, Phường Khương Mai, Quận Thanh Xuân, Thành phố Hà Nội, Việt Nam</v>
      </c>
      <c r="G553">
        <f>_xlfn.IFNA(VLOOKUP(Table1[[#This Row],[Tên đối tượng]],'DANH MỤC ĐỐI TƯỢNG'!A:F,6,0),"")</f>
        <v>0</v>
      </c>
      <c r="H553" t="str">
        <f>_xlfn.IFNA(VLOOKUP(Table1[[#This Row],[Tên đối tượng]],'DANH MỤC ĐỐI TƯỢNG'!A:I,9,0),"")</f>
        <v>Ngân hàng TMCP kỹ thương Việt Nam-chi nhánh Thăng Long, Hà Nội</v>
      </c>
      <c r="I553" t="str">
        <f>_xlfn.IFNA(VLOOKUP(Table1[[#This Row],[Tên đối tượng]],'DANH MỤC ĐỐI TƯỢNG'!A:J,10,0),"")</f>
        <v>10321660084011</v>
      </c>
    </row>
    <row r="554" spans="1:9" x14ac:dyDescent="0.3">
      <c r="A554">
        <v>551</v>
      </c>
      <c r="B554" t="s">
        <v>1076</v>
      </c>
      <c r="C554" t="s">
        <v>4807</v>
      </c>
      <c r="D554" t="str">
        <f t="shared" si="16"/>
        <v>551. V10371</v>
      </c>
      <c r="E554" s="5" t="str">
        <f t="shared" ca="1" si="17"/>
        <v>Công ty TNHH thiết bị công nghiệp và tự động hóa AUMI</v>
      </c>
      <c r="F554" t="str">
        <f>IFERROR(VLOOKUP(Table1[[#This Row],[Tên đối tượng]],'DANH MỤC ĐỐI TƯỢNG'!A:E,5,0),"")</f>
        <v>B44, Lô nhà vườn, Khu đô thị Việt Hưng, Phường Giang Biên, Quận Long Biên,Thành Phố Hà Nội, Việt Nam</v>
      </c>
      <c r="G554">
        <f>_xlfn.IFNA(VLOOKUP(Table1[[#This Row],[Tên đối tượng]],'DANH MỤC ĐỐI TƯỢNG'!A:F,6,0),"")</f>
        <v>0</v>
      </c>
      <c r="H554" t="str">
        <f>_xlfn.IFNA(VLOOKUP(Table1[[#This Row],[Tên đối tượng]],'DANH MỤC ĐỐI TƯỢNG'!A:I,9,0),"")</f>
        <v>NH thương mại cổ phần đầu tư và phát triển Việt Nam-CN Cầu Giấy</v>
      </c>
      <c r="I554" t="str">
        <f>_xlfn.IFNA(VLOOKUP(Table1[[#This Row],[Tên đối tượng]],'DANH MỤC ĐỐI TƯỢNG'!A:J,10,0),"")</f>
        <v>2151.00000.18831</v>
      </c>
    </row>
    <row r="555" spans="1:9" x14ac:dyDescent="0.3">
      <c r="A555">
        <v>552</v>
      </c>
      <c r="B555" t="s">
        <v>1077</v>
      </c>
      <c r="C555" t="s">
        <v>1078</v>
      </c>
      <c r="D555" t="str">
        <f t="shared" si="16"/>
        <v>552. V10386</v>
      </c>
      <c r="E555" s="5" t="str">
        <f t="shared" ca="1" si="17"/>
        <v>Công Ty TNHH phát triển thương mại Hoàng Sơn</v>
      </c>
      <c r="F555" t="str">
        <f>IFERROR(VLOOKUP(Table1[[#This Row],[Tên đối tượng]],'DANH MỤC ĐỐI TƯỢNG'!A:E,5,0),"")</f>
        <v>Số 4/30, Tổ 15, Phường Lãm Hà, Quận Kiến An, Thành phố Hải Phòng</v>
      </c>
      <c r="G555">
        <f>_xlfn.IFNA(VLOOKUP(Table1[[#This Row],[Tên đối tượng]],'DANH MỤC ĐỐI TƯỢNG'!A:F,6,0),"")</f>
        <v>0</v>
      </c>
      <c r="H555" t="str">
        <f>_xlfn.IFNA(VLOOKUP(Table1[[#This Row],[Tên đối tượng]],'DANH MỤC ĐỐI TƯỢNG'!A:I,9,0),"")</f>
        <v>Vietin bank / Lê Chân</v>
      </c>
      <c r="I555" t="str">
        <f>_xlfn.IFNA(VLOOKUP(Table1[[#This Row],[Tên đối tượng]],'DANH MỤC ĐỐI TƯỢNG'!A:J,10,0),"")</f>
        <v>113000173025</v>
      </c>
    </row>
    <row r="556" spans="1:9" x14ac:dyDescent="0.3">
      <c r="A556">
        <v>553</v>
      </c>
      <c r="B556" t="s">
        <v>1079</v>
      </c>
      <c r="C556" t="s">
        <v>1080</v>
      </c>
      <c r="D556" t="str">
        <f t="shared" si="16"/>
        <v>553. V10393</v>
      </c>
      <c r="E556" s="5" t="str">
        <f t="shared" ca="1" si="17"/>
        <v>Công ty TNHH VNHR</v>
      </c>
      <c r="F556" t="str">
        <f>IFERROR(VLOOKUP(Table1[[#This Row],[Tên đối tượng]],'DANH MỤC ĐỐI TƯỢNG'!A:E,5,0),"")</f>
        <v>Số 12M, Đường Nguyễn Thị Minh Khai, Phường Đa Kao, Quận 1,Thành phố Hồ Chí Minh</v>
      </c>
      <c r="G556">
        <f>_xlfn.IFNA(VLOOKUP(Table1[[#This Row],[Tên đối tượng]],'DANH MỤC ĐỐI TƯỢNG'!A:F,6,0),"")</f>
        <v>0</v>
      </c>
      <c r="H556" t="str">
        <f>_xlfn.IFNA(VLOOKUP(Table1[[#This Row],[Tên đối tượng]],'DANH MỤC ĐỐI TƯỢNG'!A:I,9,0),"")</f>
        <v>Vietcombank / Kỳ đồng</v>
      </c>
      <c r="I556" t="str">
        <f>_xlfn.IFNA(VLOOKUP(Table1[[#This Row],[Tên đối tượng]],'DANH MỤC ĐỐI TƯỢNG'!A:J,10,0),"")</f>
        <v>0721000590998</v>
      </c>
    </row>
    <row r="557" spans="1:9" x14ac:dyDescent="0.3">
      <c r="A557">
        <v>554</v>
      </c>
      <c r="B557" t="s">
        <v>1081</v>
      </c>
      <c r="C557" t="s">
        <v>1082</v>
      </c>
      <c r="D557" t="str">
        <f t="shared" si="16"/>
        <v>554. V10391</v>
      </c>
      <c r="E557" s="5" t="str">
        <f t="shared" ca="1" si="17"/>
        <v>Công ty cổ phần thiết bị khoa học kỹ thuật Tân Phong</v>
      </c>
      <c r="F557" t="str">
        <f>IFERROR(VLOOKUP(Table1[[#This Row],[Tên đối tượng]],'DANH MỤC ĐỐI TƯỢNG'!A:E,5,0),"")</f>
        <v>37 Đường 44, Phường 10, Quận 6, TP. HCM</v>
      </c>
      <c r="G557">
        <f>_xlfn.IFNA(VLOOKUP(Table1[[#This Row],[Tên đối tượng]],'DANH MỤC ĐỐI TƯỢNG'!A:F,6,0),"")</f>
        <v>0</v>
      </c>
      <c r="H557" t="str">
        <f>_xlfn.IFNA(VLOOKUP(Table1[[#This Row],[Tên đối tượng]],'DANH MỤC ĐỐI TƯỢNG'!A:I,9,0),"")</f>
        <v>Ngân hàng thương mại cổ phần Á Châu, Chi nhánh Tân Phú</v>
      </c>
      <c r="I557" t="str">
        <f>_xlfn.IFNA(VLOOKUP(Table1[[#This Row],[Tên đối tượng]],'DANH MỤC ĐỐI TƯỢNG'!A:J,10,0),"")</f>
        <v>40526619</v>
      </c>
    </row>
    <row r="558" spans="1:9" x14ac:dyDescent="0.3">
      <c r="A558">
        <v>555</v>
      </c>
      <c r="B558" t="s">
        <v>1083</v>
      </c>
      <c r="C558" t="s">
        <v>1084</v>
      </c>
      <c r="D558" t="str">
        <f t="shared" si="16"/>
        <v>555. V10396</v>
      </c>
      <c r="E558" s="5" t="str">
        <f t="shared" ca="1" si="17"/>
        <v>Công ty Cổ phần SOS Môi Trường</v>
      </c>
      <c r="F558" t="str">
        <f>IFERROR(VLOOKUP(Table1[[#This Row],[Tên đối tượng]],'DANH MỤC ĐỐI TƯỢNG'!A:E,5,0),"")</f>
        <v>P103 nhà A5 làng quốc tế Thăng Long, đường Trần Đăng Ninh, Phường Dịch Vọng, Quận Cầu Giấy, Thành phố Hà Nội</v>
      </c>
      <c r="G558">
        <f>_xlfn.IFNA(VLOOKUP(Table1[[#This Row],[Tên đối tượng]],'DANH MỤC ĐỐI TƯỢNG'!A:F,6,0),"")</f>
        <v>0</v>
      </c>
      <c r="H558" t="str">
        <f>_xlfn.IFNA(VLOOKUP(Table1[[#This Row],[Tên đối tượng]],'DANH MỤC ĐỐI TƯỢNG'!A:I,9,0),"")</f>
        <v>Ngân hàng TMCP đầu tư và phát triển Việt Nam, CN Thăng Long</v>
      </c>
      <c r="I558">
        <f>_xlfn.IFNA(VLOOKUP(Table1[[#This Row],[Tên đối tượng]],'DANH MỤC ĐỐI TƯỢNG'!A:J,10,0),"")</f>
        <v>0</v>
      </c>
    </row>
    <row r="559" spans="1:9" x14ac:dyDescent="0.3">
      <c r="A559">
        <v>556</v>
      </c>
      <c r="B559" t="s">
        <v>1085</v>
      </c>
      <c r="C559" t="s">
        <v>1086</v>
      </c>
      <c r="D559" t="str">
        <f t="shared" si="16"/>
        <v>556. V10389</v>
      </c>
      <c r="E559" s="5" t="str">
        <f t="shared" ca="1" si="17"/>
        <v>Chi nhánh Công ty TNHH Standard Units Supply Việt Nam tại Hải Phòng</v>
      </c>
      <c r="F559" t="str">
        <f>IFERROR(VLOOKUP(Table1[[#This Row],[Tên đối tượng]],'DANH MỤC ĐỐI TƯỢNG'!A:E,5,0),"")</f>
        <v>Nhà xưởng X5, Khu nhà xưởng cho thuê Hải Thành, quận Dương Kinh, thành phố Hải Phòng, VN</v>
      </c>
      <c r="G559">
        <f>_xlfn.IFNA(VLOOKUP(Table1[[#This Row],[Tên đối tượng]],'DANH MỤC ĐỐI TƯỢNG'!A:F,6,0),"")</f>
        <v>0</v>
      </c>
      <c r="H559" t="str">
        <f>_xlfn.IFNA(VLOOKUP(Table1[[#This Row],[Tên đối tượng]],'DANH MỤC ĐỐI TƯỢNG'!A:I,9,0),"")</f>
        <v>MIZUHO CORPORATE BANK., LTD / Hà Nội</v>
      </c>
      <c r="I559" t="str">
        <f>_xlfn.IFNA(VLOOKUP(Table1[[#This Row],[Tên đối tượng]],'DANH MỤC ĐỐI TƯỢNG'!A:J,10,0),"")</f>
        <v>H15-795-015971</v>
      </c>
    </row>
    <row r="560" spans="1:9" x14ac:dyDescent="0.3">
      <c r="A560">
        <v>557</v>
      </c>
      <c r="B560" t="s">
        <v>1087</v>
      </c>
      <c r="C560" t="s">
        <v>1088</v>
      </c>
      <c r="D560" t="str">
        <f t="shared" si="16"/>
        <v>557. V4030C0</v>
      </c>
      <c r="E560" s="5" t="str">
        <f t="shared" ca="1" si="17"/>
        <v>Công ty TNHH tư vấn thuế Deloitte Việt Nam</v>
      </c>
      <c r="F560" t="str">
        <f>IFERROR(VLOOKUP(Table1[[#This Row],[Tên đối tượng]],'DANH MỤC ĐỐI TƯỢNG'!A:E,5,0),"")</f>
        <v>Tầng 15, Tòa nhà Vinaconex, Số 34 Láng Hạ, P.Láng Hạ, Q. Đống Đa, TP.Hà Nội</v>
      </c>
      <c r="G560" t="str">
        <f>_xlfn.IFNA(VLOOKUP(Table1[[#This Row],[Tên đối tượng]],'DANH MỤC ĐỐI TƯỢNG'!A:F,6,0),"")</f>
        <v>0103921690</v>
      </c>
      <c r="H560" t="str">
        <f>_xlfn.IFNA(VLOOKUP(Table1[[#This Row],[Tên đối tượng]],'DANH MỤC ĐỐI TƯỢNG'!A:I,9,0),"")</f>
        <v>ANZ Bank (Viet nam) Limited - Chi nhánh TP. Hồ Chí Minh</v>
      </c>
      <c r="I560" t="str">
        <f>_xlfn.IFNA(VLOOKUP(Table1[[#This Row],[Tên đối tượng]],'DANH MỤC ĐỐI TƯỢNG'!A:J,10,0),"")</f>
        <v>9383754</v>
      </c>
    </row>
    <row r="561" spans="1:9" x14ac:dyDescent="0.3">
      <c r="A561">
        <v>558</v>
      </c>
      <c r="B561" t="s">
        <v>1089</v>
      </c>
      <c r="C561" t="s">
        <v>1090</v>
      </c>
      <c r="D561" t="str">
        <f t="shared" si="16"/>
        <v>558. V4020C0</v>
      </c>
      <c r="E561" s="5" t="str">
        <f t="shared" ca="1" si="17"/>
        <v>Công ty TNHH Kiểm toán Deloitte Việt Nam</v>
      </c>
      <c r="F561" t="str">
        <f>IFERROR(VLOOKUP(Table1[[#This Row],[Tên đối tượng]],'DANH MỤC ĐỐI TƯỢNG'!A:E,5,0),"")</f>
        <v>Tầng 15, Tòa nhà Vinaconex, số 34 Láng Hạ, Láng Hạ, Đống Đa, Hà nội</v>
      </c>
      <c r="G561" t="str">
        <f>_xlfn.IFNA(VLOOKUP(Table1[[#This Row],[Tên đối tượng]],'DANH MỤC ĐỐI TƯỢNG'!A:F,6,0),"")</f>
        <v>0100112500</v>
      </c>
      <c r="H561" t="str">
        <f>_xlfn.IFNA(VLOOKUP(Table1[[#This Row],[Tên đối tượng]],'DANH MỤC ĐỐI TƯỢNG'!A:I,9,0),"")</f>
        <v>Ngân hàng TNHH MTV ANZ (Việt Nam)-CN TP Hồ Chí Minh</v>
      </c>
      <c r="I561" t="str">
        <f>_xlfn.IFNA(VLOOKUP(Table1[[#This Row],[Tên đối tượng]],'DANH MỤC ĐỐI TƯỢNG'!A:J,10,0),"")</f>
        <v>9373597</v>
      </c>
    </row>
    <row r="562" spans="1:9" x14ac:dyDescent="0.3">
      <c r="A562">
        <v>559</v>
      </c>
      <c r="B562" t="s">
        <v>1091</v>
      </c>
      <c r="C562" t="s">
        <v>1092</v>
      </c>
      <c r="D562" t="str">
        <f t="shared" si="16"/>
        <v>559. V4019C0</v>
      </c>
      <c r="E562" s="5" t="str">
        <f ca="1">IF(B562&lt;&gt;"",HYPERLINK($A$2&amp;D562,C562),"")</f>
        <v>Công ty TNHH Deloitte consulting Việt Nam</v>
      </c>
      <c r="F562" t="str">
        <f>IFERROR(VLOOKUP(Table1[[#This Row],[Tên đối tượng]],'DANH MỤC ĐỐI TƯỢNG'!A:E,5,0),"")</f>
        <v>Số 2, đường Ngô Đức Kế, P.Bến Nghé, Q1, TP.HCM</v>
      </c>
      <c r="G562" t="str">
        <f>_xlfn.IFNA(VLOOKUP(Table1[[#This Row],[Tên đối tượng]],'DANH MỤC ĐỐI TƯỢNG'!A:F,6,0),"")</f>
        <v>0311985511</v>
      </c>
      <c r="H562" t="str">
        <f>_xlfn.IFNA(VLOOKUP(Table1[[#This Row],[Tên đối tượng]],'DANH MỤC ĐỐI TƯỢNG'!A:I,9,0),"")</f>
        <v>HSBC Bank (Viet Nam) Ltd</v>
      </c>
      <c r="I562" t="str">
        <f>_xlfn.IFNA(VLOOKUP(Table1[[#This Row],[Tên đối tượng]],'DANH MỤC ĐỐI TƯỢNG'!A:J,10,0),"")</f>
        <v>091-164541-001</v>
      </c>
    </row>
    <row r="563" spans="1:9" x14ac:dyDescent="0.3">
      <c r="A563">
        <v>560</v>
      </c>
      <c r="B563" t="s">
        <v>1093</v>
      </c>
      <c r="C563" t="s">
        <v>1094</v>
      </c>
      <c r="D563" t="str">
        <f t="shared" si="16"/>
        <v>560. V10298</v>
      </c>
      <c r="E563" s="5" t="str">
        <f t="shared" ca="1" si="17"/>
        <v>Công ty cổ phần công nghệ sinh học Thông Minh</v>
      </c>
      <c r="F563" t="str">
        <f>IFERROR(VLOOKUP(Table1[[#This Row],[Tên đối tượng]],'DANH MỤC ĐỐI TƯỢNG'!A:E,5,0),"")</f>
        <v>Tầng 4, Số 26, Nguyễn Văn Ngọc, Phường Cống Vị, Quận Ba Đình, Hà Nội</v>
      </c>
      <c r="G563" t="str">
        <f>_xlfn.IFNA(VLOOKUP(Table1[[#This Row],[Tên đối tượng]],'DANH MỤC ĐỐI TƯỢNG'!A:F,6,0),"")</f>
        <v>0102718209</v>
      </c>
      <c r="H563" t="str">
        <f>_xlfn.IFNA(VLOOKUP(Table1[[#This Row],[Tên đối tượng]],'DANH MỤC ĐỐI TƯỢNG'!A:I,9,0),"")</f>
        <v>Ngân hàng TMCP Việt Nam Thịnh Vượng - chi nhánh Láng Hạ</v>
      </c>
      <c r="I563" t="str">
        <f>_xlfn.IFNA(VLOOKUP(Table1[[#This Row],[Tên đối tượng]],'DANH MỤC ĐỐI TƯỢNG'!A:J,10,0),"")</f>
        <v>43991086</v>
      </c>
    </row>
    <row r="564" spans="1:9" x14ac:dyDescent="0.3">
      <c r="A564">
        <v>561</v>
      </c>
      <c r="B564" t="s">
        <v>1095</v>
      </c>
      <c r="C564" t="s">
        <v>1096</v>
      </c>
      <c r="D564" t="str">
        <f t="shared" si="16"/>
        <v>561. V10400</v>
      </c>
      <c r="E564" s="5" t="str">
        <f t="shared" ca="1" si="17"/>
        <v>Chi nhánh Công ty TNHH Pasona Tech Việt Nam tại Hà Nội</v>
      </c>
      <c r="F564" t="str">
        <f>IFERROR(VLOOKUP(Table1[[#This Row],[Tên đối tượng]],'DANH MỤC ĐỐI TƯỢNG'!A:E,5,0),"")</f>
        <v>P.904, tầng 9, tòa nhà Pacific Place, số 83B Lý Thường Kiệt, phường Trần Hưng Đạo, quận Hoàn Kiếm, thành phố Hà Nội, Việt Nam</v>
      </c>
      <c r="G564">
        <f>_xlfn.IFNA(VLOOKUP(Table1[[#This Row],[Tên đối tượng]],'DANH MỤC ĐỐI TƯỢNG'!A:F,6,0),"")</f>
        <v>0</v>
      </c>
      <c r="H564" t="str">
        <f>_xlfn.IFNA(VLOOKUP(Table1[[#This Row],[Tên đối tượng]],'DANH MỤC ĐỐI TƯỢNG'!A:I,9,0),"")</f>
        <v>Ngân hàng TMCP Ngoại thương Việt Nam - Sở giao dịch</v>
      </c>
      <c r="I564" t="str">
        <f>_xlfn.IFNA(VLOOKUP(Table1[[#This Row],[Tên đối tượng]],'DANH MỤC ĐỐI TƯỢNG'!A:J,10,0),"")</f>
        <v>0011004291073</v>
      </c>
    </row>
    <row r="565" spans="1:9" x14ac:dyDescent="0.3">
      <c r="A565">
        <v>562</v>
      </c>
      <c r="B565" t="s">
        <v>1097</v>
      </c>
      <c r="C565" t="s">
        <v>1098</v>
      </c>
      <c r="D565" t="str">
        <f t="shared" si="16"/>
        <v>562. V20144</v>
      </c>
      <c r="E565" s="5" t="str">
        <f t="shared" ca="1" si="17"/>
        <v>Sciesen Technology Singapore Pte, Ltd</v>
      </c>
      <c r="F565" t="str">
        <f>IFERROR(VLOOKUP(Table1[[#This Row],[Tên đối tượng]],'DANH MỤC ĐỐI TƯỢNG'!A:E,5,0),"")</f>
        <v>#34-03,8 Marina View, Asia Square Tower 1,Singapore 018960</v>
      </c>
      <c r="G565">
        <f>_xlfn.IFNA(VLOOKUP(Table1[[#This Row],[Tên đối tượng]],'DANH MỤC ĐỐI TƯỢNG'!A:F,6,0),"")</f>
        <v>0</v>
      </c>
      <c r="H565" t="str">
        <f>_xlfn.IFNA(VLOOKUP(Table1[[#This Row],[Tên đối tượng]],'DANH MỤC ĐỐI TƯỢNG'!A:I,9,0),"")</f>
        <v>Bank of comunications</v>
      </c>
      <c r="I565" t="str">
        <f>_xlfn.IFNA(VLOOKUP(Table1[[#This Row],[Tên đối tượng]],'DANH MỤC ĐỐI TƯỢNG'!A:J,10,0),"")</f>
        <v>89153200006055</v>
      </c>
    </row>
    <row r="566" spans="1:9" x14ac:dyDescent="0.3">
      <c r="A566">
        <v>563</v>
      </c>
      <c r="B566" t="s">
        <v>1099</v>
      </c>
      <c r="C566" t="s">
        <v>1100</v>
      </c>
      <c r="D566" t="str">
        <f t="shared" si="16"/>
        <v>563. V20145</v>
      </c>
      <c r="E566" s="5" t="str">
        <f t="shared" ca="1" si="17"/>
        <v>Paramelt Specialty Materials (Suzhou)Co., Ltd</v>
      </c>
      <c r="F566" t="str">
        <f>IFERROR(VLOOKUP(Table1[[#This Row],[Tên đối tượng]],'DANH MỤC ĐỐI TƯỢNG'!A:E,5,0),"")</f>
        <v>Suzhou Industrial Park,109 Sutong Road,Suzhou China</v>
      </c>
      <c r="G566">
        <f>_xlfn.IFNA(VLOOKUP(Table1[[#This Row],[Tên đối tượng]],'DANH MỤC ĐỐI TƯỢNG'!A:F,6,0),"")</f>
        <v>0</v>
      </c>
      <c r="H566" t="str">
        <f>_xlfn.IFNA(VLOOKUP(Table1[[#This Row],[Tên đối tượng]],'DANH MỤC ĐỐI TƯỢNG'!A:I,9,0),"")</f>
        <v>Agricultural Bank Of China</v>
      </c>
      <c r="I566" t="str">
        <f>_xlfn.IFNA(VLOOKUP(Table1[[#This Row],[Tên đối tượng]],'DANH MỤC ĐỐI TƯỢNG'!A:J,10,0),"")</f>
        <v>105513 1404 0000 851</v>
      </c>
    </row>
    <row r="567" spans="1:9" x14ac:dyDescent="0.3">
      <c r="A567">
        <v>564</v>
      </c>
      <c r="B567" t="s">
        <v>1101</v>
      </c>
      <c r="C567" t="s">
        <v>1102</v>
      </c>
      <c r="D567" t="str">
        <f t="shared" si="16"/>
        <v>564. V4095C0</v>
      </c>
      <c r="E567" s="5" t="str">
        <f ca="1">IF(B567&lt;&gt;"",HYPERLINK($A$2&amp;D567,C567),"")</f>
        <v>Công ty TNHH đào tạo doanh nghiệp Việt Nam</v>
      </c>
      <c r="F567" t="str">
        <f>IFERROR(VLOOKUP(Table1[[#This Row],[Tên đối tượng]],'DANH MỤC ĐỐI TƯỢNG'!A:E,5,0),"")</f>
        <v>Số 45, ngách 26, ngõ 185 phố Minh Khai, phường Minh Khai, quận Hai Bà Trưng, TP Hà Nội, Việt Nam</v>
      </c>
      <c r="G567">
        <f>_xlfn.IFNA(VLOOKUP(Table1[[#This Row],[Tên đối tượng]],'DANH MỤC ĐỐI TƯỢNG'!A:F,6,0),"")</f>
        <v>0</v>
      </c>
      <c r="H567">
        <f>_xlfn.IFNA(VLOOKUP(Table1[[#This Row],[Tên đối tượng]],'DANH MỤC ĐỐI TƯỢNG'!A:I,9,0),"")</f>
        <v>0</v>
      </c>
      <c r="I567">
        <f>_xlfn.IFNA(VLOOKUP(Table1[[#This Row],[Tên đối tượng]],'DANH MỤC ĐỐI TƯỢNG'!A:J,10,0),"")</f>
        <v>0</v>
      </c>
    </row>
    <row r="568" spans="1:9" x14ac:dyDescent="0.3">
      <c r="A568">
        <v>565</v>
      </c>
      <c r="B568" t="s">
        <v>1103</v>
      </c>
      <c r="C568" t="s">
        <v>1104</v>
      </c>
      <c r="D568" t="str">
        <f t="shared" si="16"/>
        <v>565. V20149</v>
      </c>
      <c r="E568" s="5" t="str">
        <f t="shared" ca="1" si="17"/>
        <v>P.S.P. Specialties Public Company Limited</v>
      </c>
      <c r="F568" t="str">
        <f>IFERROR(VLOOKUP(Table1[[#This Row],[Tên đối tượng]],'DANH MỤC ĐỐI TƯỢNG'!A:E,5,0),"")</f>
        <v>1 Boromrachachonanee Road, Arun-Amarin,Bangkoknoi, Bangkok 10700,Thailand</v>
      </c>
      <c r="G568">
        <f>_xlfn.IFNA(VLOOKUP(Table1[[#This Row],[Tên đối tượng]],'DANH MỤC ĐỐI TƯỢNG'!A:F,6,0),"")</f>
        <v>0</v>
      </c>
      <c r="H568" t="str">
        <f>_xlfn.IFNA(VLOOKUP(Table1[[#This Row],[Tên đối tượng]],'DANH MỤC ĐỐI TƯỢNG'!A:I,9,0),"")</f>
        <v>Siam Commercial Bank Pulic Company Ltd</v>
      </c>
      <c r="I568" t="str">
        <f>_xlfn.IFNA(VLOOKUP(Table1[[#This Row],[Tên đối tượng]],'DANH MỤC ĐỐI TƯỢNG'!A:J,10,0),"")</f>
        <v>570-200028-4840</v>
      </c>
    </row>
    <row r="569" spans="1:9" x14ac:dyDescent="0.3">
      <c r="A569">
        <v>566</v>
      </c>
      <c r="B569" t="s">
        <v>1105</v>
      </c>
      <c r="C569" t="s">
        <v>1106</v>
      </c>
      <c r="D569" t="str">
        <f t="shared" si="16"/>
        <v>566. V20150</v>
      </c>
      <c r="E569" s="5" t="str">
        <f ca="1">IF(B569&lt;&gt;"",HYPERLINK($A$2&amp;D569,C569),"")</f>
        <v>FLEXSYS K.K. (Kabushiki Kaisha) -A SUBSIDIARY OF EASTMAN CHEMICAL COMPANY</v>
      </c>
      <c r="F569" t="str">
        <f>IFERROR(VLOOKUP(Table1[[#This Row],[Tên đối tượng]],'DANH MỤC ĐỐI TƯỢNG'!A:E,5,0),"")</f>
        <v>16F, 1-6-6, Motoakasaka,Anzen Building,Minato-ku, Tokyo,107-0051, Japan</v>
      </c>
      <c r="G569">
        <f>_xlfn.IFNA(VLOOKUP(Table1[[#This Row],[Tên đối tượng]],'DANH MỤC ĐỐI TƯỢNG'!A:F,6,0),"")</f>
        <v>0</v>
      </c>
      <c r="H569" t="str">
        <f>_xlfn.IFNA(VLOOKUP(Table1[[#This Row],[Tên đối tượng]],'DANH MỤC ĐỐI TƯỢNG'!A:I,9,0),"")</f>
        <v>CITIBANK N.A SINGAPORE</v>
      </c>
      <c r="I569" t="str">
        <f>_xlfn.IFNA(VLOOKUP(Table1[[#This Row],[Tên đối tượng]],'DANH MỤC ĐỐI TƯỢNG'!A:J,10,0),"")</f>
        <v>0-857433-009</v>
      </c>
    </row>
    <row r="570" spans="1:9" x14ac:dyDescent="0.3">
      <c r="A570">
        <v>567</v>
      </c>
      <c r="B570" t="s">
        <v>1107</v>
      </c>
      <c r="C570" t="s">
        <v>1108</v>
      </c>
      <c r="D570" t="str">
        <f t="shared" si="16"/>
        <v>567. V10407</v>
      </c>
      <c r="E570" s="5" t="str">
        <f ca="1">IF(B570&lt;&gt;"",HYPERLINK($A$2&amp;D570,C570),"")</f>
        <v>Công ty cổ phần dịch vụ quốc tế Hà Thành</v>
      </c>
      <c r="F570" t="str">
        <f>IFERROR(VLOOKUP(Table1[[#This Row],[Tên đối tượng]],'DANH MỤC ĐỐI TƯỢNG'!A:E,5,0),"")</f>
        <v>Số 29, ngõ 497 đường Nguyễn Trãi, phường Thanh Xuân Nam, quận Thanh Xuân Nam, quận Thanh Xuân, TP Hà Nội, VN</v>
      </c>
      <c r="G570">
        <f>_xlfn.IFNA(VLOOKUP(Table1[[#This Row],[Tên đối tượng]],'DANH MỤC ĐỐI TƯỢNG'!A:F,6,0),"")</f>
        <v>0</v>
      </c>
      <c r="H570" t="str">
        <f>_xlfn.IFNA(VLOOKUP(Table1[[#This Row],[Tên đối tượng]],'DANH MỤC ĐỐI TƯỢNG'!A:I,9,0),"")</f>
        <v>Viettinbank - CN Hoàng Mai - Hội sở</v>
      </c>
      <c r="I570" t="str">
        <f>_xlfn.IFNA(VLOOKUP(Table1[[#This Row],[Tên đối tượng]],'DANH MỤC ĐỐI TƯỢNG'!A:J,10,0),"")</f>
        <v>110600481688</v>
      </c>
    </row>
    <row r="571" spans="1:9" x14ac:dyDescent="0.3">
      <c r="A571">
        <v>568</v>
      </c>
      <c r="B571" t="s">
        <v>1109</v>
      </c>
      <c r="C571" t="s">
        <v>1110</v>
      </c>
      <c r="D571" t="str">
        <f t="shared" si="16"/>
        <v>568. V20147</v>
      </c>
      <c r="E571" s="5" t="str">
        <f t="shared" ca="1" si="17"/>
        <v>Objective Eye Tracking PTE., LTD</v>
      </c>
      <c r="F571" t="str">
        <f>IFERROR(VLOOKUP(Table1[[#This Row],[Tên đối tượng]],'DANH MỤC ĐỐI TƯỢNG'!A:E,5,0),"")</f>
        <v>63 Niven Road Singapore 228412</v>
      </c>
      <c r="G571">
        <f>_xlfn.IFNA(VLOOKUP(Table1[[#This Row],[Tên đối tượng]],'DANH MỤC ĐỐI TƯỢNG'!A:F,6,0),"")</f>
        <v>0</v>
      </c>
      <c r="H571" t="str">
        <f>_xlfn.IFNA(VLOOKUP(Table1[[#This Row],[Tên đối tượng]],'DANH MỤC ĐỐI TƯỢNG'!A:I,9,0),"")</f>
        <v>DBS Bank / Buona Vista Corp Branch</v>
      </c>
      <c r="I571" t="str">
        <f>_xlfn.IFNA(VLOOKUP(Table1[[#This Row],[Tên đối tượng]],'DANH MỤC ĐỐI TƯỢNG'!A:J,10,0),"")</f>
        <v>1079016928</v>
      </c>
    </row>
    <row r="572" spans="1:9" x14ac:dyDescent="0.3">
      <c r="A572">
        <v>569</v>
      </c>
      <c r="B572" t="s">
        <v>1111</v>
      </c>
      <c r="C572" t="s">
        <v>1112</v>
      </c>
      <c r="D572" t="str">
        <f t="shared" si="16"/>
        <v>569. V10405</v>
      </c>
      <c r="E572" s="5" t="str">
        <f t="shared" ca="1" si="17"/>
        <v>Công ty TNHH TBCOM Việt Nam</v>
      </c>
      <c r="F572" t="str">
        <f>IFERROR(VLOOKUP(Table1[[#This Row],[Tên đối tượng]],'DANH MỤC ĐỐI TƯỢNG'!A:E,5,0),"")</f>
        <v>Số 2B/40/87 Quốc lộ 5 mới, Cam lộ 5, P.Hùng Vương, Q.Hồng Bàng,</v>
      </c>
      <c r="G572">
        <f>_xlfn.IFNA(VLOOKUP(Table1[[#This Row],[Tên đối tượng]],'DANH MỤC ĐỐI TƯỢNG'!A:F,6,0),"")</f>
        <v>0</v>
      </c>
      <c r="H572" t="str">
        <f>_xlfn.IFNA(VLOOKUP(Table1[[#This Row],[Tên đối tượng]],'DANH MỤC ĐỐI TƯỢNG'!A:I,9,0),"")</f>
        <v>Ngân hàng ACB - CN Duyên Hải</v>
      </c>
      <c r="I572" t="str">
        <f>_xlfn.IFNA(VLOOKUP(Table1[[#This Row],[Tên đối tượng]],'DANH MỤC ĐỐI TƯỢNG'!A:J,10,0),"")</f>
        <v>215526629</v>
      </c>
    </row>
    <row r="573" spans="1:9" x14ac:dyDescent="0.3">
      <c r="A573">
        <v>570</v>
      </c>
      <c r="B573" t="s">
        <v>1113</v>
      </c>
      <c r="C573" t="s">
        <v>1114</v>
      </c>
      <c r="D573" t="str">
        <f t="shared" si="16"/>
        <v>570. V10406</v>
      </c>
      <c r="E573" s="5" t="str">
        <f ca="1">IF(B573&lt;&gt;"",HYPERLINK($A$2&amp;D573,C573),"")</f>
        <v>Công ty TNHH Mitsubishi Electric Việt Nam</v>
      </c>
      <c r="F573" t="str">
        <f>IFERROR(VLOOKUP(Table1[[#This Row],[Tên đối tượng]],'DANH MỤC ĐỐI TƯỢNG'!A:E,5,0),"")</f>
        <v>Tòa nhà Vincom Center, số 72  Lê Thánh Tôn, Phường Bến Nghé, Quận 1, TP HCM</v>
      </c>
      <c r="G573">
        <f>_xlfn.IFNA(VLOOKUP(Table1[[#This Row],[Tên đối tượng]],'DANH MỤC ĐỐI TƯỢNG'!A:F,6,0),"")</f>
        <v>0</v>
      </c>
      <c r="H573" t="str">
        <f>_xlfn.IFNA(VLOOKUP(Table1[[#This Row],[Tên đối tượng]],'DANH MỤC ĐỐI TƯỢNG'!A:I,9,0),"")</f>
        <v>Ngân hàng Vietcombank-CN HCM</v>
      </c>
      <c r="I573" t="str">
        <f>_xlfn.IFNA(VLOOKUP(Table1[[#This Row],[Tên đối tượng]],'DANH MỤC ĐỐI TƯỢNG'!A:J,10,0),"")</f>
        <v>0071000718210</v>
      </c>
    </row>
    <row r="574" spans="1:9" x14ac:dyDescent="0.3">
      <c r="A574">
        <v>571</v>
      </c>
      <c r="B574" t="s">
        <v>1115</v>
      </c>
      <c r="C574" t="s">
        <v>1116</v>
      </c>
      <c r="D574" t="str">
        <f t="shared" si="16"/>
        <v>571. V4090C0</v>
      </c>
      <c r="E574" s="5" t="str">
        <f ca="1">IF(B574&lt;&gt;"",HYPERLINK($A$2&amp;D574,C574),"")</f>
        <v>Chi nhánh Phòng thương mại và công nghiệp tại Hải Phòng</v>
      </c>
      <c r="F574" t="str">
        <f>IFERROR(VLOOKUP(Table1[[#This Row],[Tên đối tượng]],'DANH MỤC ĐỐI TƯỢNG'!A:E,5,0),"")</f>
        <v>Số 10, Đinh Tiên Hoàng, P.Minh Khai, Q. Hồng Bàng, TP Hải Phòng</v>
      </c>
      <c r="G574">
        <f>_xlfn.IFNA(VLOOKUP(Table1[[#This Row],[Tên đối tượng]],'DANH MỤC ĐỐI TƯỢNG'!A:F,6,0),"")</f>
        <v>0</v>
      </c>
      <c r="H574" t="str">
        <f>_xlfn.IFNA(VLOOKUP(Table1[[#This Row],[Tên đối tượng]],'DANH MỤC ĐỐI TƯỢNG'!A:I,9,0),"")</f>
        <v>Vietcombank</v>
      </c>
      <c r="I574" t="str">
        <f>_xlfn.IFNA(VLOOKUP(Table1[[#This Row],[Tên đối tượng]],'DANH MỤC ĐỐI TƯỢNG'!A:J,10,0),"")</f>
        <v>0031000000807</v>
      </c>
    </row>
    <row r="575" spans="1:9" x14ac:dyDescent="0.3">
      <c r="A575">
        <v>572</v>
      </c>
      <c r="B575" t="s">
        <v>1117</v>
      </c>
      <c r="C575" t="s">
        <v>1118</v>
      </c>
      <c r="D575" t="str">
        <f t="shared" si="16"/>
        <v>572. V10392</v>
      </c>
      <c r="E575" s="5" t="str">
        <f t="shared" ca="1" si="17"/>
        <v>Công ty TNHH Thương mại Dịch vụ Kỹ thuật Bảo Nghi</v>
      </c>
      <c r="F575" t="str">
        <f>IFERROR(VLOOKUP(Table1[[#This Row],[Tên đối tượng]],'DANH MỤC ĐỐI TƯỢNG'!A:E,5,0),"")</f>
        <v>47/94 Trần Quốc Toản, phường Võ Thị Sáu, quận 3, TP.HCM</v>
      </c>
      <c r="G575" t="str">
        <f>_xlfn.IFNA(VLOOKUP(Table1[[#This Row],[Tên đối tượng]],'DANH MỤC ĐỐI TƯỢNG'!A:F,6,0),"")</f>
        <v>0310692382</v>
      </c>
      <c r="H575" t="str">
        <f>_xlfn.IFNA(VLOOKUP(Table1[[#This Row],[Tên đối tượng]],'DANH MỤC ĐỐI TƯỢNG'!A:I,9,0),"")</f>
        <v>Ngân hàng Vietcombank – CN Tân Định HCM</v>
      </c>
      <c r="I575" t="str">
        <f>_xlfn.IFNA(VLOOKUP(Table1[[#This Row],[Tên đối tượng]],'DANH MỤC ĐỐI TƯỢNG'!A:J,10,0),"")</f>
        <v>0371003768650</v>
      </c>
    </row>
    <row r="576" spans="1:9" x14ac:dyDescent="0.3">
      <c r="A576">
        <v>573</v>
      </c>
      <c r="B576" t="s">
        <v>1119</v>
      </c>
      <c r="C576" t="s">
        <v>5032</v>
      </c>
      <c r="D576" t="str">
        <f t="shared" si="16"/>
        <v>573. V10402</v>
      </c>
      <c r="E576" s="5" t="str">
        <f t="shared" ca="1" si="17"/>
        <v>Công ty TNHH SANYO Trading(Việt nam)</v>
      </c>
      <c r="F576" t="str">
        <f>IFERROR(VLOOKUP(Table1[[#This Row],[Tên đối tượng]],'DANH MỤC ĐỐI TƯỢNG'!A:E,5,0),"")</f>
        <v>Số 2-4A Đường Tôn Đức Thắng,P.Bến Nghé,Quận 1,TP Hồ Chí Minh</v>
      </c>
      <c r="G576">
        <f>_xlfn.IFNA(VLOOKUP(Table1[[#This Row],[Tên đối tượng]],'DANH MỤC ĐỐI TƯỢNG'!A:F,6,0),"")</f>
        <v>0</v>
      </c>
      <c r="H576" t="str">
        <f>_xlfn.IFNA(VLOOKUP(Table1[[#This Row],[Tên đối tượng]],'DANH MỤC ĐỐI TƯỢNG'!A:I,9,0),"")</f>
        <v>Ngân hàng MUFG Bank,Ltd-Chi nhánh Thành phố Hồ Chí Minh</v>
      </c>
      <c r="I576" t="str">
        <f>_xlfn.IFNA(VLOOKUP(Table1[[#This Row],[Tên đối tượng]],'DANH MỤC ĐỐI TƯỢNG'!A:J,10,0),"")</f>
        <v>3640 USD ORD 635111</v>
      </c>
    </row>
    <row r="577" spans="1:9" x14ac:dyDescent="0.3">
      <c r="A577">
        <v>574</v>
      </c>
      <c r="B577" t="s">
        <v>1120</v>
      </c>
      <c r="C577" t="s">
        <v>6601</v>
      </c>
      <c r="D577" t="str">
        <f t="shared" si="16"/>
        <v>574. V10411</v>
      </c>
      <c r="E577" s="5" t="str">
        <f t="shared" ca="1" si="17"/>
        <v>CÔNG TY TNHH BẢO HIỂM BẢO VIÊT TOKIO MARINE</v>
      </c>
      <c r="F577" t="str">
        <f>IFERROR(VLOOKUP(Table1[[#This Row],[Tên đối tượng]],'DANH MỤC ĐỐI TƯỢNG'!A:E,5,0),"")</f>
        <v>số 23 Phan Chu Trinh, phòng 601, tầng 6, tòa nhà Mặt trời sông Hồng, quận Hoàn Kiếm, Hà Nội</v>
      </c>
      <c r="G577" t="str">
        <f>_xlfn.IFNA(VLOOKUP(Table1[[#This Row],[Tên đối tượng]],'DANH MỤC ĐỐI TƯỢNG'!A:F,6,0),"")</f>
        <v>0300584356</v>
      </c>
      <c r="H577" t="str">
        <f>_xlfn.IFNA(VLOOKUP(Table1[[#This Row],[Tên đối tượng]],'DANH MỤC ĐỐI TƯỢNG'!A:I,9,0),"")</f>
        <v>Ngân hàng Mizuho Bank, Ltd - Chi nhánh Hà Nội</v>
      </c>
      <c r="I577" t="str">
        <f>_xlfn.IFNA(VLOOKUP(Table1[[#This Row],[Tên đối tượng]],'DANH MỤC ĐỐI TƯỢNG'!A:J,10,0),"")</f>
        <v>H15-795-500976</v>
      </c>
    </row>
    <row r="578" spans="1:9" x14ac:dyDescent="0.3">
      <c r="A578">
        <v>575</v>
      </c>
      <c r="B578" t="s">
        <v>1121</v>
      </c>
      <c r="C578" t="s">
        <v>1122</v>
      </c>
      <c r="D578" t="str">
        <f t="shared" si="16"/>
        <v>575. V20152</v>
      </c>
      <c r="E578" s="5" t="str">
        <f t="shared" ca="1" si="17"/>
        <v>GV Technologies Corporation</v>
      </c>
      <c r="F578" t="str">
        <f>IFERROR(VLOOKUP(Table1[[#This Row],[Tên đối tượng]],'DANH MỤC ĐỐI TƯỢNG'!A:E,5,0),"")</f>
        <v>2-37-11 Kamiogi, Suginami-ku, Tokyo 167-0043 Japan</v>
      </c>
      <c r="G578">
        <f>_xlfn.IFNA(VLOOKUP(Table1[[#This Row],[Tên đối tượng]],'DANH MỤC ĐỐI TƯỢNG'!A:F,6,0),"")</f>
        <v>0</v>
      </c>
      <c r="H578" t="str">
        <f>_xlfn.IFNA(VLOOKUP(Table1[[#This Row],[Tên đối tượng]],'DANH MỤC ĐỐI TƯỢNG'!A:I,9,0),"")</f>
        <v>Sumitomo Mitsui Banking Corporation</v>
      </c>
      <c r="I578" t="str">
        <f>_xlfn.IFNA(VLOOKUP(Table1[[#This Row],[Tên đối tượng]],'DANH MỤC ĐỐI TƯỢNG'!A:J,10,0),"")</f>
        <v>7278433</v>
      </c>
    </row>
    <row r="579" spans="1:9" x14ac:dyDescent="0.3">
      <c r="A579">
        <v>576</v>
      </c>
      <c r="B579" t="s">
        <v>1123</v>
      </c>
      <c r="C579" t="s">
        <v>1124</v>
      </c>
      <c r="D579" t="str">
        <f t="shared" si="16"/>
        <v>576. V10412</v>
      </c>
      <c r="E579" s="5" t="str">
        <f t="shared" ca="1" si="17"/>
        <v>Công ty TNHH Giáo dục và Du lịch Nguyễn Kim</v>
      </c>
      <c r="F579" t="str">
        <f>IFERROR(VLOOKUP(Table1[[#This Row],[Tên đối tượng]],'DANH MỤC ĐỐI TƯỢNG'!A:E,5,0),"")</f>
        <v>Số nhà 23B, Khu Cẩm Xuân, Thị Trấn Núi Đối, H. Kiến Thụy, TP Hải Phòng</v>
      </c>
      <c r="G579">
        <f>_xlfn.IFNA(VLOOKUP(Table1[[#This Row],[Tên đối tượng]],'DANH MỤC ĐỐI TƯỢNG'!A:F,6,0),"")</f>
        <v>0</v>
      </c>
      <c r="H579" t="str">
        <f>_xlfn.IFNA(VLOOKUP(Table1[[#This Row],[Tên đối tượng]],'DANH MỤC ĐỐI TƯỢNG'!A:I,9,0),"")</f>
        <v>Ngân hàng NN&amp;PTNT - CN. Kiến Thụy</v>
      </c>
      <c r="I579" t="str">
        <f>_xlfn.IFNA(VLOOKUP(Table1[[#This Row],[Tên đối tượng]],'DANH MỤC ĐỐI TƯỢNG'!A:J,10,0),"")</f>
        <v>2109201005673</v>
      </c>
    </row>
    <row r="580" spans="1:9" x14ac:dyDescent="0.3">
      <c r="A580">
        <v>577</v>
      </c>
      <c r="B580" t="s">
        <v>1125</v>
      </c>
      <c r="C580" t="s">
        <v>1126</v>
      </c>
      <c r="D580" t="str">
        <f t="shared" si="16"/>
        <v>577. V20146</v>
      </c>
      <c r="E580" s="5" t="str">
        <f t="shared" ca="1" si="17"/>
        <v>Nippon Steel Conveyor Co.,Ltd</v>
      </c>
      <c r="F580" t="str">
        <f>IFERROR(VLOOKUP(Table1[[#This Row],[Tên đối tượng]],'DANH MỤC ĐỐI TƯỢNG'!A:E,5,0),"")</f>
        <v/>
      </c>
      <c r="G580" t="str">
        <f>_xlfn.IFNA(VLOOKUP(Table1[[#This Row],[Tên đối tượng]],'DANH MỤC ĐỐI TƯỢNG'!A:F,6,0),"")</f>
        <v/>
      </c>
      <c r="H580" t="str">
        <f>_xlfn.IFNA(VLOOKUP(Table1[[#This Row],[Tên đối tượng]],'DANH MỤC ĐỐI TƯỢNG'!A:I,9,0),"")</f>
        <v/>
      </c>
      <c r="I580" t="str">
        <f>_xlfn.IFNA(VLOOKUP(Table1[[#This Row],[Tên đối tượng]],'DANH MỤC ĐỐI TƯỢNG'!A:J,10,0),"")</f>
        <v/>
      </c>
    </row>
    <row r="581" spans="1:9" x14ac:dyDescent="0.3">
      <c r="A581">
        <v>578</v>
      </c>
      <c r="B581" t="s">
        <v>1127</v>
      </c>
      <c r="C581" t="s">
        <v>1128</v>
      </c>
      <c r="D581" t="str">
        <f t="shared" ref="D581:D644" si="18">A581&amp;". "&amp;B581</f>
        <v>578. V10410</v>
      </c>
      <c r="E581" s="5" t="str">
        <f t="shared" ref="E581:E644" ca="1" si="19">IF(B581&lt;&gt;"",HYPERLINK($A$2&amp;D581,C581),"")</f>
        <v>Công ty TNHH Yamato Logistics Việt Nam</v>
      </c>
      <c r="F581" t="str">
        <f>IFERROR(VLOOKUP(Table1[[#This Row],[Tên đối tượng]],'DANH MỤC ĐỐI TƯỢNG'!A:E,5,0),"")</f>
        <v>Tầng 10, tòa nhà 3D, số 3 đường Duy Tân,  Phường Dịch Vọng Hậu, Quận Cầu Giấy, Thành phố Hà Nội</v>
      </c>
      <c r="G581" t="str">
        <f>_xlfn.IFNA(VLOOKUP(Table1[[#This Row],[Tên đối tượng]],'DANH MỤC ĐỐI TƯỢNG'!A:F,6,0),"")</f>
        <v>0106781258</v>
      </c>
      <c r="H581" t="str">
        <f>_xlfn.IFNA(VLOOKUP(Table1[[#This Row],[Tên đối tượng]],'DANH MỤC ĐỐI TƯỢNG'!A:I,9,0),"")</f>
        <v>Ngân hàng Mizuho, chi nhánh Hà Nội</v>
      </c>
      <c r="I581" t="str">
        <f>_xlfn.IFNA(VLOOKUP(Table1[[#This Row],[Tên đối tượng]],'DANH MỤC ĐỐI TƯỢNG'!A:J,10,0),"")</f>
        <v>H15-795-015654</v>
      </c>
    </row>
    <row r="582" spans="1:9" x14ac:dyDescent="0.3">
      <c r="A582">
        <v>579</v>
      </c>
      <c r="B582" t="s">
        <v>1129</v>
      </c>
      <c r="C582" t="s">
        <v>1130</v>
      </c>
      <c r="D582" t="str">
        <f t="shared" si="18"/>
        <v>579. V10390</v>
      </c>
      <c r="E582" s="5" t="str">
        <f t="shared" ca="1" si="19"/>
        <v>Công ty TNHH Công nghệ và Đầu tư Thái Văn</v>
      </c>
      <c r="F582" t="str">
        <f>IFERROR(VLOOKUP(Table1[[#This Row],[Tên đối tượng]],'DANH MỤC ĐỐI TƯỢNG'!A:E,5,0),"")</f>
        <v>Phòng 301, tòa nhà 9 tầng, số 172 phố Trần Bình, phường Mỹ Đình 2, Nam Từ Liêm, Hà Nội</v>
      </c>
      <c r="G582" t="str">
        <f>_xlfn.IFNA(VLOOKUP(Table1[[#This Row],[Tên đối tượng]],'DANH MỤC ĐỐI TƯỢNG'!A:F,6,0),"")</f>
        <v>0103779444</v>
      </c>
      <c r="H582" t="str">
        <f>_xlfn.IFNA(VLOOKUP(Table1[[#This Row],[Tên đối tượng]],'DANH MỤC ĐỐI TƯỢNG'!A:I,9,0),"")</f>
        <v>NH TMCP Ngoại thương Việt Nam-CN Thăng Long Hà Nội</v>
      </c>
      <c r="I582" t="str">
        <f>_xlfn.IFNA(VLOOKUP(Table1[[#This Row],[Tên đối tượng]],'DANH MỤC ĐỐI TƯỢNG'!A:J,10,0),"")</f>
        <v>0491001724025</v>
      </c>
    </row>
    <row r="583" spans="1:9" x14ac:dyDescent="0.3">
      <c r="A583">
        <v>580</v>
      </c>
      <c r="B583" t="s">
        <v>1131</v>
      </c>
      <c r="C583" t="s">
        <v>1132</v>
      </c>
      <c r="D583" t="str">
        <f>A583&amp;". "&amp;B583</f>
        <v>580. V20154</v>
      </c>
      <c r="E583" s="5" t="str">
        <f t="shared" ca="1" si="19"/>
        <v>Shinichi Kato Office Co., Ltd</v>
      </c>
      <c r="F583" t="str">
        <f>IFERROR(VLOOKUP(Table1[[#This Row],[Tên đối tượng]],'DANH MỤC ĐỐI TƯỢNG'!A:E,5,0),"")</f>
        <v/>
      </c>
      <c r="G583" t="str">
        <f>_xlfn.IFNA(VLOOKUP(Table1[[#This Row],[Tên đối tượng]],'DANH MỤC ĐỐI TƯỢNG'!A:F,6,0),"")</f>
        <v/>
      </c>
      <c r="H583" t="str">
        <f>_xlfn.IFNA(VLOOKUP(Table1[[#This Row],[Tên đối tượng]],'DANH MỤC ĐỐI TƯỢNG'!A:I,9,0),"")</f>
        <v/>
      </c>
      <c r="I583" t="str">
        <f>_xlfn.IFNA(VLOOKUP(Table1[[#This Row],[Tên đối tượng]],'DANH MỤC ĐỐI TƯỢNG'!A:J,10,0),"")</f>
        <v/>
      </c>
    </row>
    <row r="584" spans="1:9" x14ac:dyDescent="0.3">
      <c r="A584">
        <v>581</v>
      </c>
      <c r="B584" t="s">
        <v>1133</v>
      </c>
      <c r="C584" t="s">
        <v>1134</v>
      </c>
      <c r="D584" t="str">
        <f t="shared" si="18"/>
        <v>581. V20142</v>
      </c>
      <c r="E584" s="5" t="str">
        <f t="shared" ca="1" si="19"/>
        <v>SEALS CO., LTD</v>
      </c>
      <c r="F584" t="str">
        <f>IFERROR(VLOOKUP(Table1[[#This Row],[Tên đối tượng]],'DANH MỤC ĐỐI TƯỢNG'!A:E,5,0),"")</f>
        <v/>
      </c>
      <c r="G584" t="str">
        <f>_xlfn.IFNA(VLOOKUP(Table1[[#This Row],[Tên đối tượng]],'DANH MỤC ĐỐI TƯỢNG'!A:F,6,0),"")</f>
        <v/>
      </c>
      <c r="H584" t="str">
        <f>_xlfn.IFNA(VLOOKUP(Table1[[#This Row],[Tên đối tượng]],'DANH MỤC ĐỐI TƯỢNG'!A:I,9,0),"")</f>
        <v/>
      </c>
      <c r="I584" t="str">
        <f>_xlfn.IFNA(VLOOKUP(Table1[[#This Row],[Tên đối tượng]],'DANH MỤC ĐỐI TƯỢNG'!A:J,10,0),"")</f>
        <v/>
      </c>
    </row>
    <row r="585" spans="1:9" x14ac:dyDescent="0.3">
      <c r="A585">
        <v>582</v>
      </c>
      <c r="B585" t="s">
        <v>1135</v>
      </c>
      <c r="C585" t="s">
        <v>1136</v>
      </c>
      <c r="D585" t="str">
        <f t="shared" si="18"/>
        <v>582. V4096C0</v>
      </c>
      <c r="E585" s="5" t="str">
        <f t="shared" ca="1" si="19"/>
        <v>CÔNG TY TNHH MỘT THÀNH VIÊN MÔI TRƯỜNG ĐÔ THỊ HP</v>
      </c>
      <c r="F585" t="str">
        <f>IFERROR(VLOOKUP(Table1[[#This Row],[Tên đối tượng]],'DANH MỤC ĐỐI TƯỢNG'!A:E,5,0),"")</f>
        <v/>
      </c>
      <c r="G585" t="str">
        <f>_xlfn.IFNA(VLOOKUP(Table1[[#This Row],[Tên đối tượng]],'DANH MỤC ĐỐI TƯỢNG'!A:F,6,0),"")</f>
        <v/>
      </c>
      <c r="H585" t="str">
        <f>_xlfn.IFNA(VLOOKUP(Table1[[#This Row],[Tên đối tượng]],'DANH MỤC ĐỐI TƯỢNG'!A:I,9,0),"")</f>
        <v/>
      </c>
      <c r="I585" t="str">
        <f>_xlfn.IFNA(VLOOKUP(Table1[[#This Row],[Tên đối tượng]],'DANH MỤC ĐỐI TƯỢNG'!A:J,10,0),"")</f>
        <v/>
      </c>
    </row>
    <row r="586" spans="1:9" x14ac:dyDescent="0.3">
      <c r="A586">
        <v>583</v>
      </c>
      <c r="B586" t="s">
        <v>1137</v>
      </c>
      <c r="C586" t="s">
        <v>1138</v>
      </c>
      <c r="D586" t="str">
        <f t="shared" si="18"/>
        <v>583. V20157</v>
      </c>
      <c r="E586" s="5" t="str">
        <f t="shared" ca="1" si="19"/>
        <v>TOP SOLVENT COMPANY LIMITED</v>
      </c>
      <c r="F586" t="str">
        <f>IFERROR(VLOOKUP(Table1[[#This Row],[Tên đối tượng]],'DANH MỤC ĐỐI TƯỢNG'!A:E,5,0),"")</f>
        <v/>
      </c>
      <c r="G586" t="str">
        <f>_xlfn.IFNA(VLOOKUP(Table1[[#This Row],[Tên đối tượng]],'DANH MỤC ĐỐI TƯỢNG'!A:F,6,0),"")</f>
        <v/>
      </c>
      <c r="H586" t="str">
        <f>_xlfn.IFNA(VLOOKUP(Table1[[#This Row],[Tên đối tượng]],'DANH MỤC ĐỐI TƯỢNG'!A:I,9,0),"")</f>
        <v/>
      </c>
      <c r="I586" t="str">
        <f>_xlfn.IFNA(VLOOKUP(Table1[[#This Row],[Tên đối tượng]],'DANH MỤC ĐỐI TƯỢNG'!A:J,10,0),"")</f>
        <v/>
      </c>
    </row>
    <row r="587" spans="1:9" x14ac:dyDescent="0.3">
      <c r="A587">
        <v>584</v>
      </c>
      <c r="B587" t="s">
        <v>1139</v>
      </c>
      <c r="C587" t="s">
        <v>1140</v>
      </c>
      <c r="D587" t="str">
        <f t="shared" si="18"/>
        <v>584. V10416</v>
      </c>
      <c r="E587" s="5" t="str">
        <f t="shared" ca="1" si="19"/>
        <v>CHI NHÁNH CÔNG TY TNHH NNR GLOBAL LOGISTICS (VIỆT NAM)</v>
      </c>
      <c r="F587" t="str">
        <f>IFERROR(VLOOKUP(Table1[[#This Row],[Tên đối tượng]],'DANH MỤC ĐỐI TƯỢNG'!A:E,5,0),"")</f>
        <v>Tầng 2, tòa nhà IDMC Duy Tân, số 21 Duy Tân, phường Dịch Vọng Hậu, quận Cầu Giấy, Hà Nội, Việt Nam</v>
      </c>
      <c r="G587">
        <f>_xlfn.IFNA(VLOOKUP(Table1[[#This Row],[Tên đối tượng]],'DANH MỤC ĐỐI TƯỢNG'!A:F,6,0),"")</f>
        <v>0</v>
      </c>
      <c r="H587" t="str">
        <f>_xlfn.IFNA(VLOOKUP(Table1[[#This Row],[Tên đối tượng]],'DANH MỤC ĐỐI TƯỢNG'!A:I,9,0),"")</f>
        <v>Vietcombank - Chi nhánh Thăng Long Hà Nội</v>
      </c>
      <c r="I587" t="str">
        <f>_xlfn.IFNA(VLOOKUP(Table1[[#This Row],[Tên đối tượng]],'DANH MỤC ĐỐI TƯỢNG'!A:J,10,0),"")</f>
        <v>049 100 167 5664</v>
      </c>
    </row>
    <row r="588" spans="1:9" x14ac:dyDescent="0.3">
      <c r="A588">
        <v>585</v>
      </c>
      <c r="B588" t="s">
        <v>1141</v>
      </c>
      <c r="C588" t="s">
        <v>1142</v>
      </c>
      <c r="D588" t="str">
        <f t="shared" si="18"/>
        <v>585. V20160</v>
      </c>
      <c r="E588" s="5" t="str">
        <f t="shared" ca="1" si="19"/>
        <v>Shinwa Intec Co.,Ltd</v>
      </c>
      <c r="F588" t="str">
        <f>IFERROR(VLOOKUP(Table1[[#This Row],[Tên đối tượng]],'DANH MỤC ĐỐI TƯỢNG'!A:E,5,0),"")</f>
        <v>Bangkok 10400 Thailand</v>
      </c>
      <c r="G588">
        <f>_xlfn.IFNA(VLOOKUP(Table1[[#This Row],[Tên đối tượng]],'DANH MỤC ĐỐI TƯỢNG'!A:F,6,0),"")</f>
        <v>0</v>
      </c>
      <c r="H588" t="str">
        <f>_xlfn.IFNA(VLOOKUP(Table1[[#This Row],[Tên đối tượng]],'DANH MỤC ĐỐI TƯỢNG'!A:I,9,0),"")</f>
        <v>Mizuho Bank Ltd.</v>
      </c>
      <c r="I588" t="str">
        <f>_xlfn.IFNA(VLOOKUP(Table1[[#This Row],[Tên đối tượng]],'DANH MỤC ĐỐI TƯỢNG'!A:J,10,0),"")</f>
        <v>F15-764-916143</v>
      </c>
    </row>
    <row r="589" spans="1:9" x14ac:dyDescent="0.3">
      <c r="A589">
        <v>586</v>
      </c>
      <c r="B589" t="s">
        <v>1143</v>
      </c>
      <c r="C589" t="s">
        <v>1144</v>
      </c>
      <c r="D589" t="str">
        <f t="shared" si="18"/>
        <v>586. V10415</v>
      </c>
      <c r="E589" s="5" t="str">
        <f t="shared" ca="1" si="19"/>
        <v>Công ty cổ phần thiết bị vật tư công nghiệp Hưng Phát</v>
      </c>
      <c r="F589" t="str">
        <f>IFERROR(VLOOKUP(Table1[[#This Row],[Tên đối tượng]],'DANH MỤC ĐỐI TƯỢNG'!A:E,5,0),"")</f>
        <v>Số 11 ngõ 8 phố Liễu Giai, phường Cống Vị, quận Ba Đình, Hà Nội</v>
      </c>
      <c r="G589">
        <f>_xlfn.IFNA(VLOOKUP(Table1[[#This Row],[Tên đối tượng]],'DANH MỤC ĐỐI TƯỢNG'!A:F,6,0),"")</f>
        <v>0</v>
      </c>
      <c r="H589" t="str">
        <f>_xlfn.IFNA(VLOOKUP(Table1[[#This Row],[Tên đối tượng]],'DANH MỤC ĐỐI TƯỢNG'!A:I,9,0),"")</f>
        <v>Ngân hàng Vietcombank - Chi nhánh Hà Tây</v>
      </c>
      <c r="I589" t="str">
        <f>_xlfn.IFNA(VLOOKUP(Table1[[#This Row],[Tên đối tượng]],'DANH MỤC ĐỐI TƯỢNG'!A:J,10,0),"")</f>
        <v>0691000345488</v>
      </c>
    </row>
    <row r="590" spans="1:9" x14ac:dyDescent="0.3">
      <c r="A590">
        <v>587</v>
      </c>
      <c r="B590" t="s">
        <v>1145</v>
      </c>
      <c r="C590" t="s">
        <v>1146</v>
      </c>
      <c r="D590" t="str">
        <f t="shared" si="18"/>
        <v>587. V10414</v>
      </c>
      <c r="E590" s="5" t="str">
        <f t="shared" ca="1" si="19"/>
        <v>Công ty TNHH Tchem Việt Nam</v>
      </c>
      <c r="F590" t="str">
        <f>IFERROR(VLOOKUP(Table1[[#This Row],[Tên đối tượng]],'DANH MỤC ĐỐI TƯỢNG'!A:E,5,0),"")</f>
        <v>Phường 10,Số 48/1A Quang Trung,Quận Gò Vấp,Thành phố Hồ Chí Minh, Việt Nam</v>
      </c>
      <c r="G590">
        <f>_xlfn.IFNA(VLOOKUP(Table1[[#This Row],[Tên đối tượng]],'DANH MỤC ĐỐI TƯỢNG'!A:F,6,0),"")</f>
        <v>0</v>
      </c>
      <c r="H590" t="str">
        <f>_xlfn.IFNA(VLOOKUP(Table1[[#This Row],[Tên đối tượng]],'DANH MỤC ĐỐI TƯỢNG'!A:I,9,0),"")</f>
        <v>NH Xuất nhập khẩu Việt Nam-Vietnam Eximbank-PGD Hồ Văn Huê</v>
      </c>
      <c r="I590" t="str">
        <f>_xlfn.IFNA(VLOOKUP(Table1[[#This Row],[Tên đối tượng]],'DANH MỤC ĐỐI TƯỢNG'!A:J,10,0),"")</f>
        <v>220314851031421</v>
      </c>
    </row>
    <row r="591" spans="1:9" x14ac:dyDescent="0.3">
      <c r="A591">
        <v>588</v>
      </c>
      <c r="B591" t="s">
        <v>1147</v>
      </c>
      <c r="C591" t="s">
        <v>1148</v>
      </c>
      <c r="D591" t="str">
        <f t="shared" si="18"/>
        <v>588. V4048C0</v>
      </c>
      <c r="E591" s="5" t="str">
        <f t="shared" ca="1" si="19"/>
        <v>Công ty Bảo hiểm Liên Hiệp</v>
      </c>
      <c r="F591" t="str">
        <f>IFERROR(VLOOKUP(Table1[[#This Row],[Tên đối tượng]],'DANH MỤC ĐỐI TƯỢNG'!A:E,5,0),"")</f>
        <v>Tầng 11, tòa nhà TungShing Square, số 2 Ngô Quyền, quận Hoàn Kiếm, Hà Nội</v>
      </c>
      <c r="G591" t="str">
        <f>_xlfn.IFNA(VLOOKUP(Table1[[#This Row],[Tên đối tượng]],'DANH MỤC ĐỐI TƯỢNG'!A:F,6,0),"")</f>
        <v>0100112571</v>
      </c>
      <c r="H591" t="str">
        <f>_xlfn.IFNA(VLOOKUP(Table1[[#This Row],[Tên đối tượng]],'DANH MỤC ĐỐI TƯỢNG'!A:I,9,0),"")</f>
        <v>Mizuho Bank, Ltd. - Hanoi Branch</v>
      </c>
      <c r="I591" t="str">
        <f>_xlfn.IFNA(VLOOKUP(Table1[[#This Row],[Tên đối tượng]],'DANH MỤC ĐỐI TƯỢNG'!A:J,10,0),"")</f>
        <v>H15-795-000308</v>
      </c>
    </row>
    <row r="592" spans="1:9" x14ac:dyDescent="0.3">
      <c r="A592">
        <v>589</v>
      </c>
      <c r="B592" t="s">
        <v>1149</v>
      </c>
      <c r="C592" t="s">
        <v>1150</v>
      </c>
      <c r="D592" t="str">
        <f t="shared" si="18"/>
        <v>589. V10420</v>
      </c>
      <c r="E592" s="5" t="str">
        <f t="shared" ca="1" si="19"/>
        <v>Công ty TNHH sản xuất và dịch vụ vận tải Mai Phương</v>
      </c>
      <c r="F592" t="str">
        <f>IFERROR(VLOOKUP(Table1[[#This Row],[Tên đối tượng]],'DANH MỤC ĐỐI TƯỢNG'!A:E,5,0),"")</f>
        <v>Tổ 4, Khu 8, Phường Lãm Hà, Quận Kiến An, Thành Phố Hải Phòng</v>
      </c>
      <c r="G592">
        <f>_xlfn.IFNA(VLOOKUP(Table1[[#This Row],[Tên đối tượng]],'DANH MỤC ĐỐI TƯỢNG'!A:F,6,0),"")</f>
        <v>0</v>
      </c>
      <c r="H592" t="str">
        <f>_xlfn.IFNA(VLOOKUP(Table1[[#This Row],[Tên đối tượng]],'DANH MỤC ĐỐI TƯỢNG'!A:I,9,0),"")</f>
        <v>Ngân Hàng Agribank-Chi nhánh quận Kiến An- Đông Hải Phòng</v>
      </c>
      <c r="I592" t="str">
        <f>_xlfn.IFNA(VLOOKUP(Table1[[#This Row],[Tên đối tượng]],'DANH MỤC ĐỐI TƯỢNG'!A:J,10,0),"")</f>
        <v>2104201005680</v>
      </c>
    </row>
    <row r="593" spans="1:9" x14ac:dyDescent="0.3">
      <c r="A593">
        <v>590</v>
      </c>
      <c r="B593" t="s">
        <v>1151</v>
      </c>
      <c r="C593" t="s">
        <v>1152</v>
      </c>
      <c r="D593" t="str">
        <f t="shared" si="18"/>
        <v>590. V10401</v>
      </c>
      <c r="E593" s="5" t="str">
        <f t="shared" ca="1" si="19"/>
        <v>Công ty TNHH Dịch Vụ Việt Xanh</v>
      </c>
      <c r="F593" t="str">
        <f>IFERROR(VLOOKUP(Table1[[#This Row],[Tên đối tượng]],'DANH MỤC ĐỐI TƯỢNG'!A:E,5,0),"")</f>
        <v>Số 8/85 đường Bạch Đằng, Số 8/85 đường Bạch Đằng, Phường Hạ Lý, Thành phố Hải Phòng</v>
      </c>
      <c r="G593">
        <f>_xlfn.IFNA(VLOOKUP(Table1[[#This Row],[Tên đối tượng]],'DANH MỤC ĐỐI TƯỢNG'!A:F,6,0),"")</f>
        <v>0</v>
      </c>
      <c r="H593" t="str">
        <f>_xlfn.IFNA(VLOOKUP(Table1[[#This Row],[Tên đối tượng]],'DANH MỤC ĐỐI TƯỢNG'!A:I,9,0),"")</f>
        <v>Sacombank-CN Hải Phòng</v>
      </c>
      <c r="I593" t="str">
        <f>_xlfn.IFNA(VLOOKUP(Table1[[#This Row],[Tên đối tượng]],'DANH MỤC ĐỐI TƯỢNG'!A:J,10,0),"")</f>
        <v>030035237999</v>
      </c>
    </row>
    <row r="594" spans="1:9" x14ac:dyDescent="0.3">
      <c r="A594">
        <v>591</v>
      </c>
      <c r="B594" t="s">
        <v>1153</v>
      </c>
      <c r="C594" t="s">
        <v>1154</v>
      </c>
      <c r="D594" t="str">
        <f t="shared" si="18"/>
        <v>591. V10421</v>
      </c>
      <c r="E594" s="5" t="str">
        <f t="shared" ca="1" si="19"/>
        <v>Công ty TNHH thương mại và dịch vụ TSG</v>
      </c>
      <c r="F594" t="str">
        <f>IFERROR(VLOOKUP(Table1[[#This Row],[Tên đối tượng]],'DANH MỤC ĐỐI TƯỢNG'!A:E,5,0),"")</f>
        <v>Số nhà 17E, Tổ 12A, Phường Thượng Đình, Quận Thanh Xuân ,Thành phố Hà Nội, Việt Nam</v>
      </c>
      <c r="G594">
        <f>_xlfn.IFNA(VLOOKUP(Table1[[#This Row],[Tên đối tượng]],'DANH MỤC ĐỐI TƯỢNG'!A:F,6,0),"")</f>
        <v>0</v>
      </c>
      <c r="H594" t="str">
        <f>_xlfn.IFNA(VLOOKUP(Table1[[#This Row],[Tên đối tượng]],'DANH MỤC ĐỐI TƯỢNG'!A:I,9,0),"")</f>
        <v>Ngân hàng TMCP Á Châu - CN Hoàng Cầu, Hà Nội</v>
      </c>
      <c r="I594" t="str">
        <f>_xlfn.IFNA(VLOOKUP(Table1[[#This Row],[Tên đối tượng]],'DANH MỤC ĐỐI TƯỢNG'!A:J,10,0),"")</f>
        <v>114802829</v>
      </c>
    </row>
    <row r="595" spans="1:9" x14ac:dyDescent="0.3">
      <c r="A595">
        <v>592</v>
      </c>
      <c r="B595" t="s">
        <v>1155</v>
      </c>
      <c r="C595" t="s">
        <v>1156</v>
      </c>
      <c r="D595" t="str">
        <f t="shared" si="18"/>
        <v>592. V20158</v>
      </c>
      <c r="E595" s="5" t="str">
        <f t="shared" ca="1" si="19"/>
        <v>CSRC CHINA(ANSHAN) CORPORATION</v>
      </c>
      <c r="F595" t="str">
        <f>IFERROR(VLOOKUP(Table1[[#This Row],[Tên đối tượng]],'DANH MỤC ĐỐI TƯỢNG'!A:E,5,0),"")</f>
        <v>LIAONING,NO.1, HONGQI  RD,  LISHAN  DIS, ANSHAN,</v>
      </c>
      <c r="G595">
        <f>_xlfn.IFNA(VLOOKUP(Table1[[#This Row],[Tên đối tượng]],'DANH MỤC ĐỐI TƯỢNG'!A:F,6,0),"")</f>
        <v>0</v>
      </c>
      <c r="H595">
        <f>_xlfn.IFNA(VLOOKUP(Table1[[#This Row],[Tên đối tượng]],'DANH MỤC ĐỐI TƯỢNG'!A:I,9,0),"")</f>
        <v>0</v>
      </c>
      <c r="I595">
        <f>_xlfn.IFNA(VLOOKUP(Table1[[#This Row],[Tên đối tượng]],'DANH MỤC ĐỐI TƯỢNG'!A:J,10,0),"")</f>
        <v>0</v>
      </c>
    </row>
    <row r="596" spans="1:9" x14ac:dyDescent="0.3">
      <c r="A596">
        <v>593</v>
      </c>
      <c r="B596" t="s">
        <v>1157</v>
      </c>
      <c r="C596" t="s">
        <v>1158</v>
      </c>
      <c r="D596" t="str">
        <f t="shared" si="18"/>
        <v>593. V20161</v>
      </c>
      <c r="E596" s="5" t="str">
        <f t="shared" ca="1" si="19"/>
        <v>CHINA SYNTHETIC RUBBER CORP.</v>
      </c>
      <c r="F596" t="str">
        <f>IFERROR(VLOOKUP(Table1[[#This Row],[Tên đối tượng]],'DANH MỤC ĐỐI TƯỢNG'!A:E,5,0),"")</f>
        <v>ZHONG SHAN NORTH ROAD,8TH FL., NO. 113, SEC. 2, TAIPEI 104</v>
      </c>
      <c r="G596">
        <f>_xlfn.IFNA(VLOOKUP(Table1[[#This Row],[Tên đối tượng]],'DANH MỤC ĐỐI TƯỢNG'!A:F,6,0),"")</f>
        <v>0</v>
      </c>
      <c r="H596">
        <f>_xlfn.IFNA(VLOOKUP(Table1[[#This Row],[Tên đối tượng]],'DANH MỤC ĐỐI TƯỢNG'!A:I,9,0),"")</f>
        <v>0</v>
      </c>
      <c r="I596">
        <f>_xlfn.IFNA(VLOOKUP(Table1[[#This Row],[Tên đối tượng]],'DANH MỤC ĐỐI TƯỢNG'!A:J,10,0),"")</f>
        <v>0</v>
      </c>
    </row>
    <row r="597" spans="1:9" x14ac:dyDescent="0.3">
      <c r="A597">
        <v>594</v>
      </c>
      <c r="B597" t="s">
        <v>1159</v>
      </c>
      <c r="C597" t="s">
        <v>1160</v>
      </c>
      <c r="D597" t="str">
        <f t="shared" si="18"/>
        <v>594. V10425</v>
      </c>
      <c r="E597" s="5" t="str">
        <f t="shared" ca="1" si="19"/>
        <v>Trung tâm dịch vụ khoa học kỹ thuật sức khỏe và môi trường</v>
      </c>
      <c r="F597" t="str">
        <f>IFERROR(VLOOKUP(Table1[[#This Row],[Tên đối tượng]],'DANH MỤC ĐỐI TƯỢNG'!A:E,5,0),"")</f>
        <v>57 Lê Qúy Đôn, Phường Bạch Đằng, Quận Hai Bà Trưng, Hà Nội</v>
      </c>
      <c r="G597">
        <f>_xlfn.IFNA(VLOOKUP(Table1[[#This Row],[Tên đối tượng]],'DANH MỤC ĐỐI TƯỢNG'!A:F,6,0),"")</f>
        <v>0</v>
      </c>
      <c r="H597" t="str">
        <f>_xlfn.IFNA(VLOOKUP(Table1[[#This Row],[Tên đối tượng]],'DANH MỤC ĐỐI TƯỢNG'!A:I,9,0),"")</f>
        <v>Ngân hàng thương mại cổ phần An Bình - CN Hà Nội, PGD Lò Đúc</v>
      </c>
      <c r="I597" t="str">
        <f>_xlfn.IFNA(VLOOKUP(Table1[[#This Row],[Tên đối tượng]],'DANH MỤC ĐỐI TƯỢNG'!A:J,10,0),"")</f>
        <v>0701001596118</v>
      </c>
    </row>
    <row r="598" spans="1:9" x14ac:dyDescent="0.3">
      <c r="A598">
        <v>595</v>
      </c>
      <c r="B598" t="s">
        <v>1161</v>
      </c>
      <c r="C598" t="s">
        <v>1162</v>
      </c>
      <c r="D598" t="str">
        <f t="shared" si="18"/>
        <v>595. V10426</v>
      </c>
      <c r="E598" s="5" t="str">
        <f t="shared" ca="1" si="19"/>
        <v>Công ty SGS Việt Nam Trách Nhiệm Hữu Hạn</v>
      </c>
      <c r="F598" t="str">
        <f>IFERROR(VLOOKUP(Table1[[#This Row],[Tên đối tượng]],'DANH MỤC ĐỐI TƯỢNG'!A:E,5,0),"")</f>
        <v>98 Đường Nguyễn Thị Minh Khai, Phường 06, Quận 3, TP HCM</v>
      </c>
      <c r="G598">
        <f>_xlfn.IFNA(VLOOKUP(Table1[[#This Row],[Tên đối tượng]],'DANH MỤC ĐỐI TƯỢNG'!A:F,6,0),"")</f>
        <v>0</v>
      </c>
      <c r="H598" t="str">
        <f>_xlfn.IFNA(VLOOKUP(Table1[[#This Row],[Tên đối tượng]],'DANH MỤC ĐỐI TƯỢNG'!A:I,9,0),"")</f>
        <v>Ngân hàng ANZ - Chi nhánh TP Hồ Chí Minh</v>
      </c>
      <c r="I598" t="str">
        <f>_xlfn.IFNA(VLOOKUP(Table1[[#This Row],[Tên đối tượng]],'DANH MỤC ĐỐI TƯỢNG'!A:J,10,0),"")</f>
        <v>208306</v>
      </c>
    </row>
    <row r="599" spans="1:9" x14ac:dyDescent="0.3">
      <c r="A599">
        <v>596</v>
      </c>
      <c r="B599" t="s">
        <v>1163</v>
      </c>
      <c r="C599" t="s">
        <v>1164</v>
      </c>
      <c r="D599" t="str">
        <f t="shared" si="18"/>
        <v>596. V10433</v>
      </c>
      <c r="E599" s="5" t="str">
        <f t="shared" ca="1" si="19"/>
        <v>Công ty TNHH một thành viên Thương mại kỹ thuật MATCO Á Châu Việt Nam</v>
      </c>
      <c r="F599" t="str">
        <f>IFERROR(VLOOKUP(Table1[[#This Row],[Tên đối tượng]],'DANH MỤC ĐỐI TƯỢNG'!A:E,5,0),"")</f>
        <v/>
      </c>
      <c r="G599" t="str">
        <f>_xlfn.IFNA(VLOOKUP(Table1[[#This Row],[Tên đối tượng]],'DANH MỤC ĐỐI TƯỢNG'!A:F,6,0),"")</f>
        <v/>
      </c>
      <c r="H599" t="str">
        <f>_xlfn.IFNA(VLOOKUP(Table1[[#This Row],[Tên đối tượng]],'DANH MỤC ĐỐI TƯỢNG'!A:I,9,0),"")</f>
        <v/>
      </c>
      <c r="I599" t="str">
        <f>_xlfn.IFNA(VLOOKUP(Table1[[#This Row],[Tên đối tượng]],'DANH MỤC ĐỐI TƯỢNG'!A:J,10,0),"")</f>
        <v/>
      </c>
    </row>
    <row r="600" spans="1:9" x14ac:dyDescent="0.3">
      <c r="A600">
        <v>597</v>
      </c>
      <c r="B600" t="s">
        <v>1165</v>
      </c>
      <c r="C600" t="s">
        <v>1166</v>
      </c>
      <c r="D600" t="str">
        <f t="shared" si="18"/>
        <v>597. V10431</v>
      </c>
      <c r="E600" s="5" t="str">
        <f t="shared" ca="1" si="19"/>
        <v>Công ty cổ phần phát triển công nghiệp Teksol Việt Nam</v>
      </c>
      <c r="F600" t="str">
        <f>IFERROR(VLOOKUP(Table1[[#This Row],[Tên đối tượng]],'DANH MỤC ĐỐI TƯỢNG'!A:E,5,0),"")</f>
        <v>Số 17/45 Kiều sơn, phường Đằng lâm, Quận Hải An, TP Hải Phòng, Việt Nam</v>
      </c>
      <c r="G600">
        <f>_xlfn.IFNA(VLOOKUP(Table1[[#This Row],[Tên đối tượng]],'DANH MỤC ĐỐI TƯỢNG'!A:F,6,0),"")</f>
        <v>0</v>
      </c>
      <c r="H600" t="str">
        <f>_xlfn.IFNA(VLOOKUP(Table1[[#This Row],[Tên đối tượng]],'DANH MỤC ĐỐI TƯỢNG'!A:I,9,0),"")</f>
        <v>Vietcombank-CN Nam Hải Phòng</v>
      </c>
      <c r="I600" t="str">
        <f>_xlfn.IFNA(VLOOKUP(Table1[[#This Row],[Tên đối tượng]],'DANH MỤC ĐỐI TƯỢNG'!A:J,10,0),"")</f>
        <v>1031000006262</v>
      </c>
    </row>
    <row r="601" spans="1:9" x14ac:dyDescent="0.3">
      <c r="A601">
        <v>598</v>
      </c>
      <c r="B601" t="s">
        <v>1167</v>
      </c>
      <c r="C601" t="s">
        <v>1168</v>
      </c>
      <c r="D601" t="str">
        <f t="shared" si="18"/>
        <v>598. V4011C0</v>
      </c>
      <c r="E601" s="5" t="str">
        <f t="shared" ca="1" si="19"/>
        <v>Công ty cổ phần thương mại Quang Cường</v>
      </c>
      <c r="F601" t="str">
        <f>IFERROR(VLOOKUP(Table1[[#This Row],[Tên đối tượng]],'DANH MỤC ĐỐI TƯỢNG'!A:E,5,0),"")</f>
        <v/>
      </c>
      <c r="G601" t="str">
        <f>_xlfn.IFNA(VLOOKUP(Table1[[#This Row],[Tên đối tượng]],'DANH MỤC ĐỐI TƯỢNG'!A:F,6,0),"")</f>
        <v/>
      </c>
      <c r="H601" t="str">
        <f>_xlfn.IFNA(VLOOKUP(Table1[[#This Row],[Tên đối tượng]],'DANH MỤC ĐỐI TƯỢNG'!A:I,9,0),"")</f>
        <v/>
      </c>
      <c r="I601" t="str">
        <f>_xlfn.IFNA(VLOOKUP(Table1[[#This Row],[Tên đối tượng]],'DANH MỤC ĐỐI TƯỢNG'!A:J,10,0),"")</f>
        <v/>
      </c>
    </row>
    <row r="602" spans="1:9" x14ac:dyDescent="0.3">
      <c r="A602">
        <v>599</v>
      </c>
      <c r="B602" t="s">
        <v>1169</v>
      </c>
      <c r="C602" t="s">
        <v>1170</v>
      </c>
      <c r="D602" t="str">
        <f t="shared" si="18"/>
        <v>599. V10447</v>
      </c>
      <c r="E602" s="5" t="str">
        <f t="shared" ca="1" si="19"/>
        <v>Công ty TNHH Kỹ thuật NK</v>
      </c>
      <c r="F602" t="str">
        <f>IFERROR(VLOOKUP(Table1[[#This Row],[Tên đối tượng]],'DANH MỤC ĐỐI TƯỢNG'!A:E,5,0),"")</f>
        <v>213/52/21 Đường Quang Trung, Phường 10, Quận Gò Vấp,TP.HCM</v>
      </c>
      <c r="G602" t="str">
        <f>_xlfn.IFNA(VLOOKUP(Table1[[#This Row],[Tên đối tượng]],'DANH MỤC ĐỐI TƯỢNG'!A:F,6,0),"")</f>
        <v>312720807</v>
      </c>
      <c r="H602" t="str">
        <f>_xlfn.IFNA(VLOOKUP(Table1[[#This Row],[Tên đối tượng]],'DANH MỤC ĐỐI TƯỢNG'!A:I,9,0),"")</f>
        <v>Ngân hàng TMCP Ngoại Thương Việt Nam</v>
      </c>
      <c r="I602" t="str">
        <f>_xlfn.IFNA(VLOOKUP(Table1[[#This Row],[Tên đối tượng]],'DANH MỤC ĐỐI TƯỢNG'!A:J,10,0),"")</f>
        <v>0071000880140</v>
      </c>
    </row>
    <row r="603" spans="1:9" x14ac:dyDescent="0.3">
      <c r="A603">
        <v>600</v>
      </c>
      <c r="B603" t="s">
        <v>1171</v>
      </c>
      <c r="C603" t="s">
        <v>1172</v>
      </c>
      <c r="D603" t="str">
        <f t="shared" si="18"/>
        <v>600. V10419</v>
      </c>
      <c r="E603" s="5" t="str">
        <f t="shared" ca="1" si="19"/>
        <v>Công ty TNHH thương mại thiết bị công nghiệp Trường An</v>
      </c>
      <c r="F603" t="str">
        <f>IFERROR(VLOOKUP(Table1[[#This Row],[Tên đối tượng]],'DANH MỤC ĐỐI TƯỢNG'!A:E,5,0),"")</f>
        <v>Đại Mạch, 183 Mai Châu, Đông Anh, Hà Nội</v>
      </c>
      <c r="G603" t="str">
        <f>_xlfn.IFNA(VLOOKUP(Table1[[#This Row],[Tên đối tượng]],'DANH MỤC ĐỐI TƯỢNG'!A:F,6,0),"")</f>
        <v>0303987579</v>
      </c>
      <c r="H603" t="str">
        <f>_xlfn.IFNA(VLOOKUP(Table1[[#This Row],[Tên đối tượng]],'DANH MỤC ĐỐI TƯỢNG'!A:I,9,0),"")</f>
        <v>Techcombank-CN Hoang Quoc Viet</v>
      </c>
      <c r="I603" t="str">
        <f>_xlfn.IFNA(VLOOKUP(Table1[[#This Row],[Tên đối tượng]],'DANH MỤC ĐỐI TƯỢNG'!A:J,10,0),"")</f>
        <v>190276-52852-668</v>
      </c>
    </row>
    <row r="604" spans="1:9" x14ac:dyDescent="0.3">
      <c r="A604">
        <v>601</v>
      </c>
      <c r="B604" t="s">
        <v>1173</v>
      </c>
      <c r="C604" t="s">
        <v>1174</v>
      </c>
      <c r="D604" t="str">
        <f t="shared" si="18"/>
        <v>601. V10446</v>
      </c>
      <c r="E604" s="5" t="str">
        <f t="shared" ca="1" si="19"/>
        <v>Công ty cổ phần giáo dục quốc tế Đức Mạnh</v>
      </c>
      <c r="F604" t="str">
        <f>IFERROR(VLOOKUP(Table1[[#This Row],[Tên đối tượng]],'DANH MỤC ĐỐI TƯỢNG'!A:E,5,0),"")</f>
        <v>Số 8/20/299 Ngô Gia Tự, P.Đằng Lâm, Q.Hải An, TP Hải Phòng</v>
      </c>
      <c r="G604">
        <f>_xlfn.IFNA(VLOOKUP(Table1[[#This Row],[Tên đối tượng]],'DANH MỤC ĐỐI TƯỢNG'!A:F,6,0),"")</f>
        <v>0</v>
      </c>
      <c r="H604" t="str">
        <f>_xlfn.IFNA(VLOOKUP(Table1[[#This Row],[Tên đối tượng]],'DANH MỤC ĐỐI TƯỢNG'!A:I,9,0),"")</f>
        <v>Ngân hàng Vietcombank - CN Hải Phòng</v>
      </c>
      <c r="I604" t="str">
        <f>_xlfn.IFNA(VLOOKUP(Table1[[#This Row],[Tên đối tượng]],'DANH MỤC ĐỐI TƯỢNG'!A:J,10,0),"")</f>
        <v>0031000219922</v>
      </c>
    </row>
    <row r="605" spans="1:9" x14ac:dyDescent="0.3">
      <c r="A605">
        <v>602</v>
      </c>
      <c r="B605" t="s">
        <v>1175</v>
      </c>
      <c r="C605" t="s">
        <v>1176</v>
      </c>
      <c r="D605" t="str">
        <f t="shared" si="18"/>
        <v>602. V4101C0</v>
      </c>
      <c r="E605" s="5" t="str">
        <f t="shared" ca="1" si="19"/>
        <v>Công ty TNHH Gốm sứ thủy tinh An Trường Lộc</v>
      </c>
      <c r="F605" t="str">
        <f>IFERROR(VLOOKUP(Table1[[#This Row],[Tên đối tượng]],'DANH MỤC ĐỐI TƯỢNG'!A:E,5,0),"")</f>
        <v>Thôn Phúc Am, xã Duyên Thái, huyện Thường Tín, TP Hà Nội</v>
      </c>
      <c r="G605">
        <f>_xlfn.IFNA(VLOOKUP(Table1[[#This Row],[Tên đối tượng]],'DANH MỤC ĐỐI TƯỢNG'!A:F,6,0),"")</f>
        <v>0</v>
      </c>
      <c r="H605" t="str">
        <f>_xlfn.IFNA(VLOOKUP(Table1[[#This Row],[Tên đối tượng]],'DANH MỤC ĐỐI TƯỢNG'!A:I,9,0),"")</f>
        <v>Ngân hàng NN&amp;PT Nông thôn huyện Thường Tín - CN Hà Tây</v>
      </c>
      <c r="I605" t="str">
        <f>_xlfn.IFNA(VLOOKUP(Table1[[#This Row],[Tên đối tượng]],'DANH MỤC ĐỐI TƯỢNG'!A:J,10,0),"")</f>
        <v>2208201008890</v>
      </c>
    </row>
    <row r="606" spans="1:9" x14ac:dyDescent="0.3">
      <c r="A606">
        <v>603</v>
      </c>
      <c r="B606" t="s">
        <v>1177</v>
      </c>
      <c r="C606" t="s">
        <v>1178</v>
      </c>
      <c r="D606" t="str">
        <f t="shared" si="18"/>
        <v>603. V10444</v>
      </c>
      <c r="E606" s="5" t="str">
        <f t="shared" ca="1" si="19"/>
        <v xml:space="preserve">Công ty TNHH thương mại Logitem VN </v>
      </c>
      <c r="F606" t="str">
        <f>IFERROR(VLOOKUP(Table1[[#This Row],[Tên đối tượng]],'DANH MỤC ĐỐI TƯỢNG'!A:E,5,0),"")</f>
        <v/>
      </c>
      <c r="G606" t="str">
        <f>_xlfn.IFNA(VLOOKUP(Table1[[#This Row],[Tên đối tượng]],'DANH MỤC ĐỐI TƯỢNG'!A:F,6,0),"")</f>
        <v/>
      </c>
      <c r="H606" t="str">
        <f>_xlfn.IFNA(VLOOKUP(Table1[[#This Row],[Tên đối tượng]],'DANH MỤC ĐỐI TƯỢNG'!A:I,9,0),"")</f>
        <v/>
      </c>
      <c r="I606" t="str">
        <f>_xlfn.IFNA(VLOOKUP(Table1[[#This Row],[Tên đối tượng]],'DANH MỤC ĐỐI TƯỢNG'!A:J,10,0),"")</f>
        <v/>
      </c>
    </row>
    <row r="607" spans="1:9" x14ac:dyDescent="0.3">
      <c r="A607">
        <v>604</v>
      </c>
      <c r="B607" t="s">
        <v>1179</v>
      </c>
      <c r="C607" t="s">
        <v>1180</v>
      </c>
      <c r="D607" t="str">
        <f t="shared" si="18"/>
        <v>604. V10452</v>
      </c>
      <c r="E607" s="5" t="str">
        <f t="shared" ca="1" si="19"/>
        <v xml:space="preserve">Công ty TNHH thiết bị công nghiệp Ishiko VN </v>
      </c>
      <c r="F607" t="str">
        <f>IFERROR(VLOOKUP(Table1[[#This Row],[Tên đối tượng]],'DANH MỤC ĐỐI TƯỢNG'!A:E,5,0),"")</f>
        <v/>
      </c>
      <c r="G607" t="str">
        <f>_xlfn.IFNA(VLOOKUP(Table1[[#This Row],[Tên đối tượng]],'DANH MỤC ĐỐI TƯỢNG'!A:F,6,0),"")</f>
        <v/>
      </c>
      <c r="H607" t="str">
        <f>_xlfn.IFNA(VLOOKUP(Table1[[#This Row],[Tên đối tượng]],'DANH MỤC ĐỐI TƯỢNG'!A:I,9,0),"")</f>
        <v/>
      </c>
      <c r="I607" t="str">
        <f>_xlfn.IFNA(VLOOKUP(Table1[[#This Row],[Tên đối tượng]],'DANH MỤC ĐỐI TƯỢNG'!A:J,10,0),"")</f>
        <v/>
      </c>
    </row>
    <row r="608" spans="1:9" x14ac:dyDescent="0.3">
      <c r="A608">
        <v>605</v>
      </c>
      <c r="B608" t="s">
        <v>1181</v>
      </c>
      <c r="C608" t="s">
        <v>1182</v>
      </c>
      <c r="D608" t="str">
        <f t="shared" si="18"/>
        <v>605. V10442</v>
      </c>
      <c r="E608" s="5" t="str">
        <f t="shared" ca="1" si="19"/>
        <v xml:space="preserve">Công ty cổ phần KD &amp; XNK khí hóa lỏng Vạn Lộc </v>
      </c>
      <c r="F608" t="str">
        <f>IFERROR(VLOOKUP(Table1[[#This Row],[Tên đối tượng]],'DANH MỤC ĐỐI TƯỢNG'!A:E,5,0),"")</f>
        <v/>
      </c>
      <c r="G608" t="str">
        <f>_xlfn.IFNA(VLOOKUP(Table1[[#This Row],[Tên đối tượng]],'DANH MỤC ĐỐI TƯỢNG'!A:F,6,0),"")</f>
        <v/>
      </c>
      <c r="H608" t="str">
        <f>_xlfn.IFNA(VLOOKUP(Table1[[#This Row],[Tên đối tượng]],'DANH MỤC ĐỐI TƯỢNG'!A:I,9,0),"")</f>
        <v/>
      </c>
      <c r="I608" t="str">
        <f>_xlfn.IFNA(VLOOKUP(Table1[[#This Row],[Tên đối tượng]],'DANH MỤC ĐỐI TƯỢNG'!A:J,10,0),"")</f>
        <v/>
      </c>
    </row>
    <row r="609" spans="1:9" x14ac:dyDescent="0.3">
      <c r="A609">
        <v>606</v>
      </c>
      <c r="B609" t="s">
        <v>1183</v>
      </c>
      <c r="C609" t="s">
        <v>1184</v>
      </c>
      <c r="D609" t="str">
        <f t="shared" si="18"/>
        <v>606. V10424</v>
      </c>
      <c r="E609" s="5" t="str">
        <f t="shared" ca="1" si="19"/>
        <v>Công ty TNHH TM &amp; DV điện cơ Tân Tiến</v>
      </c>
      <c r="F609" t="str">
        <f>IFERROR(VLOOKUP(Table1[[#This Row],[Tên đối tượng]],'DANH MỤC ĐỐI TƯỢNG'!A:E,5,0),"")</f>
        <v/>
      </c>
      <c r="G609" t="str">
        <f>_xlfn.IFNA(VLOOKUP(Table1[[#This Row],[Tên đối tượng]],'DANH MỤC ĐỐI TƯỢNG'!A:F,6,0),"")</f>
        <v/>
      </c>
      <c r="H609" t="str">
        <f>_xlfn.IFNA(VLOOKUP(Table1[[#This Row],[Tên đối tượng]],'DANH MỤC ĐỐI TƯỢNG'!A:I,9,0),"")</f>
        <v/>
      </c>
      <c r="I609" t="str">
        <f>_xlfn.IFNA(VLOOKUP(Table1[[#This Row],[Tên đối tượng]],'DANH MỤC ĐỐI TƯỢNG'!A:J,10,0),"")</f>
        <v/>
      </c>
    </row>
    <row r="610" spans="1:9" x14ac:dyDescent="0.3">
      <c r="A610">
        <v>607</v>
      </c>
      <c r="B610" t="s">
        <v>1185</v>
      </c>
      <c r="C610" t="s">
        <v>1186</v>
      </c>
      <c r="D610" t="str">
        <f t="shared" si="18"/>
        <v>607. V10403</v>
      </c>
      <c r="E610" s="5" t="str">
        <f t="shared" ca="1" si="19"/>
        <v>Công ty TNHH Xuân Sơn</v>
      </c>
      <c r="F610" t="str">
        <f>IFERROR(VLOOKUP(Table1[[#This Row],[Tên đối tượng]],'DANH MỤC ĐỐI TƯỢNG'!A:E,5,0),"")</f>
        <v>Xóm Chùa, xã Tân Dương, Huyện Thủy Nguyên, Hải Phòng, VN</v>
      </c>
      <c r="G610">
        <f>_xlfn.IFNA(VLOOKUP(Table1[[#This Row],[Tên đối tượng]],'DANH MỤC ĐỐI TƯỢNG'!A:F,6,0),"")</f>
        <v>0</v>
      </c>
      <c r="H610" t="str">
        <f>_xlfn.IFNA(VLOOKUP(Table1[[#This Row],[Tên đối tượng]],'DANH MỤC ĐỐI TƯỢNG'!A:I,9,0),"")</f>
        <v>Ngân hàng TMCP Công thương Việt Nam - CN Lê Chân</v>
      </c>
      <c r="I610" t="str">
        <f>_xlfn.IFNA(VLOOKUP(Table1[[#This Row],[Tên đối tượng]],'DANH MỤC ĐỐI TƯỢNG'!A:J,10,0),"")</f>
        <v>111.00000.9860</v>
      </c>
    </row>
    <row r="611" spans="1:9" x14ac:dyDescent="0.3">
      <c r="A611">
        <v>608</v>
      </c>
      <c r="B611" t="s">
        <v>1187</v>
      </c>
      <c r="C611" t="s">
        <v>8870</v>
      </c>
      <c r="D611" t="str">
        <f t="shared" si="18"/>
        <v>608. V10445</v>
      </c>
      <c r="E611" s="5" t="str">
        <f t="shared" ca="1" si="19"/>
        <v>CÔNG TY TNHH NOVENTIQ VIỆT NAM</v>
      </c>
      <c r="F611" t="str">
        <f>IFERROR(VLOOKUP(Table1[[#This Row],[Tên đối tượng]],'DANH MỤC ĐỐI TƯỢNG'!A:E,5,0),"")</f>
        <v>Lầu 7, Toà nhà Viet Dragon Tower,141 Nguyễn Du, Phường Bến Thành,Quận 1,Thành phố Hồ Chí Minh</v>
      </c>
      <c r="G611">
        <f>_xlfn.IFNA(VLOOKUP(Table1[[#This Row],[Tên đối tượng]],'DANH MỤC ĐỐI TƯỢNG'!A:F,6,0),"")</f>
        <v>0</v>
      </c>
      <c r="H611" t="str">
        <f>_xlfn.IFNA(VLOOKUP(Table1[[#This Row],[Tên đối tượng]],'DANH MỤC ĐỐI TƯỢNG'!A:I,9,0),"")</f>
        <v>Ngân hàng Citibank-Chi nhánh Hà Nội</v>
      </c>
      <c r="I611" t="str">
        <f>_xlfn.IFNA(VLOOKUP(Table1[[#This Row],[Tên đối tượng]],'DANH MỤC ĐỐI TƯỢNG'!A:J,10,0),"")</f>
        <v>201642027</v>
      </c>
    </row>
    <row r="612" spans="1:9" x14ac:dyDescent="0.3">
      <c r="A612">
        <v>609</v>
      </c>
      <c r="B612" t="s">
        <v>1188</v>
      </c>
      <c r="C612" t="s">
        <v>1189</v>
      </c>
      <c r="D612" t="str">
        <f t="shared" si="18"/>
        <v>609. V10465</v>
      </c>
      <c r="E612" s="5" t="str">
        <f t="shared" ca="1" si="19"/>
        <v>Hộ kinh doanh- Hoàng Thị Chuyên</v>
      </c>
      <c r="F612" t="str">
        <f>IFERROR(VLOOKUP(Table1[[#This Row],[Tên đối tượng]],'DANH MỤC ĐỐI TƯỢNG'!A:E,5,0),"")</f>
        <v>Xóm mới, Xã Hồng Thái, Huyện An Dương, Hải Phòng</v>
      </c>
      <c r="G612" t="str">
        <f>_xlfn.IFNA(VLOOKUP(Table1[[#This Row],[Tên đối tượng]],'DANH MỤC ĐỐI TƯỢNG'!A:F,6,0),"")</f>
        <v>8374142075</v>
      </c>
      <c r="H612" t="str">
        <f>_xlfn.IFNA(VLOOKUP(Table1[[#This Row],[Tên đối tượng]],'DANH MỤC ĐỐI TƯỢNG'!A:I,9,0),"")</f>
        <v>Ngân hàng TMCP Bưu Điện Liên Việt</v>
      </c>
      <c r="I612" t="str">
        <f>_xlfn.IFNA(VLOOKUP(Table1[[#This Row],[Tên đối tượng]],'DANH MỤC ĐỐI TƯỢNG'!A:J,10,0),"")</f>
        <v>016674270002</v>
      </c>
    </row>
    <row r="613" spans="1:9" x14ac:dyDescent="0.3">
      <c r="A613">
        <v>610</v>
      </c>
      <c r="B613" t="s">
        <v>1190</v>
      </c>
      <c r="C613" t="s">
        <v>1191</v>
      </c>
      <c r="D613" t="str">
        <f t="shared" si="18"/>
        <v>610. V10464</v>
      </c>
      <c r="E613" s="5" t="str">
        <f t="shared" ca="1" si="19"/>
        <v>Công ty TNHH Hiền Sách</v>
      </c>
      <c r="F613" t="str">
        <f>IFERROR(VLOOKUP(Table1[[#This Row],[Tên đối tượng]],'DANH MỤC ĐỐI TƯỢNG'!A:E,5,0),"")</f>
        <v>Khu 5 (Tại nhà bà Nguyễn Thị Hiền), Thị trấn Tiên Lãng, Huyện Tiên Lãng, TP Hải Phòng, Việt Nam</v>
      </c>
      <c r="G613" t="str">
        <f>_xlfn.IFNA(VLOOKUP(Table1[[#This Row],[Tên đối tượng]],'DANH MỤC ĐỐI TƯỢNG'!A:F,6,0),"")</f>
        <v>0201900949</v>
      </c>
      <c r="H613" t="str">
        <f>_xlfn.IFNA(VLOOKUP(Table1[[#This Row],[Tên đối tượng]],'DANH MỤC ĐỐI TƯỢNG'!A:I,9,0),"")</f>
        <v>NH NN &amp; PTNT Việt Nam- CN Huyện Tiên Lãng</v>
      </c>
      <c r="I613" t="str">
        <f>_xlfn.IFNA(VLOOKUP(Table1[[#This Row],[Tên đối tượng]],'DANH MỤC ĐỐI TƯỢNG'!A:J,10,0),"")</f>
        <v>2106201003302</v>
      </c>
    </row>
    <row r="614" spans="1:9" x14ac:dyDescent="0.3">
      <c r="A614">
        <v>611</v>
      </c>
      <c r="B614" t="s">
        <v>1192</v>
      </c>
      <c r="C614" t="s">
        <v>1193</v>
      </c>
      <c r="D614" t="str">
        <f t="shared" si="18"/>
        <v>611. V10387</v>
      </c>
      <c r="E614" s="5" t="str">
        <f t="shared" ca="1" si="19"/>
        <v>Công ty TNHH Đầu tư thương mại dịch vụ Dũng Anh</v>
      </c>
      <c r="F614" t="str">
        <f>IFERROR(VLOOKUP(Table1[[#This Row],[Tên đối tượng]],'DANH MỤC ĐỐI TƯỢNG'!A:E,5,0),"")</f>
        <v>Số 6B147 tổ 12, P. Thành Tô, Q. Hải An, TP Hải Phòng</v>
      </c>
      <c r="G614">
        <f>_xlfn.IFNA(VLOOKUP(Table1[[#This Row],[Tên đối tượng]],'DANH MỤC ĐỐI TƯỢNG'!A:F,6,0),"")</f>
        <v>0</v>
      </c>
      <c r="H614" t="str">
        <f>_xlfn.IFNA(VLOOKUP(Table1[[#This Row],[Tên đối tượng]],'DANH MỤC ĐỐI TƯỢNG'!A:I,9,0),"")</f>
        <v>Ngân hàng TMCP Quân Đội, CN Bắc Hải Phòng</v>
      </c>
      <c r="I614" t="str">
        <f>_xlfn.IFNA(VLOOKUP(Table1[[#This Row],[Tên đối tượng]],'DANH MỤC ĐỐI TƯỢNG'!A:J,10,0),"")</f>
        <v>2631132668668</v>
      </c>
    </row>
    <row r="615" spans="1:9" x14ac:dyDescent="0.3">
      <c r="A615">
        <v>612</v>
      </c>
      <c r="B615" t="s">
        <v>1194</v>
      </c>
      <c r="C615" t="s">
        <v>1195</v>
      </c>
      <c r="D615" t="str">
        <f t="shared" si="18"/>
        <v>612. V10404</v>
      </c>
      <c r="E615" s="5" t="str">
        <f t="shared" ca="1" si="19"/>
        <v>Công ty TNHH TM SX điện trở đốt nóng Việt Sinh (VISIN HEATER Co., LTD)</v>
      </c>
      <c r="F615" t="str">
        <f>IFERROR(VLOOKUP(Table1[[#This Row],[Tên đối tượng]],'DANH MỤC ĐỐI TƯỢNG'!A:E,5,0),"")</f>
        <v>Lô số 24, KCN Tân Tạo, đường số 7, phường Tân Tạo, quận Bình Tân</v>
      </c>
      <c r="G615">
        <f>_xlfn.IFNA(VLOOKUP(Table1[[#This Row],[Tên đối tượng]],'DANH MỤC ĐỐI TƯỢNG'!A:F,6,0),"")</f>
        <v>0</v>
      </c>
      <c r="H615" t="str">
        <f>_xlfn.IFNA(VLOOKUP(Table1[[#This Row],[Tên đối tượng]],'DANH MỤC ĐỐI TƯỢNG'!A:I,9,0),"")</f>
        <v>Eximbank-Ngân hàng TMCP Xuất Nhập khẩu Việt Nam</v>
      </c>
      <c r="I615" t="str">
        <f>_xlfn.IFNA(VLOOKUP(Table1[[#This Row],[Tên đối tượng]],'DANH MỤC ĐỐI TƯỢNG'!A:J,10,0),"")</f>
        <v>101514851005834</v>
      </c>
    </row>
    <row r="616" spans="1:9" x14ac:dyDescent="0.3">
      <c r="A616">
        <v>613</v>
      </c>
      <c r="B616" t="s">
        <v>1196</v>
      </c>
      <c r="C616" t="s">
        <v>1197</v>
      </c>
      <c r="D616" t="str">
        <f t="shared" si="18"/>
        <v>613. V10398</v>
      </c>
      <c r="E616" s="5" t="str">
        <f t="shared" ca="1" si="19"/>
        <v>CÔNG TY CỔ PHẦN BAO BÌ HẢI HÀ</v>
      </c>
      <c r="F616" t="str">
        <f>IFERROR(VLOOKUP(Table1[[#This Row],[Tên đối tượng]],'DANH MỤC ĐỐI TƯỢNG'!A:E,5,0),"")</f>
        <v>Số 135/109 đường Trường Chinh, Phường Đồng Hòa, Quận Kiến An, Thành phố Hải Phòng</v>
      </c>
      <c r="G616">
        <f>_xlfn.IFNA(VLOOKUP(Table1[[#This Row],[Tên đối tượng]],'DANH MỤC ĐỐI TƯỢNG'!A:F,6,0),"")</f>
        <v>0</v>
      </c>
      <c r="H616" t="str">
        <f>_xlfn.IFNA(VLOOKUP(Table1[[#This Row],[Tên đối tượng]],'DANH MỤC ĐỐI TƯỢNG'!A:I,9,0),"")</f>
        <v>Ngân hàng TMCP Hàng hải Việt Nam - Chi nhánh Hà Nội</v>
      </c>
      <c r="I616" t="str">
        <f>_xlfn.IFNA(VLOOKUP(Table1[[#This Row],[Tên đối tượng]],'DANH MỤC ĐỐI TƯỢNG'!A:J,10,0),"")</f>
        <v>03001010647635</v>
      </c>
    </row>
    <row r="617" spans="1:9" x14ac:dyDescent="0.3">
      <c r="A617">
        <v>614</v>
      </c>
      <c r="B617" t="s">
        <v>1198</v>
      </c>
      <c r="C617" t="s">
        <v>1199</v>
      </c>
      <c r="D617" t="str">
        <f t="shared" si="18"/>
        <v>614. V10458</v>
      </c>
      <c r="E617" s="5" t="str">
        <f t="shared" ca="1" si="19"/>
        <v>Công ty Cổ Phần Phát triển Kỹ thuật và Thương Mại Tân Đức</v>
      </c>
      <c r="F617" t="str">
        <f>IFERROR(VLOOKUP(Table1[[#This Row],[Tên đối tượng]],'DANH MỤC ĐỐI TƯỢNG'!A:E,5,0),"")</f>
        <v>103 Pasteur, Phường Bến Nghé, Quận 1, TP Hồ Chí Minh</v>
      </c>
      <c r="G617" t="str">
        <f>_xlfn.IFNA(VLOOKUP(Table1[[#This Row],[Tên đối tượng]],'DANH MỤC ĐỐI TƯỢNG'!A:F,6,0),"")</f>
        <v>0302560382</v>
      </c>
      <c r="H617" t="str">
        <f>_xlfn.IFNA(VLOOKUP(Table1[[#This Row],[Tên đối tượng]],'DANH MỤC ĐỐI TƯỢNG'!A:I,9,0),"")</f>
        <v>Ngân hàng TMCP Công Thương Việt Nam- CN TP Hồ Chí Minh</v>
      </c>
      <c r="I617" t="str">
        <f>_xlfn.IFNA(VLOOKUP(Table1[[#This Row],[Tên đối tượng]],'DANH MỤC ĐỐI TƯỢNG'!A:J,10,0),"")</f>
        <v>115000004383</v>
      </c>
    </row>
    <row r="618" spans="1:9" x14ac:dyDescent="0.3">
      <c r="A618">
        <v>615</v>
      </c>
      <c r="B618" t="s">
        <v>1200</v>
      </c>
      <c r="C618" t="s">
        <v>1201</v>
      </c>
      <c r="D618" t="str">
        <f t="shared" si="18"/>
        <v>615. V10379</v>
      </c>
      <c r="E618" s="5" t="str">
        <f t="shared" ca="1" si="19"/>
        <v>CÔNG TY CỔ PHẦN CÔNG NGHỆ VÀ XÂY DỰNG MINH VIỆT</v>
      </c>
      <c r="F618" t="str">
        <f>IFERROR(VLOOKUP(Table1[[#This Row],[Tên đối tượng]],'DANH MỤC ĐỐI TƯỢNG'!A:E,5,0),"")</f>
        <v>Số 44, ngõ 381,đường Nguyễn Khang,Phường Yên Hòa,Quận Cầu Giấy,Thành phố Hà Nội, Việt Nam</v>
      </c>
      <c r="G618">
        <f>_xlfn.IFNA(VLOOKUP(Table1[[#This Row],[Tên đối tượng]],'DANH MỤC ĐỐI TƯỢNG'!A:F,6,0),"")</f>
        <v>0</v>
      </c>
      <c r="H618" t="str">
        <f>_xlfn.IFNA(VLOOKUP(Table1[[#This Row],[Tên đối tượng]],'DANH MỤC ĐỐI TƯỢNG'!A:I,9,0),"")</f>
        <v>VP Bank / CN Thăng Long, PGD Trung Hòa Nhân Chính</v>
      </c>
      <c r="I618" t="str">
        <f>_xlfn.IFNA(VLOOKUP(Table1[[#This Row],[Tên đối tượng]],'DANH MỤC ĐỐI TƯỢNG'!A:J,10,0),"")</f>
        <v>71733998</v>
      </c>
    </row>
    <row r="619" spans="1:9" x14ac:dyDescent="0.3">
      <c r="A619">
        <v>616</v>
      </c>
      <c r="B619" t="s">
        <v>1202</v>
      </c>
      <c r="C619" t="s">
        <v>1203</v>
      </c>
      <c r="D619" t="str">
        <f t="shared" si="18"/>
        <v>616. V10453</v>
      </c>
      <c r="E619" s="5" t="str">
        <f t="shared" ca="1" si="19"/>
        <v>Công ty cổ phần công nghệ Hợp Long</v>
      </c>
      <c r="F619" t="str">
        <f>IFERROR(VLOOKUP(Table1[[#This Row],[Tên đối tượng]],'DANH MỤC ĐỐI TƯỢNG'!A:E,5,0),"")</f>
        <v>Số 6, ngõ 293, đường Tân Mai, phường Tân Mai, quận Hoàng Mai, Hà Nội</v>
      </c>
      <c r="G619" t="str">
        <f>_xlfn.IFNA(VLOOKUP(Table1[[#This Row],[Tên đối tượng]],'DANH MỤC ĐỐI TƯỢNG'!A:F,6,0),"")</f>
        <v>0104509916</v>
      </c>
      <c r="H619" t="str">
        <f>_xlfn.IFNA(VLOOKUP(Table1[[#This Row],[Tên đối tượng]],'DANH MỤC ĐỐI TƯỢNG'!A:I,9,0),"")</f>
        <v>Ngân hàng TMCP ngoại thương VN-CN Phố Hiến</v>
      </c>
      <c r="I619" t="str">
        <f>_xlfn.IFNA(VLOOKUP(Table1[[#This Row],[Tên đối tượng]],'DANH MỤC ĐỐI TƯỢNG'!A:J,10,0),"")</f>
        <v>1021000006868</v>
      </c>
    </row>
    <row r="620" spans="1:9" x14ac:dyDescent="0.3">
      <c r="A620">
        <v>617</v>
      </c>
      <c r="B620" t="s">
        <v>1204</v>
      </c>
      <c r="C620" t="s">
        <v>1205</v>
      </c>
      <c r="D620" t="str">
        <f t="shared" si="18"/>
        <v>617. V4046C0</v>
      </c>
      <c r="E620" s="5" t="str">
        <f t="shared" ca="1" si="19"/>
        <v>Công ty TNHH ATC Quốc tế</v>
      </c>
      <c r="F620" t="str">
        <f>IFERROR(VLOOKUP(Table1[[#This Row],[Tên đối tượng]],'DANH MỤC ĐỐI TƯỢNG'!A:E,5,0),"")</f>
        <v>157 Phạm Thái Bường, phường Tân Phong, Quận 7, TP.HCM</v>
      </c>
      <c r="G620" t="str">
        <f>_xlfn.IFNA(VLOOKUP(Table1[[#This Row],[Tên đối tượng]],'DANH MỤC ĐỐI TƯỢNG'!A:F,6,0),"")</f>
        <v>0310638561</v>
      </c>
      <c r="H620" t="str">
        <f>_xlfn.IFNA(VLOOKUP(Table1[[#This Row],[Tên đối tượng]],'DANH MỤC ĐỐI TƯỢNG'!A:I,9,0),"")</f>
        <v>Vietcombank - CN Tân Sài Gòn</v>
      </c>
      <c r="I620" t="str">
        <f>_xlfn.IFNA(VLOOKUP(Table1[[#This Row],[Tên đối tượng]],'DANH MỤC ĐỐI TƯỢNG'!A:J,10,0),"")</f>
        <v>1121022011</v>
      </c>
    </row>
    <row r="621" spans="1:9" x14ac:dyDescent="0.3">
      <c r="A621">
        <v>618</v>
      </c>
      <c r="B621" t="s">
        <v>1206</v>
      </c>
      <c r="C621" t="s">
        <v>1207</v>
      </c>
      <c r="D621" t="str">
        <f t="shared" si="18"/>
        <v>618. V10432</v>
      </c>
      <c r="E621" s="5" t="str">
        <f t="shared" ca="1" si="19"/>
        <v>Công ty TNHH thương mại Hà Nghĩa</v>
      </c>
      <c r="F621" t="str">
        <f>IFERROR(VLOOKUP(Table1[[#This Row],[Tên đối tượng]],'DANH MỤC ĐỐI TƯỢNG'!A:E,5,0),"")</f>
        <v>Số 95 lô 4/97 Bạch Đằng, Phường Hạ Lý, Quận Hồng Bàng, Thành phố Hải Phòng, VN</v>
      </c>
      <c r="G621">
        <f>_xlfn.IFNA(VLOOKUP(Table1[[#This Row],[Tên đối tượng]],'DANH MỤC ĐỐI TƯỢNG'!A:F,6,0),"")</f>
        <v>0</v>
      </c>
      <c r="H621" t="str">
        <f>_xlfn.IFNA(VLOOKUP(Table1[[#This Row],[Tên đối tượng]],'DANH MỤC ĐỐI TƯỢNG'!A:I,9,0),"")</f>
        <v>Vietcombank / CN Thành Công</v>
      </c>
      <c r="I621" t="str">
        <f>_xlfn.IFNA(VLOOKUP(Table1[[#This Row],[Tên đối tượng]],'DANH MỤC ĐỐI TƯỢNG'!A:J,10,0),"")</f>
        <v>0451 000 235 965</v>
      </c>
    </row>
    <row r="622" spans="1:9" x14ac:dyDescent="0.3">
      <c r="A622">
        <v>619</v>
      </c>
      <c r="B622" t="s">
        <v>1208</v>
      </c>
      <c r="C622" t="s">
        <v>1209</v>
      </c>
      <c r="D622" t="str">
        <f t="shared" si="18"/>
        <v>619. V10300</v>
      </c>
      <c r="E622" s="5" t="str">
        <f t="shared" ca="1" si="19"/>
        <v>Công ty TNHH G.A.Consultants Việt Nam</v>
      </c>
      <c r="F622" t="str">
        <f>IFERROR(VLOOKUP(Table1[[#This Row],[Tên đối tượng]],'DANH MỤC ĐỐI TƯỢNG'!A:E,5,0),"")</f>
        <v>P.603, Tầng 6, 535 phố Kim Mã, P. Ngọc Khánh, Q.Ba Đình, Hà nội</v>
      </c>
      <c r="G622">
        <f>_xlfn.IFNA(VLOOKUP(Table1[[#This Row],[Tên đối tượng]],'DANH MỤC ĐỐI TƯỢNG'!A:F,6,0),"")</f>
        <v>0</v>
      </c>
      <c r="H622" t="str">
        <f>_xlfn.IFNA(VLOOKUP(Table1[[#This Row],[Tên đối tượng]],'DANH MỤC ĐỐI TƯỢNG'!A:I,9,0),"")</f>
        <v>Vietcombank - CN TP HCM</v>
      </c>
      <c r="I622" t="str">
        <f>_xlfn.IFNA(VLOOKUP(Table1[[#This Row],[Tên đối tượng]],'DANH MỤC ĐỐI TƯỢNG'!A:J,10,0),"")</f>
        <v>0071000739277</v>
      </c>
    </row>
    <row r="623" spans="1:9" x14ac:dyDescent="0.3">
      <c r="A623">
        <v>620</v>
      </c>
      <c r="B623" t="s">
        <v>1210</v>
      </c>
      <c r="C623" t="s">
        <v>1211</v>
      </c>
      <c r="D623" t="str">
        <f t="shared" si="18"/>
        <v>620. V10471</v>
      </c>
      <c r="E623" s="5" t="str">
        <f t="shared" ca="1" si="19"/>
        <v>Công ty TNHH Foseca Việt Nam</v>
      </c>
      <c r="F623" t="str">
        <f>IFERROR(VLOOKUP(Table1[[#This Row],[Tên đối tượng]],'DANH MỤC ĐỐI TƯỢNG'!A:E,5,0),"")</f>
        <v>Lô G6-1, KCN Quế Võ (Khu vực mở rộng), Phương Liễu, Quế Võ, Bắc Ninh</v>
      </c>
      <c r="G623" t="str">
        <f>_xlfn.IFNA(VLOOKUP(Table1[[#This Row],[Tên đối tượng]],'DANH MỤC ĐỐI TƯỢNG'!A:F,6,0),"")</f>
        <v>0103247538</v>
      </c>
      <c r="H623" t="str">
        <f>_xlfn.IFNA(VLOOKUP(Table1[[#This Row],[Tên đối tượng]],'DANH MỤC ĐỐI TƯỢNG'!A:I,9,0),"")</f>
        <v>Ngân hàng Techcombank- CN Đình Bảng</v>
      </c>
      <c r="I623" t="str">
        <f>_xlfn.IFNA(VLOOKUP(Table1[[#This Row],[Tên đối tượng]],'DANH MỤC ĐỐI TƯỢNG'!A:J,10,0),"")</f>
        <v>19021387756998</v>
      </c>
    </row>
    <row r="624" spans="1:9" x14ac:dyDescent="0.3">
      <c r="A624">
        <v>621</v>
      </c>
      <c r="B624" t="s">
        <v>1212</v>
      </c>
      <c r="C624" t="s">
        <v>1213</v>
      </c>
      <c r="D624" t="str">
        <f t="shared" si="18"/>
        <v>621. V10473</v>
      </c>
      <c r="E624" s="5" t="str">
        <f t="shared" ca="1" si="19"/>
        <v>Công ty TNHH kỹ thuật và thương mại BIBUS Việt Nam</v>
      </c>
      <c r="F624" t="str">
        <f>IFERROR(VLOOKUP(Table1[[#This Row],[Tên đối tượng]],'DANH MỤC ĐỐI TƯỢNG'!A:E,5,0),"")</f>
        <v>Số 10, Lô K, Đường Hoàng Quốc Việt, Khu dân cư Phú Mỹ, Phường Phú Mỹ, Quận 7, Thành phố Hồ Chí Minh</v>
      </c>
      <c r="G624" t="str">
        <f>_xlfn.IFNA(VLOOKUP(Table1[[#This Row],[Tên đối tượng]],'DANH MỤC ĐỐI TƯỢNG'!A:F,6,0),"")</f>
        <v>02837850627</v>
      </c>
      <c r="H624" t="str">
        <f>_xlfn.IFNA(VLOOKUP(Table1[[#This Row],[Tên đối tượng]],'DANH MỤC ĐỐI TƯỢNG'!A:I,9,0),"")</f>
        <v>Ngân hàng Vietcombank - CN Nam Sài Gòn</v>
      </c>
      <c r="I624" t="str">
        <f>_xlfn.IFNA(VLOOKUP(Table1[[#This Row],[Tên đối tượng]],'DANH MỤC ĐỐI TƯỢNG'!A:J,10,0),"")</f>
        <v>0181003493109</v>
      </c>
    </row>
    <row r="625" spans="1:9" x14ac:dyDescent="0.3">
      <c r="A625">
        <v>622</v>
      </c>
      <c r="B625" t="s">
        <v>1214</v>
      </c>
      <c r="C625" t="s">
        <v>1215</v>
      </c>
      <c r="D625" t="str">
        <f t="shared" si="18"/>
        <v>622. V10466</v>
      </c>
      <c r="E625" s="5" t="str">
        <f t="shared" ca="1" si="19"/>
        <v>Công ty TNHH khí công nghiệp Việt Nam</v>
      </c>
      <c r="F625" t="str">
        <f>IFERROR(VLOOKUP(Table1[[#This Row],[Tên đối tượng]],'DANH MỤC ĐỐI TƯỢNG'!A:E,5,0),"")</f>
        <v>Số 1P Minh Khai, phường Minh Khai, Quận Hồng Bàng, TP.Hải Phòng, Việt Nam</v>
      </c>
      <c r="G625">
        <f>_xlfn.IFNA(VLOOKUP(Table1[[#This Row],[Tên đối tượng]],'DANH MỤC ĐỐI TƯỢNG'!A:F,6,0),"")</f>
        <v>0</v>
      </c>
      <c r="H625">
        <f>_xlfn.IFNA(VLOOKUP(Table1[[#This Row],[Tên đối tượng]],'DANH MỤC ĐỐI TƯỢNG'!A:I,9,0),"")</f>
        <v>0</v>
      </c>
      <c r="I625">
        <f>_xlfn.IFNA(VLOOKUP(Table1[[#This Row],[Tên đối tượng]],'DANH MỤC ĐỐI TƯỢNG'!A:J,10,0),"")</f>
        <v>0</v>
      </c>
    </row>
    <row r="626" spans="1:9" x14ac:dyDescent="0.3">
      <c r="A626">
        <v>623</v>
      </c>
      <c r="B626" t="s">
        <v>1216</v>
      </c>
      <c r="C626" t="s">
        <v>1217</v>
      </c>
      <c r="D626" t="str">
        <f t="shared" si="18"/>
        <v>623. V10460</v>
      </c>
      <c r="E626" s="5" t="str">
        <f t="shared" ca="1" si="19"/>
        <v>Công ty TNHH Kasanam</v>
      </c>
      <c r="F626" t="str">
        <f>IFERROR(VLOOKUP(Table1[[#This Row],[Tên đối tượng]],'DANH MỤC ĐỐI TƯỢNG'!A:E,5,0),"")</f>
        <v>Phòng 104, tầng 1, tòa nhà HITC, 239 Xuân Thủy, Phường Dịch Vọng Hâu, Quận Cầu Giấy, thành phố Hà Nội</v>
      </c>
      <c r="G626">
        <f>_xlfn.IFNA(VLOOKUP(Table1[[#This Row],[Tên đối tượng]],'DANH MỤC ĐỐI TƯỢNG'!A:F,6,0),"")</f>
        <v>0</v>
      </c>
      <c r="H626" t="str">
        <f>_xlfn.IFNA(VLOOKUP(Table1[[#This Row],[Tên đối tượng]],'DANH MỤC ĐỐI TƯỢNG'!A:I,9,0),"")</f>
        <v>MIZUHO CORPORATE BANK., LTD / Hà Nội, Hà Nội</v>
      </c>
      <c r="I626" t="str">
        <f>_xlfn.IFNA(VLOOKUP(Table1[[#This Row],[Tên đối tượng]],'DANH MỤC ĐỐI TƯỢNG'!A:J,10,0),"")</f>
        <v>F15-795-015426</v>
      </c>
    </row>
    <row r="627" spans="1:9" x14ac:dyDescent="0.3">
      <c r="A627">
        <v>624</v>
      </c>
      <c r="B627" t="s">
        <v>1218</v>
      </c>
      <c r="C627" t="s">
        <v>1219</v>
      </c>
      <c r="D627" t="str">
        <f t="shared" si="18"/>
        <v>624. V10467</v>
      </c>
      <c r="E627" s="5" t="str">
        <f t="shared" ca="1" si="19"/>
        <v>Công ty TNHH thương mại công nghiệp Ngọc Lâm</v>
      </c>
      <c r="F627" t="str">
        <f>IFERROR(VLOOKUP(Table1[[#This Row],[Tên đối tượng]],'DANH MỤC ĐỐI TƯỢNG'!A:E,5,0),"")</f>
        <v>Số 343 đường Nguyễn Văn Cừ, phường Ngọc Lâm, quận Long Biên, TP Hà Nội, Việt Nam</v>
      </c>
      <c r="G627" t="str">
        <f>_xlfn.IFNA(VLOOKUP(Table1[[#This Row],[Tên đối tượng]],'DANH MỤC ĐỐI TƯỢNG'!A:F,6,0),"")</f>
        <v>0106834710</v>
      </c>
      <c r="H627" t="str">
        <f>_xlfn.IFNA(VLOOKUP(Table1[[#This Row],[Tên đối tượng]],'DANH MỤC ĐỐI TƯỢNG'!A:I,9,0),"")</f>
        <v>Ngân hàng Ngoại thương Việt Nam-Sở giao dịch</v>
      </c>
      <c r="I627" t="str">
        <f>_xlfn.IFNA(VLOOKUP(Table1[[#This Row],[Tên đối tượng]],'DANH MỤC ĐỐI TƯỢNG'!A:J,10,0),"")</f>
        <v>0011004239205</v>
      </c>
    </row>
    <row r="628" spans="1:9" x14ac:dyDescent="0.3">
      <c r="A628">
        <v>625</v>
      </c>
      <c r="B628" t="s">
        <v>1220</v>
      </c>
      <c r="C628" t="s">
        <v>1221</v>
      </c>
      <c r="D628" t="str">
        <f t="shared" si="18"/>
        <v>625. V10462</v>
      </c>
      <c r="E628" s="5" t="str">
        <f t="shared" ca="1" si="19"/>
        <v>Công ty cổ phần kỹ thuật Sigma</v>
      </c>
      <c r="F628" t="str">
        <f>IFERROR(VLOOKUP(Table1[[#This Row],[Tên đối tượng]],'DANH MỤC ĐỐI TƯỢNG'!A:E,5,0),"")</f>
        <v>14-16 Hàm Long, phường Phan Chu Trinh, quận Hoàn Kiếm, Hà Nội</v>
      </c>
      <c r="G628">
        <f>_xlfn.IFNA(VLOOKUP(Table1[[#This Row],[Tên đối tượng]],'DANH MỤC ĐỐI TƯỢNG'!A:F,6,0),"")</f>
        <v>0</v>
      </c>
      <c r="H628">
        <f>_xlfn.IFNA(VLOOKUP(Table1[[#This Row],[Tên đối tượng]],'DANH MỤC ĐỐI TƯỢNG'!A:I,9,0),"")</f>
        <v>0</v>
      </c>
      <c r="I628">
        <f>_xlfn.IFNA(VLOOKUP(Table1[[#This Row],[Tên đối tượng]],'DANH MỤC ĐỐI TƯỢNG'!A:J,10,0),"")</f>
        <v>0</v>
      </c>
    </row>
    <row r="629" spans="1:9" x14ac:dyDescent="0.3">
      <c r="A629">
        <v>626</v>
      </c>
      <c r="B629" t="s">
        <v>1222</v>
      </c>
      <c r="C629" t="s">
        <v>1223</v>
      </c>
      <c r="D629" t="str">
        <f t="shared" si="18"/>
        <v>626. V10459</v>
      </c>
      <c r="E629" s="5" t="str">
        <f t="shared" ca="1" si="19"/>
        <v>Công ty TNHH JMUS Việt Nam</v>
      </c>
      <c r="F629" t="str">
        <f>IFERROR(VLOOKUP(Table1[[#This Row],[Tên đối tượng]],'DANH MỤC ĐỐI TƯỢNG'!A:E,5,0),"")</f>
        <v>Phòng số 409, tầng 4, tòa nhà VCCI Hải Phòng, số 462-466 Lạch Tray, Đằng Giang, Ngô Quyền , Hải Phòng, Việt Nam</v>
      </c>
      <c r="G629">
        <f>_xlfn.IFNA(VLOOKUP(Table1[[#This Row],[Tên đối tượng]],'DANH MỤC ĐỐI TƯỢNG'!A:F,6,0),"")</f>
        <v>0</v>
      </c>
      <c r="H629" t="str">
        <f>_xlfn.IFNA(VLOOKUP(Table1[[#This Row],[Tên đối tượng]],'DANH MỤC ĐỐI TƯỢNG'!A:I,9,0),"")</f>
        <v>Ngân hàng TMCP Ngoại thương Việt Nam</v>
      </c>
      <c r="I629" t="str">
        <f>_xlfn.IFNA(VLOOKUP(Table1[[#This Row],[Tên đối tượng]],'DANH MỤC ĐỐI TƯỢNG'!A:J,10,0),"")</f>
        <v>0031000300388</v>
      </c>
    </row>
    <row r="630" spans="1:9" x14ac:dyDescent="0.3">
      <c r="A630">
        <v>627</v>
      </c>
      <c r="B630" t="s">
        <v>1224</v>
      </c>
      <c r="C630" t="s">
        <v>1225</v>
      </c>
      <c r="D630" t="str">
        <f t="shared" si="18"/>
        <v>627. V10456</v>
      </c>
      <c r="E630" s="5" t="str">
        <f t="shared" ca="1" si="19"/>
        <v>CN Hải Phòng - Công ty CP Daikin Air Conditioning VN</v>
      </c>
      <c r="F630" t="str">
        <f>IFERROR(VLOOKUP(Table1[[#This Row],[Tên đối tượng]],'DANH MỤC ĐỐI TƯỢNG'!A:E,5,0),"")</f>
        <v/>
      </c>
      <c r="G630" t="str">
        <f>_xlfn.IFNA(VLOOKUP(Table1[[#This Row],[Tên đối tượng]],'DANH MỤC ĐỐI TƯỢNG'!A:F,6,0),"")</f>
        <v/>
      </c>
      <c r="H630" t="str">
        <f>_xlfn.IFNA(VLOOKUP(Table1[[#This Row],[Tên đối tượng]],'DANH MỤC ĐỐI TƯỢNG'!A:I,9,0),"")</f>
        <v/>
      </c>
      <c r="I630" t="str">
        <f>_xlfn.IFNA(VLOOKUP(Table1[[#This Row],[Tên đối tượng]],'DANH MỤC ĐỐI TƯỢNG'!A:J,10,0),"")</f>
        <v/>
      </c>
    </row>
    <row r="631" spans="1:9" x14ac:dyDescent="0.3">
      <c r="A631">
        <v>628</v>
      </c>
      <c r="B631" t="s">
        <v>1226</v>
      </c>
      <c r="C631" t="s">
        <v>1227</v>
      </c>
      <c r="D631" t="str">
        <f t="shared" si="18"/>
        <v>628. V10454</v>
      </c>
      <c r="E631" s="5" t="str">
        <f t="shared" ca="1" si="19"/>
        <v>Chi nhánh Công ty TNHH SMC Corporation (Việt Nam) tại Hà Nội</v>
      </c>
      <c r="F631" t="str">
        <f>IFERROR(VLOOKUP(Table1[[#This Row],[Tên đối tượng]],'DANH MỤC ĐỐI TƯỢNG'!A:E,5,0),"")</f>
        <v>Tầng 7, Tòa nhà á Long, Lô A2 CN8, Cụm CN Từ Liêm, Phường Phương Canh, Quận Nam Từ Liêm, TP Hà Nội, Việt Nam</v>
      </c>
      <c r="G631" t="str">
        <f>_xlfn.IFNA(VLOOKUP(Table1[[#This Row],[Tên đối tượng]],'DANH MỤC ĐỐI TƯỢNG'!A:F,6,0),"")</f>
        <v>0310646185-001</v>
      </c>
      <c r="H631" t="str">
        <f>_xlfn.IFNA(VLOOKUP(Table1[[#This Row],[Tên đối tượng]],'DANH MỤC ĐỐI TƯỢNG'!A:I,9,0),"")</f>
        <v>Ngân hàng HSBC Việt Nam-CN Hà Nội</v>
      </c>
      <c r="I631" t="str">
        <f>_xlfn.IFNA(VLOOKUP(Table1[[#This Row],[Tên đối tượng]],'DANH MỤC ĐỐI TƯỢNG'!A:J,10,0),"")</f>
        <v>002243616001</v>
      </c>
    </row>
    <row r="632" spans="1:9" x14ac:dyDescent="0.3">
      <c r="A632">
        <v>629</v>
      </c>
      <c r="B632" t="s">
        <v>1228</v>
      </c>
      <c r="C632" t="s">
        <v>1229</v>
      </c>
      <c r="D632" t="str">
        <f t="shared" si="18"/>
        <v>629. V10470</v>
      </c>
      <c r="E632" s="5" t="str">
        <f t="shared" ca="1" si="19"/>
        <v>Cửa hàng Trương Thị Cẩm Thành</v>
      </c>
      <c r="F632" t="str">
        <f>IFERROR(VLOOKUP(Table1[[#This Row],[Tên đối tượng]],'DANH MỤC ĐỐI TƯỢNG'!A:E,5,0),"")</f>
        <v>Số 15, ngõ 56 Phố Thạch Cầu, Tổ 2, Phường Long Biên, Q. Long Biên, TP Hà Nội</v>
      </c>
      <c r="G632" t="str">
        <f>_xlfn.IFNA(VLOOKUP(Table1[[#This Row],[Tên đối tượng]],'DANH MỤC ĐỐI TƯỢNG'!A:F,6,0),"")</f>
        <v>8009111213</v>
      </c>
      <c r="H632" t="str">
        <f>_xlfn.IFNA(VLOOKUP(Table1[[#This Row],[Tên đối tượng]],'DANH MỤC ĐỐI TƯỢNG'!A:I,9,0),"")</f>
        <v>Agribank - CN Long Biên</v>
      </c>
      <c r="I632" t="str">
        <f>_xlfn.IFNA(VLOOKUP(Table1[[#This Row],[Tên đối tượng]],'DANH MỤC ĐỐI TƯỢNG'!A:J,10,0),"")</f>
        <v>1220205086127</v>
      </c>
    </row>
    <row r="633" spans="1:9" x14ac:dyDescent="0.3">
      <c r="A633">
        <v>630</v>
      </c>
      <c r="B633" t="s">
        <v>1230</v>
      </c>
      <c r="C633" t="s">
        <v>1231</v>
      </c>
      <c r="D633" t="str">
        <f t="shared" si="18"/>
        <v>630. V10468</v>
      </c>
      <c r="E633" s="5" t="str">
        <f t="shared" ca="1" si="19"/>
        <v>Công ty cổ phần 40 giờ</v>
      </c>
      <c r="F633" t="str">
        <f>IFERROR(VLOOKUP(Table1[[#This Row],[Tên đối tượng]],'DANH MỤC ĐỐI TƯỢNG'!A:E,5,0),"")</f>
        <v>Số 4, Nguyễn Thị Minh Khai, Phường Đa Đao, Quận 1, TP Hồ Chí Minh</v>
      </c>
      <c r="G633" t="str">
        <f>_xlfn.IFNA(VLOOKUP(Table1[[#This Row],[Tên đối tượng]],'DANH MỤC ĐỐI TƯỢNG'!A:F,6,0),"")</f>
        <v>0311448482</v>
      </c>
      <c r="H633" t="str">
        <f>_xlfn.IFNA(VLOOKUP(Table1[[#This Row],[Tên đối tượng]],'DANH MỤC ĐỐI TƯỢNG'!A:I,9,0),"")</f>
        <v>Ngân hàng ACB- Chi nhánh Thị Nghè</v>
      </c>
      <c r="I633" t="str">
        <f>_xlfn.IFNA(VLOOKUP(Table1[[#This Row],[Tên đối tượng]],'DANH MỤC ĐỐI TƯỢNG'!A:J,10,0),"")</f>
        <v>126704259</v>
      </c>
    </row>
    <row r="634" spans="1:9" x14ac:dyDescent="0.3">
      <c r="A634">
        <v>631</v>
      </c>
      <c r="B634" t="s">
        <v>1232</v>
      </c>
      <c r="C634" t="s">
        <v>1233</v>
      </c>
      <c r="D634" t="str">
        <f t="shared" si="18"/>
        <v>631. V20167</v>
      </c>
      <c r="E634" s="5" t="str">
        <f t="shared" ca="1" si="19"/>
        <v>Eastman Chemical Switzerland LLC - US branch of Eastman Chemical</v>
      </c>
      <c r="F634" t="str">
        <f>IFERROR(VLOOKUP(Table1[[#This Row],[Tên đối tượng]],'DANH MỤC ĐỐI TƯỢNG'!A:E,5,0),"")</f>
        <v>11-13 Boulevard De la Foire, Luxembourg,1528</v>
      </c>
      <c r="G634">
        <f>_xlfn.IFNA(VLOOKUP(Table1[[#This Row],[Tên đối tượng]],'DANH MỤC ĐỐI TƯỢNG'!A:F,6,0),"")</f>
        <v>0</v>
      </c>
      <c r="H634" t="str">
        <f>_xlfn.IFNA(VLOOKUP(Table1[[#This Row],[Tên đối tượng]],'DANH MỤC ĐỐI TƯỢNG'!A:I,9,0),"")</f>
        <v>Bank of America, N.A.</v>
      </c>
      <c r="I634" t="str">
        <f>_xlfn.IFNA(VLOOKUP(Table1[[#This Row],[Tên đối tượng]],'DANH MỤC ĐỐI TƯỢNG'!A:J,10,0),"")</f>
        <v>80186010</v>
      </c>
    </row>
    <row r="635" spans="1:9" x14ac:dyDescent="0.3">
      <c r="A635">
        <v>632</v>
      </c>
      <c r="B635" t="s">
        <v>1234</v>
      </c>
      <c r="C635" t="s">
        <v>1235</v>
      </c>
      <c r="D635" t="str">
        <f t="shared" si="18"/>
        <v>632. V10443</v>
      </c>
      <c r="E635" s="5" t="str">
        <f t="shared" ca="1" si="19"/>
        <v>Công ty TNHH dịch vụ thương mại và nguồn nhân lực Promanning</v>
      </c>
      <c r="F635" t="str">
        <f>IFERROR(VLOOKUP(Table1[[#This Row],[Tên đối tượng]],'DANH MỤC ĐỐI TƯỢNG'!A:E,5,0),"")</f>
        <v>Số 8, Đường Tôn Thất Thuyết, P. Mỹ Đình 2, Q. Nam Từ Liêm, TP Hà Nội</v>
      </c>
      <c r="G635">
        <f>_xlfn.IFNA(VLOOKUP(Table1[[#This Row],[Tên đối tượng]],'DANH MỤC ĐỐI TƯỢNG'!A:F,6,0),"")</f>
        <v>0</v>
      </c>
      <c r="H635" t="str">
        <f>_xlfn.IFNA(VLOOKUP(Table1[[#This Row],[Tên đối tượng]],'DANH MỤC ĐỐI TƯỢNG'!A:I,9,0),"")</f>
        <v>Vietcombank - Chi nhánh Thăng Long</v>
      </c>
      <c r="I635" t="str">
        <f>_xlfn.IFNA(VLOOKUP(Table1[[#This Row],[Tên đối tượng]],'DANH MỤC ĐỐI TƯỢNG'!A:J,10,0),"")</f>
        <v>0491000001283</v>
      </c>
    </row>
    <row r="636" spans="1:9" x14ac:dyDescent="0.3">
      <c r="A636">
        <v>633</v>
      </c>
      <c r="B636" t="s">
        <v>1236</v>
      </c>
      <c r="C636" t="s">
        <v>1237</v>
      </c>
      <c r="D636" t="str">
        <f t="shared" si="18"/>
        <v>633. V10437</v>
      </c>
      <c r="E636" s="5" t="str">
        <f t="shared" ca="1" si="19"/>
        <v>Công ty TNHH RGF HR Agent Việt Nam</v>
      </c>
      <c r="F636" t="str">
        <f>IFERROR(VLOOKUP(Table1[[#This Row],[Tên đối tượng]],'DANH MỤC ĐỐI TƯỢNG'!A:E,5,0),"")</f>
        <v>Số 17, Đường Lê Duẩn, Phường Bến Nghé, Quận 1, TP Hồ Chí Minh</v>
      </c>
      <c r="G636" t="str">
        <f>_xlfn.IFNA(VLOOKUP(Table1[[#This Row],[Tên đối tượng]],'DANH MỤC ĐỐI TƯỢNG'!A:F,6,0),"")</f>
        <v>0311046543</v>
      </c>
      <c r="H636" t="str">
        <f>_xlfn.IFNA(VLOOKUP(Table1[[#This Row],[Tên đối tượng]],'DANH MỤC ĐỐI TƯỢNG'!A:I,9,0),"")</f>
        <v>Sumitomo Mitsui Banking Corporation</v>
      </c>
      <c r="I636" t="str">
        <f>_xlfn.IFNA(VLOOKUP(Table1[[#This Row],[Tên đối tượng]],'DANH MỤC ĐỐI TƯỢNG'!A:J,10,0),"")</f>
        <v>10026304</v>
      </c>
    </row>
    <row r="637" spans="1:9" x14ac:dyDescent="0.3">
      <c r="A637">
        <v>634</v>
      </c>
      <c r="B637" t="s">
        <v>1238</v>
      </c>
      <c r="C637" t="s">
        <v>1239</v>
      </c>
      <c r="D637" t="str">
        <f t="shared" si="18"/>
        <v>634. V20153</v>
      </c>
      <c r="E637" s="5" t="str">
        <f t="shared" ca="1" si="19"/>
        <v>Carl Zeiss Optotechnik GmbH</v>
      </c>
      <c r="F637" t="str">
        <f>IFERROR(VLOOKUP(Table1[[#This Row],[Tên đối tượng]],'DANH MỤC ĐỐI TƯỢNG'!A:E,5,0),"")</f>
        <v>Georg-Wiesboeck-Ring 12-14, 83115 Neubeuern, Germany</v>
      </c>
      <c r="G637">
        <f>_xlfn.IFNA(VLOOKUP(Table1[[#This Row],[Tên đối tượng]],'DANH MỤC ĐỐI TƯỢNG'!A:F,6,0),"")</f>
        <v>0</v>
      </c>
      <c r="H637" t="str">
        <f>_xlfn.IFNA(VLOOKUP(Table1[[#This Row],[Tên đối tượng]],'DANH MỤC ĐỐI TƯỢNG'!A:I,9,0),"")</f>
        <v>Commerzbank AG-Rosenheim</v>
      </c>
      <c r="I637" t="str">
        <f>_xlfn.IFNA(VLOOKUP(Table1[[#This Row],[Tên đối tượng]],'DANH MỤC ĐỐI TƯỢNG'!A:J,10,0),"")</f>
        <v>DE38711400410610204000</v>
      </c>
    </row>
    <row r="638" spans="1:9" x14ac:dyDescent="0.3">
      <c r="A638">
        <v>635</v>
      </c>
      <c r="B638" t="s">
        <v>1240</v>
      </c>
      <c r="C638" t="s">
        <v>1241</v>
      </c>
      <c r="D638" t="str">
        <f t="shared" si="18"/>
        <v>635. V10422</v>
      </c>
      <c r="E638" s="5" t="str">
        <f t="shared" ca="1" si="19"/>
        <v>Công ty TNHH công nghiệp phụ trợ HPTech</v>
      </c>
      <c r="F638" t="str">
        <f>IFERROR(VLOOKUP(Table1[[#This Row],[Tên đối tượng]],'DANH MỤC ĐỐI TƯỢNG'!A:E,5,0),"")</f>
        <v>Số nhà 42, ngõ 17 Thị Trấn An Dương, Huyện An Dương, thành phố Hải Phòng</v>
      </c>
      <c r="G638">
        <f>_xlfn.IFNA(VLOOKUP(Table1[[#This Row],[Tên đối tượng]],'DANH MỤC ĐỐI TƯỢNG'!A:F,6,0),"")</f>
        <v>0</v>
      </c>
      <c r="H638" t="str">
        <f>_xlfn.IFNA(VLOOKUP(Table1[[#This Row],[Tên đối tượng]],'DANH MỤC ĐỐI TƯỢNG'!A:I,9,0),"")</f>
        <v>Ngân hàng BIDV – Chi nhánh Hải Phòng</v>
      </c>
      <c r="I638" t="str">
        <f>_xlfn.IFNA(VLOOKUP(Table1[[#This Row],[Tên đối tượng]],'DANH MỤC ĐỐI TƯỢNG'!A:J,10,0),"")</f>
        <v>32110000932883</v>
      </c>
    </row>
    <row r="639" spans="1:9" x14ac:dyDescent="0.3">
      <c r="A639">
        <v>636</v>
      </c>
      <c r="B639" t="s">
        <v>1242</v>
      </c>
      <c r="C639" t="s">
        <v>1243</v>
      </c>
      <c r="D639" t="str">
        <f t="shared" si="18"/>
        <v>636. V20163</v>
      </c>
      <c r="E639" s="5" t="str">
        <f t="shared" ca="1" si="19"/>
        <v>Thai Pyramid Industrial Co., Ltd</v>
      </c>
      <c r="F639" t="str">
        <f>IFERROR(VLOOKUP(Table1[[#This Row],[Tên đối tượng]],'DANH MỤC ĐỐI TƯỢNG'!A:E,5,0),"")</f>
        <v/>
      </c>
      <c r="G639" t="str">
        <f>_xlfn.IFNA(VLOOKUP(Table1[[#This Row],[Tên đối tượng]],'DANH MỤC ĐỐI TƯỢNG'!A:F,6,0),"")</f>
        <v/>
      </c>
      <c r="H639" t="str">
        <f>_xlfn.IFNA(VLOOKUP(Table1[[#This Row],[Tên đối tượng]],'DANH MỤC ĐỐI TƯỢNG'!A:I,9,0),"")</f>
        <v/>
      </c>
      <c r="I639" t="str">
        <f>_xlfn.IFNA(VLOOKUP(Table1[[#This Row],[Tên đối tượng]],'DANH MỤC ĐỐI TƯỢNG'!A:J,10,0),"")</f>
        <v/>
      </c>
    </row>
    <row r="640" spans="1:9" x14ac:dyDescent="0.3">
      <c r="A640">
        <v>637</v>
      </c>
      <c r="B640" t="s">
        <v>1244</v>
      </c>
      <c r="C640" t="s">
        <v>1245</v>
      </c>
      <c r="D640" t="str">
        <f t="shared" si="18"/>
        <v>637. V10438</v>
      </c>
      <c r="E640" s="5" t="str">
        <f t="shared" ca="1" si="19"/>
        <v>Công ty TNHH SC Việt Nam</v>
      </c>
      <c r="F640" t="str">
        <f>IFERROR(VLOOKUP(Table1[[#This Row],[Tên đối tượng]],'DANH MỤC ĐỐI TƯỢNG'!A:E,5,0),"")</f>
        <v>Hẻm 155/74/20 Đường Trường Chinh,Số 26B, Phường Phương Liệt,Quận Thanh Xuân,Hà Nội</v>
      </c>
      <c r="G640">
        <f>_xlfn.IFNA(VLOOKUP(Table1[[#This Row],[Tên đối tượng]],'DANH MỤC ĐỐI TƯỢNG'!A:F,6,0),"")</f>
        <v>0</v>
      </c>
      <c r="H640">
        <f>_xlfn.IFNA(VLOOKUP(Table1[[#This Row],[Tên đối tượng]],'DANH MỤC ĐỐI TƯỢNG'!A:I,9,0),"")</f>
        <v>0</v>
      </c>
      <c r="I640">
        <f>_xlfn.IFNA(VLOOKUP(Table1[[#This Row],[Tên đối tượng]],'DANH MỤC ĐỐI TƯỢNG'!A:J,10,0),"")</f>
        <v>0</v>
      </c>
    </row>
    <row r="641" spans="1:9" x14ac:dyDescent="0.3">
      <c r="A641">
        <v>638</v>
      </c>
      <c r="B641" t="s">
        <v>1246</v>
      </c>
      <c r="C641" t="s">
        <v>1247</v>
      </c>
      <c r="D641" t="str">
        <f t="shared" si="18"/>
        <v>638. V10461</v>
      </c>
      <c r="E641" s="5" t="str">
        <f t="shared" ca="1" si="19"/>
        <v>Công ty cổ phần thẩm định giá IVC Việt Nam</v>
      </c>
      <c r="F641" t="str">
        <f>IFERROR(VLOOKUP(Table1[[#This Row],[Tên đối tượng]],'DANH MỤC ĐỐI TƯỢNG'!A:E,5,0),"")</f>
        <v>•Phòng số 02, tầng 14, số 4A Láng Hạ, P Thành Công, Q Ba Đình, Hà Nội, Việt nam</v>
      </c>
      <c r="G641" t="str">
        <f>_xlfn.IFNA(VLOOKUP(Table1[[#This Row],[Tên đối tượng]],'DANH MỤC ĐỐI TƯỢNG'!A:F,6,0),"")</f>
        <v>0104000195</v>
      </c>
      <c r="H641" t="str">
        <f>_xlfn.IFNA(VLOOKUP(Table1[[#This Row],[Tên đối tượng]],'DANH MỤC ĐỐI TƯỢNG'!A:I,9,0),"")</f>
        <v>Vietcombank - CN Thành Công</v>
      </c>
      <c r="I641" t="str">
        <f>_xlfn.IFNA(VLOOKUP(Table1[[#This Row],[Tên đối tượng]],'DANH MỤC ĐỐI TƯỢNG'!A:J,10,0),"")</f>
        <v>0451000239798</v>
      </c>
    </row>
    <row r="642" spans="1:9" x14ac:dyDescent="0.3">
      <c r="A642">
        <v>639</v>
      </c>
      <c r="B642" t="s">
        <v>1248</v>
      </c>
      <c r="C642" t="s">
        <v>1249</v>
      </c>
      <c r="D642" t="str">
        <f t="shared" si="18"/>
        <v>639. V10383</v>
      </c>
      <c r="E642" s="5" t="str">
        <f t="shared" ca="1" si="19"/>
        <v>Công ty TNHH ECOLAB Việt Nam</v>
      </c>
      <c r="F642" t="str">
        <f>IFERROR(VLOOKUP(Table1[[#This Row],[Tên đối tượng]],'DANH MỤC ĐỐI TƯỢNG'!A:E,5,0),"")</f>
        <v>Tầng 8, phòng 8.2B, Tòa nhà E-Town 2, số 364, đường Cộng Hòa, Phường 13, Quận Tân Bình, Thành phố Hồ Chí Minh</v>
      </c>
      <c r="G642">
        <f>_xlfn.IFNA(VLOOKUP(Table1[[#This Row],[Tên đối tượng]],'DANH MỤC ĐỐI TƯỢNG'!A:F,6,0),"")</f>
        <v>0</v>
      </c>
      <c r="H642" t="str">
        <f>_xlfn.IFNA(VLOOKUP(Table1[[#This Row],[Tên đối tượng]],'DANH MỤC ĐỐI TƯỢNG'!A:I,9,0),"")</f>
        <v>CITIBANK, N.A. / Hồ Chí Minh</v>
      </c>
      <c r="I642" t="str">
        <f>_xlfn.IFNA(VLOOKUP(Table1[[#This Row],[Tên đối tượng]],'DANH MỤC ĐỐI TƯỢNG'!A:J,10,0),"")</f>
        <v>0302436002</v>
      </c>
    </row>
    <row r="643" spans="1:9" x14ac:dyDescent="0.3">
      <c r="A643">
        <v>640</v>
      </c>
      <c r="B643" t="s">
        <v>1250</v>
      </c>
      <c r="C643" t="s">
        <v>1251</v>
      </c>
      <c r="D643" t="str">
        <f t="shared" si="18"/>
        <v>640. V10388</v>
      </c>
      <c r="E643" s="5" t="str">
        <f t="shared" ca="1" si="19"/>
        <v>Công ty TNHH tư vấn Hiệu Quả</v>
      </c>
      <c r="F643" t="str">
        <f>IFERROR(VLOOKUP(Table1[[#This Row],[Tên đối tượng]],'DANH MỤC ĐỐI TƯỢNG'!A:E,5,0),"")</f>
        <v>P308A6- Tập thể Vĩnh Hồ-Phường Ngã Tư Sở- Quận Đống Đa-TP Hà Nội</v>
      </c>
      <c r="G643">
        <f>_xlfn.IFNA(VLOOKUP(Table1[[#This Row],[Tên đối tượng]],'DANH MỤC ĐỐI TƯỢNG'!A:F,6,0),"")</f>
        <v>0</v>
      </c>
      <c r="H643" t="str">
        <f>_xlfn.IFNA(VLOOKUP(Table1[[#This Row],[Tên đối tượng]],'DANH MỤC ĐỐI TƯỢNG'!A:I,9,0),"")</f>
        <v>Vietinbank-CN Đống Đa, Hà Nội</v>
      </c>
      <c r="I643" t="str">
        <f>_xlfn.IFNA(VLOOKUP(Table1[[#This Row],[Tên đối tượng]],'DANH MỤC ĐỐI TƯỢNG'!A:J,10,0),"")</f>
        <v>116000003413</v>
      </c>
    </row>
    <row r="644" spans="1:9" x14ac:dyDescent="0.3">
      <c r="A644">
        <v>641</v>
      </c>
      <c r="B644" t="s">
        <v>1252</v>
      </c>
      <c r="C644" t="s">
        <v>1253</v>
      </c>
      <c r="D644" t="str">
        <f t="shared" si="18"/>
        <v>641. V10469</v>
      </c>
      <c r="E644" s="5" t="str">
        <f t="shared" ca="1" si="19"/>
        <v>Chi nhánh Công ty cổ phần thương mại và dịch vụ Khánh Nguyên</v>
      </c>
      <c r="F644" t="str">
        <f>IFERROR(VLOOKUP(Table1[[#This Row],[Tên đối tượng]],'DANH MỤC ĐỐI TƯỢNG'!A:E,5,0),"")</f>
        <v>Số nhà 105 Nguyễn Viết Xuân, phường Quang Trung, quận Hà Đông, TP Hà Nội</v>
      </c>
      <c r="G644" t="str">
        <f>_xlfn.IFNA(VLOOKUP(Table1[[#This Row],[Tên đối tượng]],'DANH MỤC ĐỐI TƯỢNG'!A:F,6,0),"")</f>
        <v>2300723268-001</v>
      </c>
      <c r="H644" t="str">
        <f>_xlfn.IFNA(VLOOKUP(Table1[[#This Row],[Tên đối tượng]],'DANH MỤC ĐỐI TƯỢNG'!A:I,9,0),"")</f>
        <v>Ngân hàng TMCP Công Thương Việt Nam, chi nhánh Hà Tây, hội sở</v>
      </c>
      <c r="I644" t="str">
        <f>_xlfn.IFNA(VLOOKUP(Table1[[#This Row],[Tên đối tượng]],'DANH MỤC ĐỐI TƯỢNG'!A:J,10,0),"")</f>
        <v>112000171668</v>
      </c>
    </row>
    <row r="645" spans="1:9" x14ac:dyDescent="0.3">
      <c r="A645">
        <v>642</v>
      </c>
      <c r="B645" t="s">
        <v>1254</v>
      </c>
      <c r="C645" t="s">
        <v>1255</v>
      </c>
      <c r="D645" t="str">
        <f t="shared" ref="D645:D708" si="20">A645&amp;". "&amp;B645</f>
        <v>642. V10480</v>
      </c>
      <c r="E645" s="5" t="str">
        <f t="shared" ref="E645:E708" ca="1" si="21">IF(B645&lt;&gt;"",HYPERLINK($A$2&amp;D645,C645),"")</f>
        <v>Công ty TNHH Thương mại dịch vụ An Phát</v>
      </c>
      <c r="F645" t="str">
        <f>IFERROR(VLOOKUP(Table1[[#This Row],[Tên đối tượng]],'DANH MỤC ĐỐI TƯỢNG'!A:E,5,0),"")</f>
        <v>Số 408 Lê Thánh Tông, Phường Máy Chai, Quận Ngô Quyền, TP Hải Phòng</v>
      </c>
      <c r="G645">
        <f>_xlfn.IFNA(VLOOKUP(Table1[[#This Row],[Tên đối tượng]],'DANH MỤC ĐỐI TƯỢNG'!A:F,6,0),"")</f>
        <v>0</v>
      </c>
      <c r="H645" t="str">
        <f>_xlfn.IFNA(VLOOKUP(Table1[[#This Row],[Tên đối tượng]],'DANH MỤC ĐỐI TƯỢNG'!A:I,9,0),"")</f>
        <v>Ngân hàng TNHH MTV Public Việt Nam - CN Hải Phòng</v>
      </c>
      <c r="I645" t="str">
        <f>_xlfn.IFNA(VLOOKUP(Table1[[#This Row],[Tên đối tượng]],'DANH MỤC ĐỐI TƯỢNG'!A:J,10,0),"")</f>
        <v>0507000001124</v>
      </c>
    </row>
    <row r="646" spans="1:9" x14ac:dyDescent="0.3">
      <c r="A646">
        <v>643</v>
      </c>
      <c r="B646" t="s">
        <v>1256</v>
      </c>
      <c r="C646" t="s">
        <v>1257</v>
      </c>
      <c r="D646" t="str">
        <f t="shared" si="20"/>
        <v>643. V10472</v>
      </c>
      <c r="E646" s="5" t="str">
        <f t="shared" ca="1" si="21"/>
        <v>Công ty cổ phần truyền thông Trịnh Hoàng</v>
      </c>
      <c r="F646" t="str">
        <f>IFERROR(VLOOKUP(Table1[[#This Row],[Tên đối tượng]],'DANH MỤC ĐỐI TƯỢNG'!A:E,5,0),"")</f>
        <v>Số 17, Trần Hưng Đạo, P. Hoàng Văn Thụ, Hồng Bàng, Hải Phòng</v>
      </c>
      <c r="G646" t="str">
        <f>_xlfn.IFNA(VLOOKUP(Table1[[#This Row],[Tên đối tượng]],'DANH MỤC ĐỐI TƯỢNG'!A:F,6,0),"")</f>
        <v>0201124051</v>
      </c>
      <c r="H646" t="str">
        <f>_xlfn.IFNA(VLOOKUP(Table1[[#This Row],[Tên đối tượng]],'DANH MỤC ĐỐI TƯỢNG'!A:I,9,0),"")</f>
        <v>Vietinbank - CN Lê Chân</v>
      </c>
      <c r="I646" t="str">
        <f>_xlfn.IFNA(VLOOKUP(Table1[[#This Row],[Tên đối tượng]],'DANH MỤC ĐỐI TƯỢNG'!A:J,10,0),"")</f>
        <v>111000064596</v>
      </c>
    </row>
    <row r="647" spans="1:9" x14ac:dyDescent="0.3">
      <c r="A647">
        <v>644</v>
      </c>
      <c r="B647" t="s">
        <v>1258</v>
      </c>
      <c r="C647" t="s">
        <v>1259</v>
      </c>
      <c r="D647" t="str">
        <f t="shared" si="20"/>
        <v>644. V10482</v>
      </c>
      <c r="E647" s="5" t="str">
        <f t="shared" ca="1" si="21"/>
        <v>Công ty cổ phần dịch vụ du lịch Thiên Đức</v>
      </c>
      <c r="F647" t="str">
        <f>IFERROR(VLOOKUP(Table1[[#This Row],[Tên đối tượng]],'DANH MỤC ĐỐI TƯỢNG'!A:E,5,0),"")</f>
        <v>Lô A1-5, A1-14 Đường Lê Hồng Phong, Đông Khê, Ngô Quyền, Hải Phòng, Việt Nam</v>
      </c>
      <c r="G647">
        <f>_xlfn.IFNA(VLOOKUP(Table1[[#This Row],[Tên đối tượng]],'DANH MỤC ĐỐI TƯỢNG'!A:F,6,0),"")</f>
        <v>0</v>
      </c>
      <c r="H647" t="str">
        <f>_xlfn.IFNA(VLOOKUP(Table1[[#This Row],[Tên đối tượng]],'DANH MỤC ĐỐI TƯỢNG'!A:I,9,0),"")</f>
        <v>Ngân hàng Indovina- CN Hải Phòng</v>
      </c>
      <c r="I647" t="str">
        <f>_xlfn.IFNA(VLOOKUP(Table1[[#This Row],[Tên đối tượng]],'DANH MỤC ĐỐI TƯỢNG'!A:J,10,0),"")</f>
        <v>3334406-001</v>
      </c>
    </row>
    <row r="648" spans="1:9" x14ac:dyDescent="0.3">
      <c r="A648">
        <v>645</v>
      </c>
      <c r="B648" t="s">
        <v>1260</v>
      </c>
      <c r="C648" t="s">
        <v>1261</v>
      </c>
      <c r="D648" t="str">
        <f t="shared" si="20"/>
        <v>645. V10481</v>
      </c>
      <c r="E648" s="5" t="str">
        <f t="shared" ca="1" si="21"/>
        <v>Công ty TNHH K.N.V</v>
      </c>
      <c r="F648" t="str">
        <f>IFERROR(VLOOKUP(Table1[[#This Row],[Tên đối tượng]],'DANH MỤC ĐỐI TƯỢNG'!A:E,5,0),"")</f>
        <v>Số 14/1/437 Đà Nẵng, Phường Đông Hải 1, Quận Hải An, Hải Phòng</v>
      </c>
      <c r="G648">
        <f>_xlfn.IFNA(VLOOKUP(Table1[[#This Row],[Tên đối tượng]],'DANH MỤC ĐỐI TƯỢNG'!A:F,6,0),"")</f>
        <v>0</v>
      </c>
      <c r="H648" t="str">
        <f>_xlfn.IFNA(VLOOKUP(Table1[[#This Row],[Tên đối tượng]],'DANH MỤC ĐỐI TƯỢNG'!A:I,9,0),"")</f>
        <v>VP Bank - Chi nhánh Hải Phòng</v>
      </c>
      <c r="I648" t="str">
        <f>_xlfn.IFNA(VLOOKUP(Table1[[#This Row],[Tên đối tượng]],'DANH MỤC ĐỐI TƯỢNG'!A:J,10,0),"")</f>
        <v>12091788</v>
      </c>
    </row>
    <row r="649" spans="1:9" x14ac:dyDescent="0.3">
      <c r="A649">
        <v>646</v>
      </c>
      <c r="B649" t="s">
        <v>1262</v>
      </c>
      <c r="C649" t="s">
        <v>1263</v>
      </c>
      <c r="D649" t="str">
        <f t="shared" si="20"/>
        <v>646. V10475</v>
      </c>
      <c r="E649" s="5" t="str">
        <f t="shared" ca="1" si="21"/>
        <v>Công ty TNHH Ammega Việt Nam</v>
      </c>
      <c r="F649" t="str">
        <f>IFERROR(VLOOKUP(Table1[[#This Row],[Tên đối tượng]],'DANH MỤC ĐỐI TƯỢNG'!A:E,5,0),"")</f>
        <v>Công viên phần mềm Quang Trung, số 01, đường Tô Ký, Phường Tân Chánh Hiệp, Quận 12, Thành phố Hồ Chí Minh, Việt Nam</v>
      </c>
      <c r="G649" t="str">
        <f>_xlfn.IFNA(VLOOKUP(Table1[[#This Row],[Tên đối tượng]],'DANH MỤC ĐỐI TƯỢNG'!A:F,6,0),"")</f>
        <v>0310805639</v>
      </c>
      <c r="H649" t="str">
        <f>_xlfn.IFNA(VLOOKUP(Table1[[#This Row],[Tên đối tượng]],'DANH MỤC ĐỐI TƯỢNG'!A:I,9,0),"")</f>
        <v>Ngân hàng HSBC-Chi nhánh Hồ Chí Minh</v>
      </c>
      <c r="I649" t="str">
        <f>_xlfn.IFNA(VLOOKUP(Table1[[#This Row],[Tên đối tượng]],'DANH MỤC ĐỐI TƯỢNG'!A:J,10,0),"")</f>
        <v>091060749001</v>
      </c>
    </row>
    <row r="650" spans="1:9" x14ac:dyDescent="0.3">
      <c r="A650">
        <v>647</v>
      </c>
      <c r="B650" t="s">
        <v>1264</v>
      </c>
      <c r="C650" t="s">
        <v>1265</v>
      </c>
      <c r="D650" t="str">
        <f t="shared" si="20"/>
        <v>647. V20166</v>
      </c>
      <c r="E650" s="5" t="str">
        <f t="shared" ca="1" si="21"/>
        <v>Japan Controls Co., Ltd</v>
      </c>
      <c r="F650" t="str">
        <f>IFERROR(VLOOKUP(Table1[[#This Row],[Tên đối tượng]],'DANH MỤC ĐỐI TƯỢNG'!A:E,5,0),"")</f>
        <v/>
      </c>
      <c r="G650" t="str">
        <f>_xlfn.IFNA(VLOOKUP(Table1[[#This Row],[Tên đối tượng]],'DANH MỤC ĐỐI TƯỢNG'!A:F,6,0),"")</f>
        <v/>
      </c>
      <c r="H650" t="str">
        <f>_xlfn.IFNA(VLOOKUP(Table1[[#This Row],[Tên đối tượng]],'DANH MỤC ĐỐI TƯỢNG'!A:I,9,0),"")</f>
        <v/>
      </c>
      <c r="I650" t="str">
        <f>_xlfn.IFNA(VLOOKUP(Table1[[#This Row],[Tên đối tượng]],'DANH MỤC ĐỐI TƯỢNG'!A:J,10,0),"")</f>
        <v/>
      </c>
    </row>
    <row r="651" spans="1:9" x14ac:dyDescent="0.3">
      <c r="A651">
        <v>648</v>
      </c>
      <c r="B651" t="s">
        <v>1266</v>
      </c>
      <c r="C651" t="s">
        <v>1267</v>
      </c>
      <c r="D651" t="str">
        <f t="shared" si="20"/>
        <v>648. V10478</v>
      </c>
      <c r="E651" s="5" t="str">
        <f t="shared" ca="1" si="21"/>
        <v>Công ty TNHH đầu tư phát triển Thủy Mộc</v>
      </c>
      <c r="F651">
        <f>IFERROR(VLOOKUP(Table1[[#This Row],[Tên đối tượng]],'DANH MỤC ĐỐI TƯỢNG'!A:E,5,0),"")</f>
        <v>0</v>
      </c>
      <c r="G651" t="str">
        <f>_xlfn.IFNA(VLOOKUP(Table1[[#This Row],[Tên đối tượng]],'DANH MỤC ĐỐI TƯỢNG'!A:F,6,0),"")</f>
        <v>0309378975</v>
      </c>
      <c r="H651" t="str">
        <f>_xlfn.IFNA(VLOOKUP(Table1[[#This Row],[Tên đối tượng]],'DANH MỤC ĐỐI TƯỢNG'!A:I,9,0),"")</f>
        <v>Maritime Bank Bến Nghé</v>
      </c>
      <c r="I651" t="str">
        <f>_xlfn.IFNA(VLOOKUP(Table1[[#This Row],[Tên đối tượng]],'DANH MỤC ĐỐI TƯỢNG'!A:J,10,0),"")</f>
        <v>04701010011168</v>
      </c>
    </row>
    <row r="652" spans="1:9" x14ac:dyDescent="0.3">
      <c r="A652">
        <v>649</v>
      </c>
      <c r="B652" t="s">
        <v>1268</v>
      </c>
      <c r="C652" t="s">
        <v>1269</v>
      </c>
      <c r="D652" t="str">
        <f t="shared" si="20"/>
        <v>649. V10479</v>
      </c>
      <c r="E652" s="5" t="str">
        <f t="shared" ca="1" si="21"/>
        <v>Công ty CP công nghệ &amp; dịch vụ phần mềm Lạc Long Quân</v>
      </c>
      <c r="F652" t="str">
        <f>IFERROR(VLOOKUP(Table1[[#This Row],[Tên đối tượng]],'DANH MỤC ĐỐI TƯỢNG'!A:E,5,0),"")</f>
        <v/>
      </c>
      <c r="G652" t="str">
        <f>_xlfn.IFNA(VLOOKUP(Table1[[#This Row],[Tên đối tượng]],'DANH MỤC ĐỐI TƯỢNG'!A:F,6,0),"")</f>
        <v/>
      </c>
      <c r="H652" t="str">
        <f>_xlfn.IFNA(VLOOKUP(Table1[[#This Row],[Tên đối tượng]],'DANH MỤC ĐỐI TƯỢNG'!A:I,9,0),"")</f>
        <v/>
      </c>
      <c r="I652" t="str">
        <f>_xlfn.IFNA(VLOOKUP(Table1[[#This Row],[Tên đối tượng]],'DANH MỤC ĐỐI TƯỢNG'!A:J,10,0),"")</f>
        <v/>
      </c>
    </row>
    <row r="653" spans="1:9" x14ac:dyDescent="0.3">
      <c r="A653">
        <v>650</v>
      </c>
      <c r="B653">
        <v>101000</v>
      </c>
      <c r="C653" t="s">
        <v>1270</v>
      </c>
      <c r="D653" t="str">
        <f t="shared" si="20"/>
        <v>650. 101000</v>
      </c>
      <c r="E653" s="5" t="str">
        <f t="shared" ca="1" si="21"/>
        <v>Bridgestone Software Co., Ltd</v>
      </c>
      <c r="F653" t="str">
        <f>IFERROR(VLOOKUP(Table1[[#This Row],[Tên đối tượng]],'DANH MỤC ĐỐI TƯỢNG'!A:E,5,0),"")</f>
        <v/>
      </c>
      <c r="G653" t="str">
        <f>_xlfn.IFNA(VLOOKUP(Table1[[#This Row],[Tên đối tượng]],'DANH MỤC ĐỐI TƯỢNG'!A:F,6,0),"")</f>
        <v/>
      </c>
      <c r="H653" t="str">
        <f>_xlfn.IFNA(VLOOKUP(Table1[[#This Row],[Tên đối tượng]],'DANH MỤC ĐỐI TƯỢNG'!A:I,9,0),"")</f>
        <v/>
      </c>
      <c r="I653" t="str">
        <f>_xlfn.IFNA(VLOOKUP(Table1[[#This Row],[Tên đối tượng]],'DANH MỤC ĐỐI TƯỢNG'!A:J,10,0),"")</f>
        <v/>
      </c>
    </row>
    <row r="654" spans="1:9" x14ac:dyDescent="0.3">
      <c r="A654">
        <v>651</v>
      </c>
      <c r="B654" t="s">
        <v>1271</v>
      </c>
      <c r="C654" t="s">
        <v>1272</v>
      </c>
      <c r="D654" t="str">
        <f t="shared" si="20"/>
        <v>651. V10477</v>
      </c>
      <c r="E654" s="5" t="str">
        <f t="shared" ca="1" si="21"/>
        <v>Công ty TNHH Nissin Shoji Việt Nam</v>
      </c>
      <c r="F654" t="str">
        <f>IFERROR(VLOOKUP(Table1[[#This Row],[Tên đối tượng]],'DANH MỤC ĐỐI TƯỢNG'!A:E,5,0),"")</f>
        <v>Tầng 29, tháp Đông-Lotte Center Hà Nôi, số 54, đường Liễu Giai, phường Cống Vị, Quận Ba Đình, TP Hà Nội</v>
      </c>
      <c r="G654" t="str">
        <f>_xlfn.IFNA(VLOOKUP(Table1[[#This Row],[Tên đối tượng]],'DANH MỤC ĐỐI TƯỢNG'!A:F,6,0),"")</f>
        <v>0108235991</v>
      </c>
      <c r="H654" t="str">
        <f>_xlfn.IFNA(VLOOKUP(Table1[[#This Row],[Tên đối tượng]],'DANH MỤC ĐỐI TƯỢNG'!A:I,9,0),"")</f>
        <v>Sumitomo Mitsui Banking Corporation-Hanoi Branch</v>
      </c>
      <c r="I654" t="str">
        <f>_xlfn.IFNA(VLOOKUP(Table1[[#This Row],[Tên đối tượng]],'DANH MỤC ĐỐI TƯỢNG'!A:J,10,0),"")</f>
        <v>10090401</v>
      </c>
    </row>
    <row r="655" spans="1:9" x14ac:dyDescent="0.3">
      <c r="A655">
        <v>652</v>
      </c>
      <c r="B655" t="s">
        <v>1273</v>
      </c>
      <c r="C655" t="s">
        <v>1274</v>
      </c>
      <c r="D655" t="str">
        <f t="shared" si="20"/>
        <v>652. V10448</v>
      </c>
      <c r="E655" s="5" t="str">
        <f t="shared" ca="1" si="21"/>
        <v>Công ty TNHH MTV Asahi Tec Việt Nam</v>
      </c>
      <c r="F655" t="str">
        <f>IFERROR(VLOOKUP(Table1[[#This Row],[Tên đối tượng]],'DANH MỤC ĐỐI TƯỢNG'!A:E,5,0),"")</f>
        <v>Phòng 208A, Tòa nhà V-Tower, Số  649 Kim Mã, Phường Ngọc Khánh, Quận Ba Đình, Hà Nội, Việt Nam</v>
      </c>
      <c r="G655">
        <f>_xlfn.IFNA(VLOOKUP(Table1[[#This Row],[Tên đối tượng]],'DANH MỤC ĐỐI TƯỢNG'!A:F,6,0),"")</f>
        <v>0</v>
      </c>
      <c r="H655" t="str">
        <f>_xlfn.IFNA(VLOOKUP(Table1[[#This Row],[Tên đối tượng]],'DANH MỤC ĐỐI TƯỢNG'!A:I,9,0),"")</f>
        <v>MUFG Bank.,  Hanoi Branch</v>
      </c>
      <c r="I655" t="str">
        <f>_xlfn.IFNA(VLOOKUP(Table1[[#This Row],[Tên đối tượng]],'DANH MỤC ĐỐI TƯỢNG'!A:J,10,0),"")</f>
        <v>3639 VND ORD 145629</v>
      </c>
    </row>
    <row r="656" spans="1:9" x14ac:dyDescent="0.3">
      <c r="A656">
        <v>653</v>
      </c>
      <c r="B656" t="s">
        <v>1275</v>
      </c>
      <c r="C656" t="s">
        <v>1276</v>
      </c>
      <c r="D656" t="str">
        <f t="shared" si="20"/>
        <v>653. V10372</v>
      </c>
      <c r="E656" s="5" t="str">
        <f t="shared" ca="1" si="21"/>
        <v>Công ty TNHH Zenitaka Việt Nam</v>
      </c>
      <c r="F656" t="str">
        <f>IFERROR(VLOOKUP(Table1[[#This Row],[Tên đối tượng]],'DANH MỤC ĐỐI TƯỢNG'!A:E,5,0),"")</f>
        <v>Phòng 1502,tầng 15 tòa nhà Zodiac, phố Duy Tân,phường Dịch Vọng Hậu, quận Cầu Giấy, Hà Nội,Việt Nam</v>
      </c>
      <c r="G656">
        <f>_xlfn.IFNA(VLOOKUP(Table1[[#This Row],[Tên đối tượng]],'DANH MỤC ĐỐI TƯỢNG'!A:F,6,0),"")</f>
        <v>0</v>
      </c>
      <c r="H656" t="str">
        <f>_xlfn.IFNA(VLOOKUP(Table1[[#This Row],[Tên đối tượng]],'DANH MỤC ĐỐI TƯỢNG'!A:I,9,0),"")</f>
        <v>Bank of Tokyo-Mitsubishi UFJ / Hà Nội</v>
      </c>
      <c r="I656" t="str">
        <f>_xlfn.IFNA(VLOOKUP(Table1[[#This Row],[Tên đối tượng]],'DANH MỤC ĐỐI TƯỢNG'!A:J,10,0),"")</f>
        <v>244554</v>
      </c>
    </row>
    <row r="657" spans="1:9" x14ac:dyDescent="0.3">
      <c r="A657">
        <v>654</v>
      </c>
      <c r="B657" t="s">
        <v>1277</v>
      </c>
      <c r="C657" t="s">
        <v>1278</v>
      </c>
      <c r="D657" t="str">
        <f t="shared" si="20"/>
        <v>654. V10493</v>
      </c>
      <c r="E657" s="5" t="str">
        <f t="shared" ca="1" si="21"/>
        <v>Công ty Cổ phần BĐS Sơn và hóa chất Á Châu</v>
      </c>
      <c r="F657" t="str">
        <f>IFERROR(VLOOKUP(Table1[[#This Row],[Tên đối tượng]],'DANH MỤC ĐỐI TƯỢNG'!A:E,5,0),"")</f>
        <v/>
      </c>
      <c r="G657" t="str">
        <f>_xlfn.IFNA(VLOOKUP(Table1[[#This Row],[Tên đối tượng]],'DANH MỤC ĐỐI TƯỢNG'!A:F,6,0),"")</f>
        <v/>
      </c>
      <c r="H657" t="str">
        <f>_xlfn.IFNA(VLOOKUP(Table1[[#This Row],[Tên đối tượng]],'DANH MỤC ĐỐI TƯỢNG'!A:I,9,0),"")</f>
        <v/>
      </c>
      <c r="I657" t="str">
        <f>_xlfn.IFNA(VLOOKUP(Table1[[#This Row],[Tên đối tượng]],'DANH MỤC ĐỐI TƯỢNG'!A:J,10,0),"")</f>
        <v/>
      </c>
    </row>
    <row r="658" spans="1:9" x14ac:dyDescent="0.3">
      <c r="A658">
        <v>655</v>
      </c>
      <c r="B658" t="s">
        <v>1279</v>
      </c>
      <c r="C658" t="s">
        <v>1280</v>
      </c>
      <c r="D658" t="str">
        <f t="shared" si="20"/>
        <v>655. V20169</v>
      </c>
      <c r="E658" s="5" t="str">
        <f t="shared" ca="1" si="21"/>
        <v>Sanyo Shoji Co., Ltd.</v>
      </c>
      <c r="F658" t="str">
        <f>IFERROR(VLOOKUP(Table1[[#This Row],[Tên đối tượng]],'DANH MỤC ĐỐI TƯỢNG'!A:E,5,0),"")</f>
        <v/>
      </c>
      <c r="G658" t="str">
        <f>_xlfn.IFNA(VLOOKUP(Table1[[#This Row],[Tên đối tượng]],'DANH MỤC ĐỐI TƯỢNG'!A:F,6,0),"")</f>
        <v/>
      </c>
      <c r="H658" t="str">
        <f>_xlfn.IFNA(VLOOKUP(Table1[[#This Row],[Tên đối tượng]],'DANH MỤC ĐỐI TƯỢNG'!A:I,9,0),"")</f>
        <v/>
      </c>
      <c r="I658" t="str">
        <f>_xlfn.IFNA(VLOOKUP(Table1[[#This Row],[Tên đối tượng]],'DANH MỤC ĐỐI TƯỢNG'!A:J,10,0),"")</f>
        <v/>
      </c>
    </row>
    <row r="659" spans="1:9" x14ac:dyDescent="0.3">
      <c r="A659">
        <v>656</v>
      </c>
      <c r="B659" t="s">
        <v>1281</v>
      </c>
      <c r="C659" t="s">
        <v>1282</v>
      </c>
      <c r="D659" t="str">
        <f t="shared" si="20"/>
        <v>656. V20168</v>
      </c>
      <c r="E659" s="5" t="str">
        <f t="shared" ca="1" si="21"/>
        <v>Kohoku Seiko Co.,Ltd</v>
      </c>
      <c r="F659" t="str">
        <f>IFERROR(VLOOKUP(Table1[[#This Row],[Tên đối tượng]],'DANH MỤC ĐỐI TƯỢNG'!A:E,5,0),"")</f>
        <v>351-2 Higashikozaka, Nagahama City, Shiga, Japan 526-0802</v>
      </c>
      <c r="G659">
        <f>_xlfn.IFNA(VLOOKUP(Table1[[#This Row],[Tên đối tượng]],'DANH MỤC ĐỐI TƯỢNG'!A:F,6,0),"")</f>
        <v>0</v>
      </c>
      <c r="H659" t="str">
        <f>_xlfn.IFNA(VLOOKUP(Table1[[#This Row],[Tên đối tượng]],'DANH MỤC ĐỐI TƯỢNG'!A:I,9,0),"")</f>
        <v>The Shiga Bank, LTD.Nagahama Kita Branch</v>
      </c>
      <c r="I659" t="str">
        <f>_xlfn.IFNA(VLOOKUP(Table1[[#This Row],[Tên đối tượng]],'DANH MỤC ĐỐI TƯỢNG'!A:J,10,0),"")</f>
        <v>533</v>
      </c>
    </row>
    <row r="660" spans="1:9" x14ac:dyDescent="0.3">
      <c r="A660">
        <v>657</v>
      </c>
      <c r="B660" t="s">
        <v>1283</v>
      </c>
      <c r="C660" t="s">
        <v>1284</v>
      </c>
      <c r="D660" t="str">
        <f t="shared" si="20"/>
        <v>657. V10492</v>
      </c>
      <c r="E660" s="5" t="str">
        <f t="shared" ca="1" si="21"/>
        <v>Hộ kinh doanh Hồng Hạnh</v>
      </c>
      <c r="F660" t="str">
        <f>IFERROR(VLOOKUP(Table1[[#This Row],[Tên đối tượng]],'DANH MỤC ĐỐI TƯỢNG'!A:E,5,0),"")</f>
        <v>Số 99 Tô Hiến Thành, Phường Hải Tân, Thành phố Hải Dương, Tỉnh Hải Dương</v>
      </c>
      <c r="G660" t="str">
        <f>_xlfn.IFNA(VLOOKUP(Table1[[#This Row],[Tên đối tượng]],'DANH MỤC ĐỐI TƯỢNG'!A:F,6,0),"")</f>
        <v>0800631269</v>
      </c>
      <c r="H660" t="str">
        <f>_xlfn.IFNA(VLOOKUP(Table1[[#This Row],[Tên đối tượng]],'DANH MỤC ĐỐI TƯỢNG'!A:I,9,0),"")</f>
        <v>Ngân hàng TMCP Đầu tư và phát triển Việt Nam - CN Thành Đông</v>
      </c>
      <c r="I660" t="str">
        <f>_xlfn.IFNA(VLOOKUP(Table1[[#This Row],[Tên đối tượng]],'DANH MỤC ĐỐI TƯỢNG'!A:J,10,0),"")</f>
        <v>46810001433389</v>
      </c>
    </row>
    <row r="661" spans="1:9" x14ac:dyDescent="0.3">
      <c r="A661">
        <v>658</v>
      </c>
      <c r="B661" t="s">
        <v>1285</v>
      </c>
      <c r="C661" t="s">
        <v>1286</v>
      </c>
      <c r="D661" t="str">
        <f t="shared" si="20"/>
        <v>658. V10485</v>
      </c>
      <c r="E661" s="5" t="str">
        <f t="shared" ca="1" si="21"/>
        <v>Công ty cổ phần Maslow Toàn Cầu</v>
      </c>
      <c r="F661" t="str">
        <f>IFERROR(VLOOKUP(Table1[[#This Row],[Tên đối tượng]],'DANH MỤC ĐỐI TƯỢNG'!A:E,5,0),"")</f>
        <v>Số A15/10 tổ 56 Nguyễn Thị Định, P.Trung Hòa, Q.Cầu Giấy, Hà Nội</v>
      </c>
      <c r="G661" t="str">
        <f>_xlfn.IFNA(VLOOKUP(Table1[[#This Row],[Tên đối tượng]],'DANH MỤC ĐỐI TƯỢNG'!A:F,6,0),"")</f>
        <v>0105358748</v>
      </c>
      <c r="H661" t="str">
        <f>_xlfn.IFNA(VLOOKUP(Table1[[#This Row],[Tên đối tượng]],'DANH MỤC ĐỐI TƯỢNG'!A:I,9,0),"")</f>
        <v>Ngân hàng đầu tư và phát triển Việt Nam-CN SGD 1</v>
      </c>
      <c r="I661" t="str">
        <f>_xlfn.IFNA(VLOOKUP(Table1[[#This Row],[Tên đối tượng]],'DANH MỤC ĐỐI TƯỢNG'!A:J,10,0),"")</f>
        <v>12010000481016</v>
      </c>
    </row>
    <row r="662" spans="1:9" x14ac:dyDescent="0.3">
      <c r="A662">
        <v>659</v>
      </c>
      <c r="B662" t="s">
        <v>1287</v>
      </c>
      <c r="C662" t="s">
        <v>1288</v>
      </c>
      <c r="D662" t="str">
        <f t="shared" si="20"/>
        <v>659. V10408</v>
      </c>
      <c r="E662" s="5" t="str">
        <f ca="1">IF(B662&lt;&gt;"",HYPERLINK($A$2&amp;D662,C662),"")</f>
        <v>Công ty TNHH Sản xuất và Thương mại PLC</v>
      </c>
      <c r="F662" t="str">
        <f>IFERROR(VLOOKUP(Table1[[#This Row],[Tên đối tượng]],'DANH MỤC ĐỐI TƯỢNG'!A:E,5,0),"")</f>
        <v>181 Ngõ 192 Lê Trọng Tấn, phường Công Định, quận Hoàng Mai, TP Hà Nội, VN</v>
      </c>
      <c r="G662" t="str">
        <f>_xlfn.IFNA(VLOOKUP(Table1[[#This Row],[Tên đối tượng]],'DANH MỤC ĐỐI TƯỢNG'!A:F,6,0),"")</f>
        <v>0102135408</v>
      </c>
      <c r="H662" t="str">
        <f>_xlfn.IFNA(VLOOKUP(Table1[[#This Row],[Tên đối tượng]],'DANH MỤC ĐỐI TƯỢNG'!A:I,9,0),"")</f>
        <v>NH Thương mại CP quân đội-CN Thăng Long</v>
      </c>
      <c r="I662" t="str">
        <f>_xlfn.IFNA(VLOOKUP(Table1[[#This Row],[Tên đối tượng]],'DANH MỤC ĐỐI TƯỢNG'!A:J,10,0),"")</f>
        <v>0681100130006</v>
      </c>
    </row>
    <row r="663" spans="1:9" x14ac:dyDescent="0.3">
      <c r="A663">
        <v>660</v>
      </c>
      <c r="B663" t="s">
        <v>1289</v>
      </c>
      <c r="C663" t="s">
        <v>1290</v>
      </c>
      <c r="D663" t="str">
        <f t="shared" si="20"/>
        <v>660. V10484</v>
      </c>
      <c r="E663" s="5" t="str">
        <f ca="1">IF(B663&lt;&gt;"",HYPERLINK($A$2&amp;D663,C663),"")</f>
        <v>Công ty TNHH Thiết bị Công nghiệp nặng MICO</v>
      </c>
      <c r="F663" t="str">
        <f>IFERROR(VLOOKUP(Table1[[#This Row],[Tên đối tượng]],'DANH MỤC ĐỐI TƯỢNG'!A:E,5,0),"")</f>
        <v>Tầng 8, tòa nhà Ocean Park, số 1 Đào Duy Anh, Phường Phương Mai, Quận Đống Đa, Thành phố Hà Nội</v>
      </c>
      <c r="G663" t="str">
        <f>_xlfn.IFNA(VLOOKUP(Table1[[#This Row],[Tên đối tượng]],'DANH MỤC ĐỐI TƯỢNG'!A:F,6,0),"")</f>
        <v>0100231949</v>
      </c>
      <c r="H663" t="str">
        <f>_xlfn.IFNA(VLOOKUP(Table1[[#This Row],[Tên đối tượng]],'DANH MỤC ĐỐI TƯỢNG'!A:I,9,0),"")</f>
        <v>NH TMCP đầu tư và phát triển Việt Nam-CN Hai Bà Trưng</v>
      </c>
      <c r="I663" t="str">
        <f>_xlfn.IFNA(VLOOKUP(Table1[[#This Row],[Tên đối tượng]],'DANH MỤC ĐỐI TƯỢNG'!A:J,10,0),"")</f>
        <v>12110000244881</v>
      </c>
    </row>
    <row r="664" spans="1:9" x14ac:dyDescent="0.3">
      <c r="A664">
        <v>661</v>
      </c>
      <c r="B664" t="s">
        <v>1291</v>
      </c>
      <c r="C664" t="s">
        <v>1292</v>
      </c>
      <c r="D664" t="str">
        <f t="shared" si="20"/>
        <v>661. V10483</v>
      </c>
      <c r="E664" s="5" t="str">
        <f t="shared" ca="1" si="21"/>
        <v>Công ty cổ phần khách sạn du lịch thương mại Tường Đức</v>
      </c>
      <c r="F664" t="str">
        <f>IFERROR(VLOOKUP(Table1[[#This Row],[Tên đối tượng]],'DANH MỤC ĐỐI TƯỢNG'!A:E,5,0),"")</f>
        <v>Số 189A Tô Hiệu, Trại Cau, Lê Chân, Hải Phòng</v>
      </c>
      <c r="G664">
        <f>_xlfn.IFNA(VLOOKUP(Table1[[#This Row],[Tên đối tượng]],'DANH MỤC ĐỐI TƯỢNG'!A:F,6,0),"")</f>
        <v>0</v>
      </c>
      <c r="H664" t="str">
        <f>_xlfn.IFNA(VLOOKUP(Table1[[#This Row],[Tên đối tượng]],'DANH MỤC ĐỐI TƯỢNG'!A:I,9,0),"")</f>
        <v>Viettinbank - CN Tô Hiệu</v>
      </c>
      <c r="I664" t="str">
        <f>_xlfn.IFNA(VLOOKUP(Table1[[#This Row],[Tên đối tượng]],'DANH MỤC ĐỐI TƯỢNG'!A:J,10,0),"")</f>
        <v>118000179294</v>
      </c>
    </row>
    <row r="665" spans="1:9" x14ac:dyDescent="0.3">
      <c r="A665">
        <v>662</v>
      </c>
      <c r="B665" t="s">
        <v>1293</v>
      </c>
      <c r="C665" t="s">
        <v>1294</v>
      </c>
      <c r="D665" t="str">
        <f t="shared" si="20"/>
        <v>662. V4108C0</v>
      </c>
      <c r="E665" s="5" t="str">
        <f t="shared" ca="1" si="21"/>
        <v>Chi nhánh công ty TNHH JBT-TNT</v>
      </c>
      <c r="F665" t="str">
        <f>IFERROR(VLOOKUP(Table1[[#This Row],[Tên đối tượng]],'DANH MỤC ĐỐI TƯỢNG'!A:E,5,0),"")</f>
        <v>Số 1, Đường Thanh Niên, Phường Trúc Bạch, Ba Đình, Hà Nội</v>
      </c>
      <c r="G665" t="str">
        <f>_xlfn.IFNA(VLOOKUP(Table1[[#This Row],[Tên đối tượng]],'DANH MỤC ĐỐI TƯỢNG'!A:F,6,0),"")</f>
        <v>0305612046001</v>
      </c>
      <c r="H665" t="str">
        <f>_xlfn.IFNA(VLOOKUP(Table1[[#This Row],[Tên đối tượng]],'DANH MỤC ĐỐI TƯỢNG'!A:I,9,0),"")</f>
        <v>SGD Vietcombank</v>
      </c>
      <c r="I665" t="str">
        <f>_xlfn.IFNA(VLOOKUP(Table1[[#This Row],[Tên đối tượng]],'DANH MỤC ĐỐI TƯỢNG'!A:J,10,0),"")</f>
        <v>0011002567990</v>
      </c>
    </row>
    <row r="666" spans="1:9" x14ac:dyDescent="0.3">
      <c r="A666">
        <v>663</v>
      </c>
      <c r="B666" t="s">
        <v>1295</v>
      </c>
      <c r="C666" t="s">
        <v>1296</v>
      </c>
      <c r="D666" t="str">
        <f t="shared" si="20"/>
        <v>663. V10498</v>
      </c>
      <c r="E666" s="5" t="str">
        <f t="shared" ca="1" si="21"/>
        <v>Công ty TNHH Thương mại. dịch vụ và du lịch Quốc Tế Á Châu</v>
      </c>
      <c r="F666" t="str">
        <f>IFERROR(VLOOKUP(Table1[[#This Row],[Tên đối tượng]],'DANH MỤC ĐỐI TƯỢNG'!A:E,5,0),"")</f>
        <v/>
      </c>
      <c r="G666" t="str">
        <f>_xlfn.IFNA(VLOOKUP(Table1[[#This Row],[Tên đối tượng]],'DANH MỤC ĐỐI TƯỢNG'!A:F,6,0),"")</f>
        <v/>
      </c>
      <c r="H666" t="str">
        <f>_xlfn.IFNA(VLOOKUP(Table1[[#This Row],[Tên đối tượng]],'DANH MỤC ĐỐI TƯỢNG'!A:I,9,0),"")</f>
        <v/>
      </c>
      <c r="I666" t="str">
        <f>_xlfn.IFNA(VLOOKUP(Table1[[#This Row],[Tên đối tượng]],'DANH MỤC ĐỐI TƯỢNG'!A:J,10,0),"")</f>
        <v/>
      </c>
    </row>
    <row r="667" spans="1:9" x14ac:dyDescent="0.3">
      <c r="A667">
        <v>664</v>
      </c>
      <c r="B667" t="s">
        <v>1297</v>
      </c>
      <c r="C667" t="s">
        <v>1298</v>
      </c>
      <c r="D667" t="str">
        <f t="shared" si="20"/>
        <v>664. V10496</v>
      </c>
      <c r="E667" s="5" t="str">
        <f t="shared" ca="1" si="21"/>
        <v>Công ty TNHH MTV truyền thông và tổ chức sự kiên Perfect Media</v>
      </c>
      <c r="F667" t="str">
        <f>IFERROR(VLOOKUP(Table1[[#This Row],[Tên đối tượng]],'DANH MỤC ĐỐI TƯỢNG'!A:E,5,0),"")</f>
        <v/>
      </c>
      <c r="G667" t="str">
        <f>_xlfn.IFNA(VLOOKUP(Table1[[#This Row],[Tên đối tượng]],'DANH MỤC ĐỐI TƯỢNG'!A:F,6,0),"")</f>
        <v/>
      </c>
      <c r="H667" t="str">
        <f>_xlfn.IFNA(VLOOKUP(Table1[[#This Row],[Tên đối tượng]],'DANH MỤC ĐỐI TƯỢNG'!A:I,9,0),"")</f>
        <v/>
      </c>
      <c r="I667" t="str">
        <f>_xlfn.IFNA(VLOOKUP(Table1[[#This Row],[Tên đối tượng]],'DANH MỤC ĐỐI TƯỢNG'!A:J,10,0),"")</f>
        <v/>
      </c>
    </row>
    <row r="668" spans="1:9" x14ac:dyDescent="0.3">
      <c r="A668">
        <v>665</v>
      </c>
      <c r="B668" t="s">
        <v>1299</v>
      </c>
      <c r="C668" t="s">
        <v>1300</v>
      </c>
      <c r="D668" t="str">
        <f t="shared" si="20"/>
        <v xml:space="preserve">665. V10499 </v>
      </c>
      <c r="E668" s="5" t="str">
        <f t="shared" ca="1" si="21"/>
        <v xml:space="preserve">Công ty cổ phần giải pháp nhân sự Việt Nam </v>
      </c>
      <c r="F668" t="str">
        <f>IFERROR(VLOOKUP(Table1[[#This Row],[Tên đối tượng]],'DANH MỤC ĐỐI TƯỢNG'!A:E,5,0),"")</f>
        <v/>
      </c>
      <c r="G668" t="str">
        <f>_xlfn.IFNA(VLOOKUP(Table1[[#This Row],[Tên đối tượng]],'DANH MỤC ĐỐI TƯỢNG'!A:F,6,0),"")</f>
        <v/>
      </c>
      <c r="H668" t="str">
        <f>_xlfn.IFNA(VLOOKUP(Table1[[#This Row],[Tên đối tượng]],'DANH MỤC ĐỐI TƯỢNG'!A:I,9,0),"")</f>
        <v/>
      </c>
      <c r="I668" t="str">
        <f>_xlfn.IFNA(VLOOKUP(Table1[[#This Row],[Tên đối tượng]],'DANH MỤC ĐỐI TƯỢNG'!A:J,10,0),"")</f>
        <v/>
      </c>
    </row>
    <row r="669" spans="1:9" x14ac:dyDescent="0.3">
      <c r="A669">
        <v>666</v>
      </c>
      <c r="B669" t="s">
        <v>1301</v>
      </c>
      <c r="C669" t="s">
        <v>1302</v>
      </c>
      <c r="D669" t="str">
        <f t="shared" si="20"/>
        <v>666. V10501</v>
      </c>
      <c r="E669" s="5" t="str">
        <f t="shared" ca="1" si="21"/>
        <v>Công ty cổ phần đầu tư Ginex</v>
      </c>
      <c r="F669" t="str">
        <f>IFERROR(VLOOKUP(Table1[[#This Row],[Tên đối tượng]],'DANH MỤC ĐỐI TƯỢNG'!A:E,5,0),"")</f>
        <v>Số 16/562 Nguyễn Văn Linh, Phường Vĩnh Niệm, Quận Lê Chân, Hải Phòng</v>
      </c>
      <c r="G669" t="str">
        <f>_xlfn.IFNA(VLOOKUP(Table1[[#This Row],[Tên đối tượng]],'DANH MỤC ĐỐI TƯỢNG'!A:F,6,0),"")</f>
        <v>0201641412</v>
      </c>
      <c r="H669" t="str">
        <f>_xlfn.IFNA(VLOOKUP(Table1[[#This Row],[Tên đối tượng]],'DANH MỤC ĐỐI TƯỢNG'!A:I,9,0),"")</f>
        <v>Ngân hàng Vietcombank - NHP</v>
      </c>
      <c r="I669" t="str">
        <f>_xlfn.IFNA(VLOOKUP(Table1[[#This Row],[Tên đối tượng]],'DANH MỤC ĐỐI TƯỢNG'!A:J,10,0),"")</f>
        <v>0031000227867</v>
      </c>
    </row>
    <row r="670" spans="1:9" x14ac:dyDescent="0.3">
      <c r="A670">
        <v>667</v>
      </c>
      <c r="B670" t="s">
        <v>1303</v>
      </c>
      <c r="C670" t="s">
        <v>1304</v>
      </c>
      <c r="D670" t="str">
        <f t="shared" si="20"/>
        <v>667. V10506</v>
      </c>
      <c r="E670" s="5" t="str">
        <f t="shared" ca="1" si="21"/>
        <v>Công ty cổ phần đầu tư VINGAZ</v>
      </c>
      <c r="F670" t="str">
        <f>IFERROR(VLOOKUP(Table1[[#This Row],[Tên đối tượng]],'DANH MỤC ĐỐI TƯỢNG'!A:E,5,0),"")</f>
        <v>Số 508 Hùng Vương, Phường Hùng Vương, Quận Hồng Bàng, Thành phố Hải Phòng</v>
      </c>
      <c r="G670">
        <f>_xlfn.IFNA(VLOOKUP(Table1[[#This Row],[Tên đối tượng]],'DANH MỤC ĐỐI TƯỢNG'!A:F,6,0),"")</f>
        <v>0</v>
      </c>
      <c r="H670" t="str">
        <f>_xlfn.IFNA(VLOOKUP(Table1[[#This Row],[Tên đối tượng]],'DANH MỤC ĐỐI TƯỢNG'!A:I,9,0),"")</f>
        <v>Ngân hàng TMCP Công thương Việt Nam - Chi nhánh Kiến An</v>
      </c>
      <c r="I670" t="str">
        <f>_xlfn.IFNA(VLOOKUP(Table1[[#This Row],[Tên đối tượng]],'DANH MỤC ĐỐI TƯỢNG'!A:J,10,0),"")</f>
        <v>114639558888</v>
      </c>
    </row>
    <row r="671" spans="1:9" x14ac:dyDescent="0.3">
      <c r="A671">
        <v>668</v>
      </c>
      <c r="B671" t="s">
        <v>1305</v>
      </c>
      <c r="C671" t="s">
        <v>1306</v>
      </c>
      <c r="D671" t="str">
        <f t="shared" si="20"/>
        <v>668. V10495C</v>
      </c>
      <c r="E671" s="5" t="str">
        <f t="shared" ca="1" si="21"/>
        <v>Công ty TNHH Hankyu Hanshin Express Việt Nam</v>
      </c>
      <c r="F671" t="str">
        <f>IFERROR(VLOOKUP(Table1[[#This Row],[Tên đối tượng]],'DANH MỤC ĐỐI TƯỢNG'!A:E,5,0),"")</f>
        <v>số 9 Đào Duy Anh, phường Phương Liên, quận Đống Đa,  thành phố Hà Nội, VN</v>
      </c>
      <c r="G671">
        <f>_xlfn.IFNA(VLOOKUP(Table1[[#This Row],[Tên đối tượng]],'DANH MỤC ĐỐI TƯỢNG'!A:F,6,0),"")</f>
        <v>0</v>
      </c>
      <c r="H671" t="str">
        <f>_xlfn.IFNA(VLOOKUP(Table1[[#This Row],[Tên đối tượng]],'DANH MỤC ĐỐI TƯỢNG'!A:I,9,0),"")</f>
        <v>The Bank of Tokyo-Mitsubishi UFJ, Ltd. / Hà Nội</v>
      </c>
      <c r="I671" t="str">
        <f>_xlfn.IFNA(VLOOKUP(Table1[[#This Row],[Tên đối tượng]],'DANH MỤC ĐỐI TƯỢNG'!A:J,10,0),"")</f>
        <v>090166</v>
      </c>
    </row>
    <row r="672" spans="1:9" x14ac:dyDescent="0.3">
      <c r="A672">
        <v>669</v>
      </c>
      <c r="B672" t="s">
        <v>1307</v>
      </c>
      <c r="C672" t="s">
        <v>1308</v>
      </c>
      <c r="D672" t="str">
        <f t="shared" si="20"/>
        <v>669. V10507</v>
      </c>
      <c r="E672" s="5" t="str">
        <f t="shared" ca="1" si="21"/>
        <v>Chi nhánh công ty cổ phần Tiền Phong tại Hải Phòng</v>
      </c>
      <c r="F672" t="str">
        <f>IFERROR(VLOOKUP(Table1[[#This Row],[Tên đối tượng]],'DANH MỤC ĐỐI TƯỢNG'!A:E,5,0),"")</f>
        <v>Số 55, Phố Lạch Tray, Phường Lạch Tray, Quận Ngô Quyền, TP Hải Phòng</v>
      </c>
      <c r="G672" t="str">
        <f>_xlfn.IFNA(VLOOKUP(Table1[[#This Row],[Tên đối tượng]],'DANH MỤC ĐỐI TƯỢNG'!A:F,6,0),"")</f>
        <v>0100778001-003</v>
      </c>
      <c r="H672" t="str">
        <f>_xlfn.IFNA(VLOOKUP(Table1[[#This Row],[Tên đối tượng]],'DANH MỤC ĐỐI TƯỢNG'!A:I,9,0),"")</f>
        <v>Ngân hàng TMCP Quốc dân - CN Hải Phòng</v>
      </c>
      <c r="I672" t="str">
        <f>_xlfn.IFNA(VLOOKUP(Table1[[#This Row],[Tên đối tượng]],'DANH MỤC ĐỐI TƯỢNG'!A:J,10,0),"")</f>
        <v>100000785541</v>
      </c>
    </row>
    <row r="673" spans="1:9" x14ac:dyDescent="0.3">
      <c r="A673">
        <v>670</v>
      </c>
      <c r="B673" t="s">
        <v>1309</v>
      </c>
      <c r="C673" t="s">
        <v>1310</v>
      </c>
      <c r="D673" t="str">
        <f t="shared" si="20"/>
        <v>670. V10494</v>
      </c>
      <c r="E673" s="5" t="str">
        <f t="shared" ca="1" si="21"/>
        <v>Công ty TNHH Sebong Vina</v>
      </c>
      <c r="F673" t="str">
        <f>IFERROR(VLOOKUP(Table1[[#This Row],[Tên đối tượng]],'DANH MỤC ĐỐI TƯỢNG'!A:E,5,0),"")</f>
        <v>Tầng 2, tòa nhà Halla Building, lô CC2, xã Yên Trung, huyện Yên Phong, tỉnh Bắc Ninh</v>
      </c>
      <c r="G673" t="str">
        <f>_xlfn.IFNA(VLOOKUP(Table1[[#This Row],[Tên đối tượng]],'DANH MỤC ĐỐI TƯỢNG'!A:F,6,0),"")</f>
        <v>0107380932</v>
      </c>
      <c r="H673" t="str">
        <f>_xlfn.IFNA(VLOOKUP(Table1[[#This Row],[Tên đối tượng]],'DANH MỤC ĐỐI TƯỢNG'!A:I,9,0),"")</f>
        <v>Ngân hàng Công nghiệp Hàn Quốc-Chi nhánh Hà Nội</v>
      </c>
      <c r="I673" t="str">
        <f>_xlfn.IFNA(VLOOKUP(Table1[[#This Row],[Tên đối tượng]],'DANH MỤC ĐỐI TƯỢNG'!A:J,10,0),"")</f>
        <v>077400276820002</v>
      </c>
    </row>
    <row r="674" spans="1:9" x14ac:dyDescent="0.3">
      <c r="A674">
        <v>671</v>
      </c>
      <c r="B674" t="s">
        <v>1311</v>
      </c>
      <c r="C674" t="s">
        <v>1312</v>
      </c>
      <c r="D674" t="str">
        <f t="shared" si="20"/>
        <v>671. V10504</v>
      </c>
      <c r="E674" s="5" t="str">
        <f t="shared" ca="1" si="21"/>
        <v>Công ty TNHH Thương mại đầu tư Xuất nhập khẩu Thái Dương - CN Hải Dương</v>
      </c>
      <c r="F674" t="str">
        <f>IFERROR(VLOOKUP(Table1[[#This Row],[Tên đối tượng]],'DANH MỤC ĐỐI TƯỢNG'!A:E,5,0),"")</f>
        <v>Số nhà 99, Tô Hiến Thành, Phường Hải Tân, TP Hải Dương, Tỉnh Hải Dương</v>
      </c>
      <c r="G674" t="str">
        <f>_xlfn.IFNA(VLOOKUP(Table1[[#This Row],[Tên đối tượng]],'DANH MỤC ĐỐI TƯỢNG'!A:F,6,0),"")</f>
        <v>0106069989-001</v>
      </c>
      <c r="H674" t="str">
        <f>_xlfn.IFNA(VLOOKUP(Table1[[#This Row],[Tên đối tượng]],'DANH MỤC ĐỐI TƯỢNG'!A:I,9,0),"")</f>
        <v>Ngân hàng TMCP Đầu tư và Phát triển Việt Nam - CN Thành Đông</v>
      </c>
      <c r="I674" t="str">
        <f>_xlfn.IFNA(VLOOKUP(Table1[[#This Row],[Tên đối tượng]],'DANH MỤC ĐỐI TƯỢNG'!A:J,10,0),"")</f>
        <v>46810001487784</v>
      </c>
    </row>
    <row r="675" spans="1:9" x14ac:dyDescent="0.3">
      <c r="A675">
        <v>672</v>
      </c>
      <c r="B675" t="s">
        <v>1313</v>
      </c>
      <c r="C675" t="s">
        <v>1314</v>
      </c>
      <c r="D675" t="str">
        <f t="shared" si="20"/>
        <v>672. V10503</v>
      </c>
      <c r="E675" s="5" t="str">
        <f t="shared" ca="1" si="21"/>
        <v>Công ty TNHH Vũ Minh</v>
      </c>
      <c r="F675" t="str">
        <f>IFERROR(VLOOKUP(Table1[[#This Row],[Tên đối tượng]],'DANH MỤC ĐỐI TƯỢNG'!A:E,5,0),"")</f>
        <v>Phòng 503, tầng 5, số 101 Láng Hạ, phường Láng Hạ, quận Đống Đa, TP Hà Nội, Việt Nam</v>
      </c>
      <c r="G675" t="str">
        <f>_xlfn.IFNA(VLOOKUP(Table1[[#This Row],[Tên đối tượng]],'DANH MỤC ĐỐI TƯỢNG'!A:F,6,0),"")</f>
        <v>0100520387</v>
      </c>
      <c r="H675" t="str">
        <f>_xlfn.IFNA(VLOOKUP(Table1[[#This Row],[Tên đối tượng]],'DANH MỤC ĐỐI TƯỢNG'!A:I,9,0),"")</f>
        <v>Ngân hàng TMCP Công thương Việt Nam, CN Ba Đình, Hà Nội</v>
      </c>
      <c r="I675" t="str">
        <f>_xlfn.IFNA(VLOOKUP(Table1[[#This Row],[Tên đối tượng]],'DANH MỤC ĐỐI TƯỢNG'!A:J,10,0),"")</f>
        <v>111000000520</v>
      </c>
    </row>
    <row r="676" spans="1:9" x14ac:dyDescent="0.3">
      <c r="A676">
        <v>673</v>
      </c>
      <c r="B676" t="s">
        <v>1315</v>
      </c>
      <c r="C676" t="s">
        <v>1316</v>
      </c>
      <c r="D676" t="str">
        <f t="shared" si="20"/>
        <v>673. V10497</v>
      </c>
      <c r="E676" s="5" t="str">
        <f t="shared" ca="1" si="21"/>
        <v>Công ty TNHH SX TM Chu Lai</v>
      </c>
      <c r="F676" t="str">
        <f>IFERROR(VLOOKUP(Table1[[#This Row],[Tên đối tượng]],'DANH MỤC ĐỐI TƯỢNG'!A:E,5,0),"")</f>
        <v>30 lô O, Đường D, Khu Tái Định cư, Phường Tân Thới Nhất, Quận 12, TP.Hồ Chí Minh</v>
      </c>
      <c r="G676">
        <f>_xlfn.IFNA(VLOOKUP(Table1[[#This Row],[Tên đối tượng]],'DANH MỤC ĐỐI TƯỢNG'!A:F,6,0),"")</f>
        <v>0</v>
      </c>
      <c r="H676" t="str">
        <f>_xlfn.IFNA(VLOOKUP(Table1[[#This Row],[Tên đối tượng]],'DANH MỤC ĐỐI TƯỢNG'!A:I,9,0),"")</f>
        <v>Ngân hàng Cổ phần Thương mại Á Châu (ACB) - CN Sài Gòn</v>
      </c>
      <c r="I676" t="str">
        <f>_xlfn.IFNA(VLOOKUP(Table1[[#This Row],[Tên đối tượng]],'DANH MỤC ĐỐI TƯỢNG'!A:J,10,0),"")</f>
        <v>62056109</v>
      </c>
    </row>
    <row r="677" spans="1:9" x14ac:dyDescent="0.3">
      <c r="A677">
        <v>674</v>
      </c>
      <c r="B677" t="s">
        <v>1317</v>
      </c>
      <c r="C677" t="s">
        <v>1318</v>
      </c>
      <c r="D677" t="str">
        <f t="shared" si="20"/>
        <v>674. V4097C0</v>
      </c>
      <c r="E677" s="5" t="str">
        <f t="shared" ca="1" si="21"/>
        <v>The Japanese Chamber of Commerce and Industry in Vietnam-JCCI</v>
      </c>
      <c r="F677">
        <f>IFERROR(VLOOKUP(Table1[[#This Row],[Tên đối tượng]],'DANH MỤC ĐỐI TƯỢNG'!A:E,5,0),"")</f>
        <v>0</v>
      </c>
      <c r="G677">
        <f>_xlfn.IFNA(VLOOKUP(Table1[[#This Row],[Tên đối tượng]],'DANH MỤC ĐỐI TƯỢNG'!A:F,6,0),"")</f>
        <v>0</v>
      </c>
      <c r="H677" t="str">
        <f>_xlfn.IFNA(VLOOKUP(Table1[[#This Row],[Tên đối tượng]],'DANH MỤC ĐỐI TƯỢNG'!A:I,9,0),"")</f>
        <v>Mizuho bank Ltd- CN Hà Nội</v>
      </c>
      <c r="I677" t="str">
        <f>_xlfn.IFNA(VLOOKUP(Table1[[#This Row],[Tên đối tượng]],'DANH MỤC ĐỐI TƯỢNG'!A:J,10,0),"")</f>
        <v>H15-795-400061</v>
      </c>
    </row>
    <row r="678" spans="1:9" x14ac:dyDescent="0.3">
      <c r="A678">
        <v>675</v>
      </c>
      <c r="B678" t="s">
        <v>1319</v>
      </c>
      <c r="C678" t="s">
        <v>1320</v>
      </c>
      <c r="D678" t="str">
        <f t="shared" si="20"/>
        <v>675. V10502</v>
      </c>
      <c r="E678" s="5" t="str">
        <f t="shared" ca="1" si="21"/>
        <v>Công ty Cổ phần dịch vụ thiết bị đo và hệ thống điều khiển</v>
      </c>
      <c r="F678" t="str">
        <f>IFERROR(VLOOKUP(Table1[[#This Row],[Tên đối tượng]],'DANH MỤC ĐỐI TƯỢNG'!A:E,5,0),"")</f>
        <v>Số 97 Lacasta, Khu đô thị Văn Phú, phường Phú La, quận Hà Đông, thành phố Hà Nội, Việt Nam</v>
      </c>
      <c r="G678" t="str">
        <f>_xlfn.IFNA(VLOOKUP(Table1[[#This Row],[Tên đối tượng]],'DANH MỤC ĐỐI TƯỢNG'!A:F,6,0),"")</f>
        <v>0103010881</v>
      </c>
      <c r="H678" t="str">
        <f>_xlfn.IFNA(VLOOKUP(Table1[[#This Row],[Tên đối tượng]],'DANH MỤC ĐỐI TƯỢNG'!A:I,9,0),"")</f>
        <v>TMCP Đầu tư và phát triển Việt Nam - CN Nam Hà Nội</v>
      </c>
      <c r="I678" t="str">
        <f>_xlfn.IFNA(VLOOKUP(Table1[[#This Row],[Tên đối tượng]],'DANH MỤC ĐỐI TƯỢNG'!A:J,10,0),"")</f>
        <v>21310000606135</v>
      </c>
    </row>
    <row r="679" spans="1:9" x14ac:dyDescent="0.3">
      <c r="A679">
        <v>676</v>
      </c>
      <c r="B679" t="s">
        <v>1321</v>
      </c>
      <c r="C679" t="s">
        <v>1322</v>
      </c>
      <c r="D679" t="str">
        <f t="shared" si="20"/>
        <v>676. V10505</v>
      </c>
      <c r="E679" s="5" t="str">
        <f ca="1">IF(B679&lt;&gt;"",HYPERLINK($A$2&amp;D679,C679),"")</f>
        <v>Công ty cổ phần thương mại năng lực Việt</v>
      </c>
      <c r="F679" t="str">
        <f>IFERROR(VLOOKUP(Table1[[#This Row],[Tên đối tượng]],'DANH MỤC ĐỐI TƯỢNG'!A:E,5,0),"")</f>
        <v>Lô đất số B2-3-3b khu công nghiệp Nam Thăng Long, phường Thụy Phương, quận Bắc Từ Liêm thành phố Hà Nội</v>
      </c>
      <c r="G679">
        <f>_xlfn.IFNA(VLOOKUP(Table1[[#This Row],[Tên đối tượng]],'DANH MỤC ĐỐI TƯỢNG'!A:F,6,0),"")</f>
        <v>0</v>
      </c>
      <c r="H679" t="str">
        <f>_xlfn.IFNA(VLOOKUP(Table1[[#This Row],[Tên đối tượng]],'DANH MỤC ĐỐI TƯỢNG'!A:I,9,0),"")</f>
        <v>NH thương mại cổ phần Sài gòn Thương Tín-Chi nhánh Đông Đô</v>
      </c>
      <c r="I679" t="str">
        <f>_xlfn.IFNA(VLOOKUP(Table1[[#This Row],[Tên đối tượng]],'DANH MỤC ĐỐI TƯỢNG'!A:J,10,0),"")</f>
        <v>020034813559</v>
      </c>
    </row>
    <row r="680" spans="1:9" x14ac:dyDescent="0.3">
      <c r="A680">
        <v>677</v>
      </c>
      <c r="B680" t="s">
        <v>1323</v>
      </c>
      <c r="C680" t="s">
        <v>1324</v>
      </c>
      <c r="D680" t="str">
        <f t="shared" si="20"/>
        <v>677. V10491</v>
      </c>
      <c r="E680" s="5" t="str">
        <f t="shared" ca="1" si="21"/>
        <v>Công ty TNHH Tuyết Nga</v>
      </c>
      <c r="F680" t="str">
        <f>IFERROR(VLOOKUP(Table1[[#This Row],[Tên đối tượng]],'DANH MỤC ĐỐI TƯỢNG'!A:E,5,0),"")</f>
        <v>D5c-55, Lô D5, ngõ 679,đường Lạc Long Quân, phường Phú Thượng,quận Tây Hồ, thành phố Hà Nội</v>
      </c>
      <c r="G680">
        <f>_xlfn.IFNA(VLOOKUP(Table1[[#This Row],[Tên đối tượng]],'DANH MỤC ĐỐI TƯỢNG'!A:F,6,0),"")</f>
        <v>0</v>
      </c>
      <c r="H680" t="str">
        <f>_xlfn.IFNA(VLOOKUP(Table1[[#This Row],[Tên đối tượng]],'DANH MỤC ĐỐI TƯỢNG'!A:I,9,0),"")</f>
        <v>Ngân hàng TMCP Ngoại thương Việt Nam-Sở giao dịch</v>
      </c>
      <c r="I680" t="str">
        <f>_xlfn.IFNA(VLOOKUP(Table1[[#This Row],[Tên đối tượng]],'DANH MỤC ĐỐI TƯỢNG'!A:J,10,0),"")</f>
        <v>0011002097982</v>
      </c>
    </row>
    <row r="681" spans="1:9" x14ac:dyDescent="0.3">
      <c r="A681">
        <v>678</v>
      </c>
      <c r="B681" t="s">
        <v>1325</v>
      </c>
      <c r="C681" t="s">
        <v>1326</v>
      </c>
      <c r="D681" t="str">
        <f t="shared" si="20"/>
        <v>678. V10512</v>
      </c>
      <c r="E681" s="5" t="str">
        <f t="shared" ca="1" si="21"/>
        <v>Công ty TNHH CRIF D&amp;B Việt Nam</v>
      </c>
      <c r="F681" t="str">
        <f>IFERROR(VLOOKUP(Table1[[#This Row],[Tên đối tượng]],'DANH MỤC ĐỐI TƯỢNG'!A:E,5,0),"")</f>
        <v>Tòa nhà Minh long, 17 Bà Huyện Thanh Quan, Phường 6, Quận 3, TP Hồ Chí Minh</v>
      </c>
      <c r="G681" t="str">
        <f>_xlfn.IFNA(VLOOKUP(Table1[[#This Row],[Tên đối tượng]],'DANH MỤC ĐỐI TƯỢNG'!A:F,6,0),"")</f>
        <v>0311721886</v>
      </c>
      <c r="H681" t="str">
        <f>_xlfn.IFNA(VLOOKUP(Table1[[#This Row],[Tên đối tượng]],'DANH MỤC ĐỐI TƯỢNG'!A:I,9,0),"")</f>
        <v>NH CitiBank N.A , CN TP. Hồ Chí Minh</v>
      </c>
      <c r="I681" t="str">
        <f>_xlfn.IFNA(VLOOKUP(Table1[[#This Row],[Tên đối tượng]],'DANH MỤC ĐỐI TƯỢNG'!A:J,10,0),"")</f>
        <v>0302492018</v>
      </c>
    </row>
    <row r="682" spans="1:9" x14ac:dyDescent="0.3">
      <c r="A682">
        <v>679</v>
      </c>
      <c r="B682" t="s">
        <v>1327</v>
      </c>
      <c r="C682" t="s">
        <v>1328</v>
      </c>
      <c r="D682" t="str">
        <f t="shared" si="20"/>
        <v>679. V10518</v>
      </c>
      <c r="E682" s="5" t="str">
        <f t="shared" ca="1" si="21"/>
        <v>Công ty cổ phần đầu tư và phát triển Quang Hải</v>
      </c>
      <c r="F682" t="str">
        <f>IFERROR(VLOOKUP(Table1[[#This Row],[Tên đối tượng]],'DANH MỤC ĐỐI TƯỢNG'!A:E,5,0),"")</f>
        <v>Số 28 ngõ 104, đường Đức Giang, phường Đức Giang, quận Long Biên, TP Hà Nội, Việt Nam</v>
      </c>
      <c r="G682" t="str">
        <f>_xlfn.IFNA(VLOOKUP(Table1[[#This Row],[Tên đối tượng]],'DANH MỤC ĐỐI TƯỢNG'!A:F,6,0),"")</f>
        <v>0106457967</v>
      </c>
      <c r="H682" t="str">
        <f>_xlfn.IFNA(VLOOKUP(Table1[[#This Row],[Tên đối tượng]],'DANH MỤC ĐỐI TƯỢNG'!A:I,9,0),"")</f>
        <v>NH XNK Việt Nam (Eximbank)-CN Đống Đa, Hà Nội</v>
      </c>
      <c r="I682" t="str">
        <f>_xlfn.IFNA(VLOOKUP(Table1[[#This Row],[Tên đối tượng]],'DANH MỤC ĐỐI TƯỢNG'!A:J,10,0),"")</f>
        <v>170314851009100</v>
      </c>
    </row>
    <row r="683" spans="1:9" x14ac:dyDescent="0.3">
      <c r="A683">
        <v>680</v>
      </c>
      <c r="B683" t="s">
        <v>1329</v>
      </c>
      <c r="C683" t="s">
        <v>1330</v>
      </c>
      <c r="D683" t="str">
        <f t="shared" si="20"/>
        <v>680. V10514</v>
      </c>
      <c r="E683" s="5" t="str">
        <f t="shared" ca="1" si="21"/>
        <v>Công ty TNHH Thư Viện Pháp Luật</v>
      </c>
      <c r="F683" t="str">
        <f>IFERROR(VLOOKUP(Table1[[#This Row],[Tên đối tượng]],'DANH MỤC ĐỐI TƯỢNG'!A:E,5,0),"")</f>
        <v>P.702A, Tòa nhà Centre Point, 106 Nguyễn Văn Trỗi, Phường 08, Quận Phú Nhuận, TP Hồ Chí Minh, Việt Nam</v>
      </c>
      <c r="G683" t="str">
        <f>_xlfn.IFNA(VLOOKUP(Table1[[#This Row],[Tên đối tượng]],'DANH MỤC ĐỐI TƯỢNG'!A:F,6,0),"")</f>
        <v>0315459414</v>
      </c>
      <c r="H683" t="str">
        <f>_xlfn.IFNA(VLOOKUP(Table1[[#This Row],[Tên đối tượng]],'DANH MỤC ĐỐI TƯỢNG'!A:I,9,0),"")</f>
        <v>Ngân hàng TMCP Ngoại thương Việt Nam - CN TP HCM</v>
      </c>
      <c r="I683" t="str">
        <f>_xlfn.IFNA(VLOOKUP(Table1[[#This Row],[Tên đối tượng]],'DANH MỤC ĐỐI TƯỢNG'!A:J,10,0),"")</f>
        <v>0071001286864</v>
      </c>
    </row>
    <row r="684" spans="1:9" x14ac:dyDescent="0.3">
      <c r="A684">
        <v>681</v>
      </c>
      <c r="B684" t="s">
        <v>1331</v>
      </c>
      <c r="C684" t="s">
        <v>1332</v>
      </c>
      <c r="D684" t="str">
        <f t="shared" si="20"/>
        <v>681. V10488</v>
      </c>
      <c r="E684" s="5" t="str">
        <f t="shared" ca="1" si="21"/>
        <v>Công ty TNHH Idemitsu Engineering Việt Nam</v>
      </c>
      <c r="F684" t="str">
        <f>IFERROR(VLOOKUP(Table1[[#This Row],[Tên đối tượng]],'DANH MỤC ĐỐI TƯỢNG'!A:E,5,0),"")</f>
        <v>Phường 8, 106 Nguyễn Văn Trỗi, Quận Phú Nhuận, Thành phố Hồ Chí Minh</v>
      </c>
      <c r="G684" t="str">
        <f>_xlfn.IFNA(VLOOKUP(Table1[[#This Row],[Tên đối tượng]],'DANH MỤC ĐỐI TƯỢNG'!A:F,6,0),"")</f>
        <v>0312030916</v>
      </c>
      <c r="H684" t="str">
        <f>_xlfn.IFNA(VLOOKUP(Table1[[#This Row],[Tên đối tượng]],'DANH MỤC ĐỐI TƯỢNG'!A:I,9,0),"")</f>
        <v>MIZUHO BANK , LTD-CN thành phố Hồ Chí Minh</v>
      </c>
      <c r="I684" t="str">
        <f>_xlfn.IFNA(VLOOKUP(Table1[[#This Row],[Tên đối tượng]],'DANH MỤC ĐỐI TƯỢNG'!A:J,10,0),"")</f>
        <v>343277</v>
      </c>
    </row>
    <row r="685" spans="1:9" x14ac:dyDescent="0.3">
      <c r="A685">
        <v>682</v>
      </c>
      <c r="B685" t="s">
        <v>1333</v>
      </c>
      <c r="C685" t="s">
        <v>1334</v>
      </c>
      <c r="D685" t="str">
        <f t="shared" si="20"/>
        <v>682. V10511</v>
      </c>
      <c r="E685" s="5" t="str">
        <f t="shared" ca="1" si="21"/>
        <v>Công ty TNHH Vận tải Phú Quân</v>
      </c>
      <c r="F685" t="str">
        <f>IFERROR(VLOOKUP(Table1[[#This Row],[Tên đối tượng]],'DANH MỤC ĐỐI TƯỢNG'!A:E,5,0),"")</f>
        <v>Tổ dân phố Nghĩa Sơn (tại nhà ông Bùi Phú Tuyến), phường Minh Đức, Quận Đồ Sơn, TP Hải Phòng, Việt Nam</v>
      </c>
      <c r="G685" t="str">
        <f>_xlfn.IFNA(VLOOKUP(Table1[[#This Row],[Tên đối tượng]],'DANH MỤC ĐỐI TƯỢNG'!A:F,6,0),"")</f>
        <v>0201960151</v>
      </c>
      <c r="H685" t="str">
        <f>_xlfn.IFNA(VLOOKUP(Table1[[#This Row],[Tên đối tượng]],'DANH MỤC ĐỐI TƯỢNG'!A:I,9,0),"")</f>
        <v>Ngân hàng nông nghiệp và phát triển nông thôn Việt Nam</v>
      </c>
      <c r="I685" t="str">
        <f>_xlfn.IFNA(VLOOKUP(Table1[[#This Row],[Tên đối tượng]],'DANH MỤC ĐỐI TƯỢNG'!A:J,10,0),"")</f>
        <v>2119201000643</v>
      </c>
    </row>
    <row r="686" spans="1:9" x14ac:dyDescent="0.3">
      <c r="A686">
        <v>683</v>
      </c>
      <c r="B686" t="s">
        <v>1335</v>
      </c>
      <c r="C686" t="s">
        <v>1336</v>
      </c>
      <c r="D686" t="str">
        <f t="shared" si="20"/>
        <v>683. V10515</v>
      </c>
      <c r="E686" s="5" t="str">
        <f t="shared" ca="1" si="21"/>
        <v>CN Công ty TNHH MTV Điện lực Hải Phòng - Xí nghiệp dịch vụ điện lực</v>
      </c>
      <c r="F686" t="str">
        <f>IFERROR(VLOOKUP(Table1[[#This Row],[Tên đối tượng]],'DANH MỤC ĐỐI TƯỢNG'!A:E,5,0),"")</f>
        <v>Khu liên cơ An Lạc, Đường 5 mới, Phường Hùng Vương, Quận Hồng Bàng, TP Hải Phòng, Việt Nam</v>
      </c>
      <c r="G686" t="str">
        <f>_xlfn.IFNA(VLOOKUP(Table1[[#This Row],[Tên đối tượng]],'DANH MỤC ĐỐI TƯỢNG'!A:F,6,0),"")</f>
        <v>0200340211-004</v>
      </c>
      <c r="H686" t="str">
        <f>_xlfn.IFNA(VLOOKUP(Table1[[#This Row],[Tên đối tượng]],'DANH MỤC ĐỐI TƯỢNG'!A:I,9,0),"")</f>
        <v>Ngân hàng Vietcombank - CN Hải Phòng</v>
      </c>
      <c r="I686" t="str">
        <f>_xlfn.IFNA(VLOOKUP(Table1[[#This Row],[Tên đối tượng]],'DANH MỤC ĐỐI TƯỢNG'!A:J,10,0),"")</f>
        <v>0031000388999</v>
      </c>
    </row>
    <row r="687" spans="1:9" x14ac:dyDescent="0.3">
      <c r="A687">
        <v>684</v>
      </c>
      <c r="B687" t="s">
        <v>1337</v>
      </c>
      <c r="C687" t="s">
        <v>1338</v>
      </c>
      <c r="D687" t="str">
        <f t="shared" si="20"/>
        <v>684. V4044C0</v>
      </c>
      <c r="E687" s="5" t="str">
        <f t="shared" ca="1" si="21"/>
        <v>Công ty TNHH trường quốc tế QSI Hải Phòng</v>
      </c>
      <c r="F687" t="str">
        <f>IFERROR(VLOOKUP(Table1[[#This Row],[Tên đối tượng]],'DANH MỤC ĐỐI TƯỢNG'!A:E,5,0),"")</f>
        <v>G6A-B Me Linh quarter, Anh Dung commune, Duong Kinh district, Haiphong city, Vietnam</v>
      </c>
      <c r="G687">
        <f>_xlfn.IFNA(VLOOKUP(Table1[[#This Row],[Tên đối tượng]],'DANH MỤC ĐỐI TƯỢNG'!A:F,6,0),"")</f>
        <v>0</v>
      </c>
      <c r="H687" t="str">
        <f>_xlfn.IFNA(VLOOKUP(Table1[[#This Row],[Tên đối tượng]],'DANH MỤC ĐỐI TƯỢNG'!A:I,9,0),"")</f>
        <v>Indovina Bank, Haiphong Branch</v>
      </c>
      <c r="I687" t="str">
        <f>_xlfn.IFNA(VLOOKUP(Table1[[#This Row],[Tên đối tượng]],'DANH MỤC ĐỐI TƯỢNG'!A:J,10,0),"")</f>
        <v>3322602.002</v>
      </c>
    </row>
    <row r="688" spans="1:9" x14ac:dyDescent="0.3">
      <c r="A688">
        <v>685</v>
      </c>
      <c r="B688" t="s">
        <v>1339</v>
      </c>
      <c r="C688" t="s">
        <v>1340</v>
      </c>
      <c r="D688" t="str">
        <f t="shared" si="20"/>
        <v>685. V10530</v>
      </c>
      <c r="E688" s="5" t="str">
        <f t="shared" ca="1" si="21"/>
        <v>Công ty TNHH Đại Hoàng Việt</v>
      </c>
      <c r="F688" t="str">
        <f>IFERROR(VLOOKUP(Table1[[#This Row],[Tên đối tượng]],'DANH MỤC ĐỐI TƯỢNG'!A:E,5,0),"")</f>
        <v>Số 71 Lạch Tray, phường Lạch Tray, quận Ngô Quyền, Hải Phòng</v>
      </c>
      <c r="G688" t="str">
        <f>_xlfn.IFNA(VLOOKUP(Table1[[#This Row],[Tên đối tượng]],'DANH MỤC ĐỐI TƯỢNG'!A:F,6,0),"")</f>
        <v>0200566917</v>
      </c>
      <c r="H688" t="str">
        <f>_xlfn.IFNA(VLOOKUP(Table1[[#This Row],[Tên đối tượng]],'DANH MỤC ĐỐI TƯỢNG'!A:I,9,0),"")</f>
        <v>Vietcombank - CN Hải Phòng</v>
      </c>
      <c r="I688" t="str">
        <f>_xlfn.IFNA(VLOOKUP(Table1[[#This Row],[Tên đối tượng]],'DANH MỤC ĐỐI TƯỢNG'!A:J,10,0),"")</f>
        <v>0031000172293</v>
      </c>
    </row>
    <row r="689" spans="1:9" x14ac:dyDescent="0.3">
      <c r="A689">
        <v>686</v>
      </c>
      <c r="B689" t="s">
        <v>1341</v>
      </c>
      <c r="C689" t="s">
        <v>1342</v>
      </c>
      <c r="D689" t="str">
        <f t="shared" si="20"/>
        <v>686. V10509</v>
      </c>
      <c r="E689" s="5" t="str">
        <f t="shared" ca="1" si="21"/>
        <v>Công ty cổ phần vận tải taxi Nguyễn Gia</v>
      </c>
      <c r="F689" t="str">
        <f>IFERROR(VLOOKUP(Table1[[#This Row],[Tên đối tượng]],'DANH MỤC ĐỐI TƯỢNG'!A:E,5,0),"")</f>
        <v>1101 Phạm Văn Đồng - Hải Thành - Dương Kinh - Hải Phòng</v>
      </c>
      <c r="G689" t="str">
        <f>_xlfn.IFNA(VLOOKUP(Table1[[#This Row],[Tên đối tượng]],'DANH MỤC ĐỐI TƯỢNG'!A:F,6,0),"")</f>
        <v>0201728991</v>
      </c>
      <c r="H689" t="str">
        <f>_xlfn.IFNA(VLOOKUP(Table1[[#This Row],[Tên đối tượng]],'DANH MỤC ĐỐI TƯỢNG'!A:I,9,0),"")</f>
        <v>Ngân hàng Nông nghiệp và phát triển nông thôn - Chi nhánh Bắc HP</v>
      </c>
      <c r="I689" t="str">
        <f>_xlfn.IFNA(VLOOKUP(Table1[[#This Row],[Tên đối tượng]],'DANH MỤC ĐỐI TƯỢNG'!A:J,10,0),"")</f>
        <v>2111201010869</v>
      </c>
    </row>
    <row r="690" spans="1:9" x14ac:dyDescent="0.3">
      <c r="A690">
        <v>687</v>
      </c>
      <c r="B690" t="s">
        <v>1343</v>
      </c>
      <c r="C690" t="s">
        <v>1344</v>
      </c>
      <c r="D690" t="str">
        <f t="shared" si="20"/>
        <v>687. V20108</v>
      </c>
      <c r="E690" s="5" t="str">
        <f t="shared" ca="1" si="21"/>
        <v>Yamato Scale Co., Ltd</v>
      </c>
      <c r="F690" t="str">
        <f>IFERROR(VLOOKUP(Table1[[#This Row],[Tên đối tượng]],'DANH MỤC ĐỐI TƯỢNG'!A:E,5,0),"")</f>
        <v>5-22 Saenba-Cho, Akashi 673-8688, Japan</v>
      </c>
      <c r="G690">
        <f>_xlfn.IFNA(VLOOKUP(Table1[[#This Row],[Tên đối tượng]],'DANH MỤC ĐỐI TƯỢNG'!A:F,6,0),"")</f>
        <v>0</v>
      </c>
      <c r="H690" t="str">
        <f>_xlfn.IFNA(VLOOKUP(Table1[[#This Row],[Tên đối tượng]],'DANH MỤC ĐỐI TƯỢNG'!A:I,9,0),"")</f>
        <v>Sumitomo Mitsui Banking Corporation-Akashi Branch</v>
      </c>
      <c r="I690" t="str">
        <f>_xlfn.IFNA(VLOOKUP(Table1[[#This Row],[Tên đối tượng]],'DANH MỤC ĐỐI TƯỢNG'!A:J,10,0),"")</f>
        <v>1300781</v>
      </c>
    </row>
    <row r="691" spans="1:9" x14ac:dyDescent="0.3">
      <c r="A691">
        <v>688</v>
      </c>
      <c r="B691" t="s">
        <v>1345</v>
      </c>
      <c r="C691" t="s">
        <v>1346</v>
      </c>
      <c r="D691" t="str">
        <f t="shared" si="20"/>
        <v>688. V10522</v>
      </c>
      <c r="E691" s="5" t="str">
        <f t="shared" ca="1" si="21"/>
        <v>Công ty cổ phần du lịch và xây dựng Nam Thanh</v>
      </c>
      <c r="F691" t="str">
        <f>IFERROR(VLOOKUP(Table1[[#This Row],[Tên đối tượng]],'DANH MỤC ĐỐI TƯỢNG'!A:E,5,0),"")</f>
        <v>Số 51 Đào Duy Từ, Phường Hàng Buồm, Quận Hoàn Kiếm, TP Hà Nội</v>
      </c>
      <c r="G691" t="str">
        <f>_xlfn.IFNA(VLOOKUP(Table1[[#This Row],[Tên đối tượng]],'DANH MỤC ĐỐI TƯỢNG'!A:F,6,0),"")</f>
        <v>0101546010</v>
      </c>
      <c r="H691" t="str">
        <f>_xlfn.IFNA(VLOOKUP(Table1[[#This Row],[Tên đối tượng]],'DANH MỤC ĐỐI TƯỢNG'!A:I,9,0),"")</f>
        <v>Techcombank - CN Hà Thành</v>
      </c>
      <c r="I691" t="str">
        <f>_xlfn.IFNA(VLOOKUP(Table1[[#This Row],[Tên đối tượng]],'DANH MỤC ĐỐI TƯỢNG'!A:J,10,0),"")</f>
        <v>13826262626010</v>
      </c>
    </row>
    <row r="692" spans="1:9" x14ac:dyDescent="0.3">
      <c r="A692">
        <v>689</v>
      </c>
      <c r="B692" t="s">
        <v>1347</v>
      </c>
      <c r="C692" t="s">
        <v>1348</v>
      </c>
      <c r="D692" t="str">
        <f t="shared" si="20"/>
        <v>689. V10521</v>
      </c>
      <c r="E692" s="5" t="str">
        <f t="shared" ca="1" si="21"/>
        <v>Công ty TNHH Thương mại và dịch vụ Dặm Vàng</v>
      </c>
      <c r="F692" t="str">
        <f>IFERROR(VLOOKUP(Table1[[#This Row],[Tên đối tượng]],'DANH MỤC ĐỐI TƯỢNG'!A:E,5,0),"")</f>
        <v>Số 35, Hẻm 173/68/81 Đường Hoàng Hoa Thám, Phường Ngọc Hà, Quận Ba Đình, TP Hà Nội, Việt Nam</v>
      </c>
      <c r="G692" t="str">
        <f>_xlfn.IFNA(VLOOKUP(Table1[[#This Row],[Tên đối tượng]],'DANH MỤC ĐỐI TƯỢNG'!A:F,6,0),"")</f>
        <v>0107563196</v>
      </c>
      <c r="H692" t="str">
        <f>_xlfn.IFNA(VLOOKUP(Table1[[#This Row],[Tên đối tượng]],'DANH MỤC ĐỐI TƯỢNG'!A:I,9,0),"")</f>
        <v>Vietcombank</v>
      </c>
      <c r="I692" t="str">
        <f>_xlfn.IFNA(VLOOKUP(Table1[[#This Row],[Tên đối tượng]],'DANH MỤC ĐỐI TƯỢNG'!A:J,10,0),"")</f>
        <v>0021000383962</v>
      </c>
    </row>
    <row r="693" spans="1:9" x14ac:dyDescent="0.3">
      <c r="A693">
        <v>690</v>
      </c>
      <c r="B693" t="s">
        <v>1349</v>
      </c>
      <c r="C693" t="s">
        <v>1350</v>
      </c>
      <c r="D693" t="str">
        <f t="shared" si="20"/>
        <v>690. V10450</v>
      </c>
      <c r="E693" s="5" t="str">
        <f t="shared" ca="1" si="21"/>
        <v>Trung tâm tư vấn và truyền thông môi trường</v>
      </c>
      <c r="F693" t="str">
        <f>IFERROR(VLOOKUP(Table1[[#This Row],[Tên đối tượng]],'DANH MỤC ĐỐI TƯỢNG'!A:E,5,0),"")</f>
        <v>Phòng 405, tòa nhà Bộ TN &amp; MT, 85 Nguyễn Chí Thanh, Phường Láng Hạ, Quận Đống Đa, Hà Nội</v>
      </c>
      <c r="G693" t="str">
        <f>_xlfn.IFNA(VLOOKUP(Table1[[#This Row],[Tên đối tượng]],'DANH MỤC ĐỐI TƯỢNG'!A:F,6,0),"")</f>
        <v>0107371705</v>
      </c>
      <c r="H693" t="str">
        <f>_xlfn.IFNA(VLOOKUP(Table1[[#This Row],[Tên đối tượng]],'DANH MỤC ĐỐI TƯỢNG'!A:I,9,0),"")</f>
        <v>Ngân hàng BIDV – Chi nhánh Trang An</v>
      </c>
      <c r="I693" t="str">
        <f>_xlfn.IFNA(VLOOKUP(Table1[[#This Row],[Tên đối tượng]],'DANH MỤC ĐỐI TƯỢNG'!A:J,10,0),"")</f>
        <v>26110000249975</v>
      </c>
    </row>
    <row r="694" spans="1:9" x14ac:dyDescent="0.3">
      <c r="A694">
        <v>691</v>
      </c>
      <c r="B694" t="s">
        <v>1351</v>
      </c>
      <c r="C694" t="s">
        <v>1352</v>
      </c>
      <c r="D694" t="str">
        <f t="shared" si="20"/>
        <v>691. V10525</v>
      </c>
      <c r="E694" s="5" t="str">
        <f t="shared" ca="1" si="21"/>
        <v>Công ty Cổ phần Tự Động Việt</v>
      </c>
      <c r="F694" t="str">
        <f>IFERROR(VLOOKUP(Table1[[#This Row],[Tên đối tượng]],'DANH MỤC ĐỐI TƯỢNG'!A:E,5,0),"")</f>
        <v>108 Trần Hưng Đạo,phường Tân Sơn Nhì,quận Tân Phú,thành phố Hồ Chí Minh</v>
      </c>
      <c r="G694" t="str">
        <f>_xlfn.IFNA(VLOOKUP(Table1[[#This Row],[Tên đối tượng]],'DANH MỤC ĐỐI TƯỢNG'!A:F,6,0),"")</f>
        <v>0304707217</v>
      </c>
      <c r="H694" t="str">
        <f>_xlfn.IFNA(VLOOKUP(Table1[[#This Row],[Tên đối tượng]],'DANH MỤC ĐỐI TƯỢNG'!A:I,9,0),"")</f>
        <v>NH TMCP Công thương VN-CN 12-TP.HCM</v>
      </c>
      <c r="I694" t="str">
        <f>_xlfn.IFNA(VLOOKUP(Table1[[#This Row],[Tên đối tượng]],'DANH MỤC ĐỐI TƯỢNG'!A:J,10,0),"")</f>
        <v>115000026416</v>
      </c>
    </row>
    <row r="695" spans="1:9" x14ac:dyDescent="0.3">
      <c r="A695">
        <v>692</v>
      </c>
      <c r="B695" t="s">
        <v>1353</v>
      </c>
      <c r="C695" t="s">
        <v>1354</v>
      </c>
      <c r="D695" t="str">
        <f t="shared" si="20"/>
        <v>692. V10516</v>
      </c>
      <c r="E695" s="5" t="str">
        <f t="shared" ca="1" si="21"/>
        <v>Công ty cổ phần công nghệ đo lường Bảo Nam</v>
      </c>
      <c r="F695" t="str">
        <f>IFERROR(VLOOKUP(Table1[[#This Row],[Tên đối tượng]],'DANH MỤC ĐỐI TƯỢNG'!A:E,5,0),"")</f>
        <v>Thôn Kinh Triều, xã Thủy Triều, huyện Thủy Nguyên,thành phố Hải Phòng, Việt Nam</v>
      </c>
      <c r="G695" t="str">
        <f>_xlfn.IFNA(VLOOKUP(Table1[[#This Row],[Tên đối tượng]],'DANH MỤC ĐỐI TƯỢNG'!A:F,6,0),"")</f>
        <v>0201036567</v>
      </c>
      <c r="H695" t="str">
        <f>_xlfn.IFNA(VLOOKUP(Table1[[#This Row],[Tên đối tượng]],'DANH MỤC ĐỐI TƯỢNG'!A:I,9,0),"")</f>
        <v>Ngân hàng NN &amp; PTNT chi nhánh Thủy Nguyên</v>
      </c>
      <c r="I695" t="str">
        <f>_xlfn.IFNA(VLOOKUP(Table1[[#This Row],[Tên đối tượng]],'DANH MỤC ĐỐI TƯỢNG'!A:J,10,0),"")</f>
        <v>2105201002626</v>
      </c>
    </row>
    <row r="696" spans="1:9" x14ac:dyDescent="0.3">
      <c r="A696">
        <v>693</v>
      </c>
      <c r="B696" t="s">
        <v>1355</v>
      </c>
      <c r="C696" t="s">
        <v>1356</v>
      </c>
      <c r="D696" t="str">
        <f t="shared" si="20"/>
        <v>693. V10395</v>
      </c>
      <c r="E696" s="5" t="str">
        <f t="shared" ca="1" si="21"/>
        <v>Công ty TNHH công nghệ thiết bị điện GBN</v>
      </c>
      <c r="F696" t="str">
        <f>IFERROR(VLOOKUP(Table1[[#This Row],[Tên đối tượng]],'DANH MỤC ĐỐI TƯỢNG'!A:E,5,0),"")</f>
        <v>Số 3 tổ 18 đường Hồ Tùng Mậu, phường Mai Dịch, quận Cầu Giấy, TP Hà nội</v>
      </c>
      <c r="G696">
        <f>_xlfn.IFNA(VLOOKUP(Table1[[#This Row],[Tên đối tượng]],'DANH MỤC ĐỐI TƯỢNG'!A:F,6,0),"")</f>
        <v>0</v>
      </c>
      <c r="H696" t="str">
        <f>_xlfn.IFNA(VLOOKUP(Table1[[#This Row],[Tên đối tượng]],'DANH MỤC ĐỐI TƯỢNG'!A:I,9,0),"")</f>
        <v>Ngân hàng TMCP Sài Gòn-Hà Nội-chi nhánh Trung Hòa Nhân Chính</v>
      </c>
      <c r="I696" t="str">
        <f>_xlfn.IFNA(VLOOKUP(Table1[[#This Row],[Tên đối tượng]],'DANH MỤC ĐỐI TƯỢNG'!A:J,10,0),"")</f>
        <v>1003234089</v>
      </c>
    </row>
    <row r="697" spans="1:9" x14ac:dyDescent="0.3">
      <c r="A697">
        <v>694</v>
      </c>
      <c r="B697" t="s">
        <v>1357</v>
      </c>
      <c r="C697" t="s">
        <v>1358</v>
      </c>
      <c r="D697" t="str">
        <f t="shared" si="20"/>
        <v>694. V10531</v>
      </c>
      <c r="E697" s="5" t="str">
        <f t="shared" ca="1" si="21"/>
        <v>Công ty TNHH THương Mại Kỹ thuật Quốc tế</v>
      </c>
      <c r="F697" t="str">
        <f>IFERROR(VLOOKUP(Table1[[#This Row],[Tên đối tượng]],'DANH MỤC ĐỐI TƯỢNG'!A:E,5,0),"")</f>
        <v>phường 11,113 Bình Thới,quận 11,thành phố Hồ Chí Minh</v>
      </c>
      <c r="G697">
        <f>_xlfn.IFNA(VLOOKUP(Table1[[#This Row],[Tên đối tượng]],'DANH MỤC ĐỐI TƯỢNG'!A:F,6,0),"")</f>
        <v>0</v>
      </c>
      <c r="H697" t="str">
        <f>_xlfn.IFNA(VLOOKUP(Table1[[#This Row],[Tên đối tượng]],'DANH MỤC ĐỐI TƯỢNG'!A:I,9,0),"")</f>
        <v>Ngân hàng ACB -  Hồ Chí Minh</v>
      </c>
      <c r="I697" t="str">
        <f>_xlfn.IFNA(VLOOKUP(Table1[[#This Row],[Tên đối tượng]],'DANH MỤC ĐỐI TƯỢNG'!A:J,10,0),"")</f>
        <v>4195009</v>
      </c>
    </row>
    <row r="698" spans="1:9" x14ac:dyDescent="0.3">
      <c r="A698">
        <v>695</v>
      </c>
      <c r="B698" t="s">
        <v>1359</v>
      </c>
      <c r="C698" t="s">
        <v>1360</v>
      </c>
      <c r="D698" t="str">
        <f t="shared" si="20"/>
        <v>695. V10529</v>
      </c>
      <c r="E698" s="5" t="str">
        <f t="shared" ca="1" si="21"/>
        <v>Công ty TNHH FIL Việt Nam</v>
      </c>
      <c r="F698" t="str">
        <f>IFERROR(VLOOKUP(Table1[[#This Row],[Tên đối tượng]],'DANH MỤC ĐỐI TƯỢNG'!A:E,5,0),"")</f>
        <v>phường Tương Mai,số 25, ngõ 82, phố Nguyễn An Ninh,quận Hoàng Mai,thành phố Hà Nội</v>
      </c>
      <c r="G698">
        <f>_xlfn.IFNA(VLOOKUP(Table1[[#This Row],[Tên đối tượng]],'DANH MỤC ĐỐI TƯỢNG'!A:F,6,0),"")</f>
        <v>0</v>
      </c>
      <c r="H698">
        <f>_xlfn.IFNA(VLOOKUP(Table1[[#This Row],[Tên đối tượng]],'DANH MỤC ĐỐI TƯỢNG'!A:I,9,0),"")</f>
        <v>0</v>
      </c>
      <c r="I698">
        <f>_xlfn.IFNA(VLOOKUP(Table1[[#This Row],[Tên đối tượng]],'DANH MỤC ĐỐI TƯỢNG'!A:J,10,0),"")</f>
        <v>0</v>
      </c>
    </row>
    <row r="699" spans="1:9" x14ac:dyDescent="0.3">
      <c r="A699">
        <v>696</v>
      </c>
      <c r="B699" t="s">
        <v>1361</v>
      </c>
      <c r="C699" t="s">
        <v>1362</v>
      </c>
      <c r="D699" t="str">
        <f t="shared" si="20"/>
        <v>696. V10528</v>
      </c>
      <c r="E699" s="5" t="str">
        <f t="shared" ca="1" si="21"/>
        <v>Công ty TNHH Thương mại Sao Mai</v>
      </c>
      <c r="F699" t="str">
        <f>IFERROR(VLOOKUP(Table1[[#This Row],[Tên đối tượng]],'DANH MỤC ĐỐI TƯỢNG'!A:E,5,0),"")</f>
        <v>Lô CN10, Khu công nghiệp Tân Liên, xã Tân Liên, huyện Vĩnh Bảo, thành phố Hải Phòng</v>
      </c>
      <c r="G699">
        <f>_xlfn.IFNA(VLOOKUP(Table1[[#This Row],[Tên đối tượng]],'DANH MỤC ĐỐI TƯỢNG'!A:F,6,0),"")</f>
        <v>0</v>
      </c>
      <c r="H699" t="str">
        <f>_xlfn.IFNA(VLOOKUP(Table1[[#This Row],[Tên đối tượng]],'DANH MỤC ĐỐI TƯỢNG'!A:I,9,0),"")</f>
        <v>Ngân hàng TMCP Công thương Việt Nam - Chi nhánh Lê Chân</v>
      </c>
      <c r="I699" t="str">
        <f>_xlfn.IFNA(VLOOKUP(Table1[[#This Row],[Tên đối tượng]],'DANH MỤC ĐỐI TƯỢNG'!A:J,10,0),"")</f>
        <v>111000182824</v>
      </c>
    </row>
    <row r="700" spans="1:9" x14ac:dyDescent="0.3">
      <c r="A700">
        <v>697</v>
      </c>
      <c r="B700" t="s">
        <v>1363</v>
      </c>
      <c r="C700" t="s">
        <v>1364</v>
      </c>
      <c r="D700" t="str">
        <f t="shared" si="20"/>
        <v>697. V10526</v>
      </c>
      <c r="E700" s="5" t="str">
        <f t="shared" ca="1" si="21"/>
        <v>Công ty TNHH Thương mại BIG-TREE</v>
      </c>
      <c r="F700" t="str">
        <f>IFERROR(VLOOKUP(Table1[[#This Row],[Tên đối tượng]],'DANH MỤC ĐỐI TƯỢNG'!A:E,5,0),"")</f>
        <v>số 37, ngõ 173/37 đường An Dương Vương, phường Phú Thượng, quận Tây Hồ, thành phố Hà Nội</v>
      </c>
      <c r="G700">
        <f>_xlfn.IFNA(VLOOKUP(Table1[[#This Row],[Tên đối tượng]],'DANH MỤC ĐỐI TƯỢNG'!A:F,6,0),"")</f>
        <v>0</v>
      </c>
      <c r="H700" t="str">
        <f>_xlfn.IFNA(VLOOKUP(Table1[[#This Row],[Tên đối tượng]],'DANH MỤC ĐỐI TƯỢNG'!A:I,9,0),"")</f>
        <v>Ngân hàng TMCP Sài Gòn Thương Tín - CN Thủ Đô</v>
      </c>
      <c r="I700" t="str">
        <f>_xlfn.IFNA(VLOOKUP(Table1[[#This Row],[Tên đối tượng]],'DANH MỤC ĐỐI TƯỢNG'!A:J,10,0),"")</f>
        <v>020079089088</v>
      </c>
    </row>
    <row r="701" spans="1:9" x14ac:dyDescent="0.3">
      <c r="A701">
        <v>698</v>
      </c>
      <c r="B701" t="s">
        <v>1365</v>
      </c>
      <c r="C701" t="s">
        <v>1366</v>
      </c>
      <c r="D701" t="str">
        <f t="shared" si="20"/>
        <v>698. V10527</v>
      </c>
      <c r="E701" s="5" t="str">
        <f t="shared" ca="1" si="21"/>
        <v>Công ty TNHH vận tải quốc tế Nhật - Việt</v>
      </c>
      <c r="F701" t="str">
        <f>IFERROR(VLOOKUP(Table1[[#This Row],[Tên đối tượng]],'DANH MỤC ĐỐI TƯỢNG'!A:E,5,0),"")</f>
        <v>Chùa Vẽ, đường Ngô Quyền, phường Đông Hải 1, quận Hải An, Hải Phòng</v>
      </c>
      <c r="G701" t="str">
        <f>_xlfn.IFNA(VLOOKUP(Table1[[#This Row],[Tên đối tượng]],'DANH MỤC ĐỐI TƯỢNG'!A:F,6,0),"")</f>
        <v>0200114893</v>
      </c>
      <c r="H701" t="str">
        <f>_xlfn.IFNA(VLOOKUP(Table1[[#This Row],[Tên đối tượng]],'DANH MỤC ĐỐI TƯỢNG'!A:I,9,0),"")</f>
        <v>Ngân hàng thương mại cổ phần ngoại thương Việt Nam -CN Hải Phòng</v>
      </c>
      <c r="I701" t="str">
        <f>_xlfn.IFNA(VLOOKUP(Table1[[#This Row],[Tên đối tượng]],'DANH MỤC ĐỐI TƯỢNG'!A:J,10,0),"")</f>
        <v>0031000002915</v>
      </c>
    </row>
    <row r="702" spans="1:9" x14ac:dyDescent="0.3">
      <c r="A702">
        <v>699</v>
      </c>
      <c r="B702" t="s">
        <v>1367</v>
      </c>
      <c r="C702" t="s">
        <v>1368</v>
      </c>
      <c r="D702" t="str">
        <f t="shared" si="20"/>
        <v>699. V10520</v>
      </c>
      <c r="E702" s="5" t="str">
        <f t="shared" ca="1" si="21"/>
        <v>Công ty cổ phần tập đoàn Công nghiệp Việt</v>
      </c>
      <c r="F702" t="str">
        <f>IFERROR(VLOOKUP(Table1[[#This Row],[Tên đối tượng]],'DANH MỤC ĐỐI TƯỢNG'!A:E,5,0),"")</f>
        <v>Phòng 801 toà nhà SilverWings, 137A  Nguyễn Văn Cừ, P.Ngọc Lâm, Q.Long Biên, TP Hà Nội,VN</v>
      </c>
      <c r="G702">
        <f>_xlfn.IFNA(VLOOKUP(Table1[[#This Row],[Tên đối tượng]],'DANH MỤC ĐỐI TƯỢNG'!A:F,6,0),"")</f>
        <v>0</v>
      </c>
      <c r="H702" t="str">
        <f>_xlfn.IFNA(VLOOKUP(Table1[[#This Row],[Tên đối tượng]],'DANH MỤC ĐỐI TƯỢNG'!A:I,9,0),"")</f>
        <v>ACB bank - Chi nhánh Đông Đô- Phòng giao dịch Văn Phú</v>
      </c>
      <c r="I702" t="str">
        <f>_xlfn.IFNA(VLOOKUP(Table1[[#This Row],[Tên đối tượng]],'DANH MỤC ĐỐI TƯỢNG'!A:J,10,0),"")</f>
        <v>868688868</v>
      </c>
    </row>
    <row r="703" spans="1:9" x14ac:dyDescent="0.3">
      <c r="A703">
        <v>700</v>
      </c>
      <c r="B703" t="s">
        <v>1369</v>
      </c>
      <c r="C703" t="s">
        <v>1370</v>
      </c>
      <c r="D703" t="str">
        <f t="shared" si="20"/>
        <v>700. V20174</v>
      </c>
      <c r="E703" s="5" t="str">
        <f t="shared" ca="1" si="21"/>
        <v>EKTRON TEK CO., LTD</v>
      </c>
      <c r="F703" t="str">
        <f>IFERROR(VLOOKUP(Table1[[#This Row],[Tên đối tượng]],'DANH MỤC ĐỐI TƯỢNG'!A:E,5,0),"")</f>
        <v>No. 182 lane. 380, Ton An road,Tien Chung town,Chang Hua Hsien, Taiwan R.O.C</v>
      </c>
      <c r="G703">
        <f>_xlfn.IFNA(VLOOKUP(Table1[[#This Row],[Tên đối tượng]],'DANH MỤC ĐỐI TƯỢNG'!A:F,6,0),"")</f>
        <v>0</v>
      </c>
      <c r="H703" t="str">
        <f>_xlfn.IFNA(VLOOKUP(Table1[[#This Row],[Tên đối tượng]],'DANH MỤC ĐỐI TƯỢNG'!A:I,9,0),"")</f>
        <v>Cathay United Bank-Yuanlin Branch</v>
      </c>
      <c r="I703" t="str">
        <f>_xlfn.IFNA(VLOOKUP(Table1[[#This Row],[Tên đối tượng]],'DANH MỤC ĐỐI TƯỢNG'!A:J,10,0),"")</f>
        <v>023080002386</v>
      </c>
    </row>
    <row r="704" spans="1:9" x14ac:dyDescent="0.3">
      <c r="A704">
        <v>701</v>
      </c>
      <c r="B704" t="s">
        <v>1371</v>
      </c>
      <c r="C704" t="s">
        <v>1372</v>
      </c>
      <c r="D704" t="str">
        <f t="shared" si="20"/>
        <v>701. T3010C0</v>
      </c>
      <c r="E704" s="5" t="str">
        <f t="shared" ca="1" si="21"/>
        <v>Chi cục kiểm tra sau thông quan - Cục Hải Quan TP Hải Phòng</v>
      </c>
      <c r="F704" t="str">
        <f>IFERROR(VLOOKUP(Table1[[#This Row],[Tên đối tượng]],'DANH MỤC ĐỐI TƯỢNG'!A:E,5,0),"")</f>
        <v/>
      </c>
      <c r="G704" t="str">
        <f>_xlfn.IFNA(VLOOKUP(Table1[[#This Row],[Tên đối tượng]],'DANH MỤC ĐỐI TƯỢNG'!A:F,6,0),"")</f>
        <v/>
      </c>
      <c r="H704" t="str">
        <f>_xlfn.IFNA(VLOOKUP(Table1[[#This Row],[Tên đối tượng]],'DANH MỤC ĐỐI TƯỢNG'!A:I,9,0),"")</f>
        <v/>
      </c>
      <c r="I704" t="str">
        <f>_xlfn.IFNA(VLOOKUP(Table1[[#This Row],[Tên đối tượng]],'DANH MỤC ĐỐI TƯỢNG'!A:J,10,0),"")</f>
        <v/>
      </c>
    </row>
    <row r="705" spans="1:9" x14ac:dyDescent="0.3">
      <c r="A705">
        <v>702</v>
      </c>
      <c r="B705" t="s">
        <v>1373</v>
      </c>
      <c r="C705" t="s">
        <v>1374</v>
      </c>
      <c r="D705" t="str">
        <f t="shared" si="20"/>
        <v>702. V10523</v>
      </c>
      <c r="E705" s="5" t="str">
        <f t="shared" ca="1" si="21"/>
        <v>Công ty TNHH IGUS Việt Nam</v>
      </c>
      <c r="F705" t="str">
        <f>IFERROR(VLOOKUP(Table1[[#This Row],[Tên đối tượng]],'DANH MỤC ĐỐI TƯỢNG'!A:E,5,0),"")</f>
        <v>Đơn vị 4, tầng 7, Xưởng tiêu chuẩn B, đường Tân Thuận, Khu chế xuất Tân Thuận, phường Tân Thuận Đông, quận 7, tp Hồ Chí Minh</v>
      </c>
      <c r="G705" t="str">
        <f>_xlfn.IFNA(VLOOKUP(Table1[[#This Row],[Tên đối tượng]],'DANH MỤC ĐỐI TƯỢNG'!A:F,6,0),"")</f>
        <v>0314214531</v>
      </c>
      <c r="H705" t="str">
        <f>_xlfn.IFNA(VLOOKUP(Table1[[#This Row],[Tên đối tượng]],'DANH MỤC ĐỐI TƯỢNG'!A:I,9,0),"")</f>
        <v>Vietcombank- Hồ Chí Minh - PGD Phổ Quang</v>
      </c>
      <c r="I705" t="str">
        <f>_xlfn.IFNA(VLOOKUP(Table1[[#This Row],[Tên đối tượng]],'DANH MỤC ĐỐI TƯỢNG'!A:J,10,0),"")</f>
        <v>1014684461</v>
      </c>
    </row>
    <row r="706" spans="1:9" x14ac:dyDescent="0.3">
      <c r="A706">
        <v>703</v>
      </c>
      <c r="B706" t="s">
        <v>1375</v>
      </c>
      <c r="C706" t="s">
        <v>1376</v>
      </c>
      <c r="D706" t="str">
        <f t="shared" si="20"/>
        <v>703. V10519</v>
      </c>
      <c r="E706" s="5" t="str">
        <f t="shared" ca="1" si="21"/>
        <v>Công ty TNHH Huấn luyện an toàn và kiểm định thiết bị Việt Nam</v>
      </c>
      <c r="F706" t="str">
        <f>IFERROR(VLOOKUP(Table1[[#This Row],[Tên đối tượng]],'DANH MỤC ĐỐI TƯỢNG'!A:E,5,0),"")</f>
        <v>Số 6, Phố Hàm Tử Quan, Phường Chương Dương, Quận Hoàn Kiếm, Hà Nội</v>
      </c>
      <c r="G706" t="str">
        <f>_xlfn.IFNA(VLOOKUP(Table1[[#This Row],[Tên đối tượng]],'DANH MỤC ĐỐI TƯỢNG'!A:F,6,0),"")</f>
        <v>0106872681</v>
      </c>
      <c r="H706" t="str">
        <f>_xlfn.IFNA(VLOOKUP(Table1[[#This Row],[Tên đối tượng]],'DANH MỤC ĐỐI TƯỢNG'!A:I,9,0),"")</f>
        <v>BIDV - Chi nhánh Thành Đô</v>
      </c>
      <c r="I706" t="str">
        <f>_xlfn.IFNA(VLOOKUP(Table1[[#This Row],[Tên đối tượng]],'DANH MỤC ĐỐI TƯỢNG'!A:J,10,0),"")</f>
        <v>15110000463117</v>
      </c>
    </row>
    <row r="707" spans="1:9" x14ac:dyDescent="0.3">
      <c r="A707">
        <v>704</v>
      </c>
      <c r="B707" t="s">
        <v>1377</v>
      </c>
      <c r="C707" t="s">
        <v>1378</v>
      </c>
      <c r="D707" t="str">
        <f t="shared" si="20"/>
        <v>704. V4094</v>
      </c>
      <c r="E707" s="5" t="str">
        <f t="shared" ca="1" si="21"/>
        <v>Bùi Thị Thu Trang</v>
      </c>
      <c r="F707">
        <f>IFERROR(VLOOKUP(Table1[[#This Row],[Tên đối tượng]],'DANH MỤC ĐỐI TƯỢNG'!A:E,5,0),"")</f>
        <v>0</v>
      </c>
      <c r="G707">
        <f>_xlfn.IFNA(VLOOKUP(Table1[[#This Row],[Tên đối tượng]],'DANH MỤC ĐỐI TƯỢNG'!A:F,6,0),"")</f>
        <v>0</v>
      </c>
      <c r="H707">
        <f>_xlfn.IFNA(VLOOKUP(Table1[[#This Row],[Tên đối tượng]],'DANH MỤC ĐỐI TƯỢNG'!A:I,9,0),"")</f>
        <v>0</v>
      </c>
      <c r="I707">
        <f>_xlfn.IFNA(VLOOKUP(Table1[[#This Row],[Tên đối tượng]],'DANH MỤC ĐỐI TƯỢNG'!A:J,10,0),"")</f>
        <v>0</v>
      </c>
    </row>
    <row r="708" spans="1:9" x14ac:dyDescent="0.3">
      <c r="A708">
        <v>705</v>
      </c>
      <c r="B708">
        <v>352000</v>
      </c>
      <c r="C708" t="s">
        <v>1379</v>
      </c>
      <c r="D708" t="str">
        <f t="shared" si="20"/>
        <v>705. 352000</v>
      </c>
      <c r="E708" s="5" t="str">
        <f t="shared" ca="1" si="21"/>
        <v>Bridgestone Tire Sales Korea Ltd.</v>
      </c>
      <c r="F708" t="str">
        <f>IFERROR(VLOOKUP(Table1[[#This Row],[Tên đối tượng]],'DANH MỤC ĐỐI TƯỢNG'!A:E,5,0),"")</f>
        <v>12th Floor, GS Tower, 508, Nonthyeon-ro, Gangnam-gu, Seoul, 06141, Korea</v>
      </c>
      <c r="G708">
        <f>_xlfn.IFNA(VLOOKUP(Table1[[#This Row],[Tên đối tượng]],'DANH MỤC ĐỐI TƯỢNG'!A:F,6,0),"")</f>
        <v>0</v>
      </c>
      <c r="H708" t="str">
        <f>_xlfn.IFNA(VLOOKUP(Table1[[#This Row],[Tên đối tượng]],'DANH MỤC ĐỐI TƯỢNG'!A:I,9,0),"")</f>
        <v>SHINHAN BANK - Gwanggyo Middle Market Banking Center</v>
      </c>
      <c r="I708" t="str">
        <f>_xlfn.IFNA(VLOOKUP(Table1[[#This Row],[Tên đối tượng]],'DANH MỤC ĐỐI TƯỢNG'!A:J,10,0),"")</f>
        <v>180-005-349590</v>
      </c>
    </row>
    <row r="709" spans="1:9" x14ac:dyDescent="0.3">
      <c r="A709">
        <v>706</v>
      </c>
      <c r="B709" t="s">
        <v>1380</v>
      </c>
      <c r="C709" t="s">
        <v>1381</v>
      </c>
      <c r="D709" t="str">
        <f t="shared" ref="D709:D772" si="22">A709&amp;". "&amp;B709</f>
        <v>706. V10510</v>
      </c>
      <c r="E709" s="5" t="str">
        <f t="shared" ref="E709:E772" ca="1" si="23">IF(B709&lt;&gt;"",HYPERLINK($A$2&amp;D709,C709),"")</f>
        <v>Công ty TNHH Ernst &amp; Young Việt Nam – Chi nhánh Hà Nội</v>
      </c>
      <c r="F709" t="str">
        <f>IFERROR(VLOOKUP(Table1[[#This Row],[Tên đối tượng]],'DANH MỤC ĐỐI TƯỢNG'!A:E,5,0),"")</f>
        <v>Tầng 8, tòa nhà Cornerstore - Số 16 Phan Chu Trinh, Phường Phan Chu Trinh, Quận Hoàn Kiếm, Hà Nội</v>
      </c>
      <c r="G709" t="str">
        <f>_xlfn.IFNA(VLOOKUP(Table1[[#This Row],[Tên đối tượng]],'DANH MỤC ĐỐI TƯỢNG'!A:F,6,0),"")</f>
        <v>0300811802-001</v>
      </c>
      <c r="H709" t="str">
        <f>_xlfn.IFNA(VLOOKUP(Table1[[#This Row],[Tên đối tượng]],'DANH MỤC ĐỐI TƯỢNG'!A:I,9,0),"")</f>
        <v>Ngân hàng TNHH MTV HSBC (Việt Nam)</v>
      </c>
      <c r="I709" t="str">
        <f>_xlfn.IFNA(VLOOKUP(Table1[[#This Row],[Tên đối tượng]],'DANH MỤC ĐỐI TƯỢNG'!A:J,10,0),"")</f>
        <v>002-306686-001</v>
      </c>
    </row>
    <row r="710" spans="1:9" x14ac:dyDescent="0.3">
      <c r="A710">
        <v>707</v>
      </c>
      <c r="B710" t="s">
        <v>1382</v>
      </c>
      <c r="C710" t="s">
        <v>1383</v>
      </c>
      <c r="D710" t="str">
        <f t="shared" si="22"/>
        <v>707. V10543</v>
      </c>
      <c r="E710" s="5" t="str">
        <f t="shared" ca="1" si="23"/>
        <v>Công ty TNHH xây dựng thương mại Tiến Hải</v>
      </c>
      <c r="F710" t="str">
        <f>IFERROR(VLOOKUP(Table1[[#This Row],[Tên đối tượng]],'DANH MỤC ĐỐI TƯỢNG'!A:E,5,0),"")</f>
        <v>Thôn Hỗ Đông (tại nhà ông Nguyễn Thanh Hải), xã Hồng Phong,huyện An Dương,thành phố Hải Phòng</v>
      </c>
      <c r="G710">
        <f>_xlfn.IFNA(VLOOKUP(Table1[[#This Row],[Tên đối tượng]],'DANH MỤC ĐỐI TƯỢNG'!A:F,6,0),"")</f>
        <v>0</v>
      </c>
      <c r="H710" t="str">
        <f>_xlfn.IFNA(VLOOKUP(Table1[[#This Row],[Tên đối tượng]],'DANH MỤC ĐỐI TƯỢNG'!A:I,9,0),"")</f>
        <v>Ngân hàng Nông nghiệp và phát triển nông thôn Việt Nam-Chi nhánh KV An Hưng - Bắc Hải Phòng</v>
      </c>
      <c r="I710" t="str">
        <f>_xlfn.IFNA(VLOOKUP(Table1[[#This Row],[Tên đối tượng]],'DANH MỤC ĐỐI TƯỢNG'!A:J,10,0),"")</f>
        <v>2113201001724</v>
      </c>
    </row>
    <row r="711" spans="1:9" x14ac:dyDescent="0.3">
      <c r="A711">
        <v>708</v>
      </c>
      <c r="B711" t="s">
        <v>1384</v>
      </c>
      <c r="C711" t="s">
        <v>1385</v>
      </c>
      <c r="D711" t="str">
        <f t="shared" si="22"/>
        <v>708. V20175</v>
      </c>
      <c r="E711" s="5" t="str">
        <f t="shared" ca="1" si="23"/>
        <v>Kodaira manufacturing Co.,Ltd</v>
      </c>
      <c r="F711" t="str">
        <f>IFERROR(VLOOKUP(Table1[[#This Row],[Tên đối tượng]],'DANH MỤC ĐỐI TƯỢNG'!A:E,5,0),"")</f>
        <v>113-0031 2-35-1 Nezu, Bunkyo-ku, Tokyo, Japan</v>
      </c>
      <c r="G711">
        <f>_xlfn.IFNA(VLOOKUP(Table1[[#This Row],[Tên đối tượng]],'DANH MỤC ĐỐI TƯỢNG'!A:F,6,0),"")</f>
        <v>0</v>
      </c>
      <c r="H711" t="str">
        <f>_xlfn.IFNA(VLOOKUP(Table1[[#This Row],[Tên đối tượng]],'DANH MỤC ĐỐI TƯỢNG'!A:I,9,0),"")</f>
        <v>Mizuho bank, Ltd - Nezu branch</v>
      </c>
      <c r="I711" t="str">
        <f>_xlfn.IFNA(VLOOKUP(Table1[[#This Row],[Tên đối tượng]],'DANH MỤC ĐỐI TƯỢNG'!A:J,10,0),"")</f>
        <v>235-0101281</v>
      </c>
    </row>
    <row r="712" spans="1:9" x14ac:dyDescent="0.3">
      <c r="A712">
        <v>709</v>
      </c>
      <c r="B712" t="s">
        <v>1386</v>
      </c>
      <c r="C712" t="s">
        <v>1387</v>
      </c>
      <c r="D712" t="str">
        <f t="shared" si="22"/>
        <v>709. V20179</v>
      </c>
      <c r="E712" s="5" t="str">
        <f t="shared" ca="1" si="23"/>
        <v>Beijing Xiangyuan rubber and Tyre Inspection Technology Service Co.,Ltd</v>
      </c>
      <c r="F712" t="str">
        <f>IFERROR(VLOOKUP(Table1[[#This Row],[Tên đối tượng]],'DANH MỤC ĐỐI TƯỢNG'!A:E,5,0),"")</f>
        <v>19A, Fushi Road, Haidian District, Beijing, 00143, P.R China</v>
      </c>
      <c r="G712">
        <f>_xlfn.IFNA(VLOOKUP(Table1[[#This Row],[Tên đối tượng]],'DANH MỤC ĐỐI TƯỢNG'!A:F,6,0),"")</f>
        <v>0</v>
      </c>
      <c r="H712" t="str">
        <f>_xlfn.IFNA(VLOOKUP(Table1[[#This Row],[Tên đối tượng]],'DANH MỤC ĐỐI TƯỢNG'!A:I,9,0),"")</f>
        <v>Industrial and Commercial Bank of China</v>
      </c>
      <c r="I712" t="str">
        <f>_xlfn.IFNA(VLOOKUP(Table1[[#This Row],[Tên đối tượng]],'DANH MỤC ĐỐI TƯỢNG'!A:J,10,0),"")</f>
        <v>0200004909200245436</v>
      </c>
    </row>
    <row r="713" spans="1:9" x14ac:dyDescent="0.3">
      <c r="A713">
        <v>710</v>
      </c>
      <c r="B713" t="s">
        <v>1388</v>
      </c>
      <c r="C713" t="s">
        <v>1389</v>
      </c>
      <c r="D713" t="str">
        <f t="shared" si="22"/>
        <v>710. V10550</v>
      </c>
      <c r="E713" s="5" t="str">
        <f t="shared" ca="1" si="23"/>
        <v>Chi nhánh công ty TNHH SMC Corporation(Việt Nam) tại Bắc Ninh</v>
      </c>
      <c r="F713" t="str">
        <f>IFERROR(VLOOKUP(Table1[[#This Row],[Tên đối tượng]],'DANH MỤC ĐỐI TƯỢNG'!A:E,5,0),"")</f>
        <v>số 89, đường Hữu Nghị, khu công nghiệp, đô thị và dịch vụ VSIP Bắc Ninh, Phù Chẩn, thành phố Từ Sơn, tỉnh Bắc Ninh, Việt Nam</v>
      </c>
      <c r="G713">
        <f>_xlfn.IFNA(VLOOKUP(Table1[[#This Row],[Tên đối tượng]],'DANH MỤC ĐỐI TƯỢNG'!A:F,6,0),"")</f>
        <v>0</v>
      </c>
      <c r="H713" t="str">
        <f>_xlfn.IFNA(VLOOKUP(Table1[[#This Row],[Tên đối tượng]],'DANH MỤC ĐỐI TƯỢNG'!A:I,9,0),"")</f>
        <v>Ngân hàng TMCP Công Thương Việt Nam-Chi nhánh KCN  Tiên Sơn</v>
      </c>
      <c r="I713" t="str">
        <f>_xlfn.IFNA(VLOOKUP(Table1[[#This Row],[Tên đối tượng]],'DANH MỤC ĐỐI TƯỢNG'!A:J,10,0),"")</f>
        <v>111002672179</v>
      </c>
    </row>
    <row r="714" spans="1:9" x14ac:dyDescent="0.3">
      <c r="A714">
        <v>711</v>
      </c>
      <c r="B714" t="s">
        <v>1390</v>
      </c>
      <c r="C714" t="s">
        <v>1391</v>
      </c>
      <c r="D714" t="str">
        <f t="shared" si="22"/>
        <v>711. V20171</v>
      </c>
      <c r="E714" s="5" t="str">
        <f t="shared" ca="1" si="23"/>
        <v>Wuxi Tengyu Machinery &amp; Technology Co.,Ltd</v>
      </c>
      <c r="F714" t="str">
        <f>IFERROR(VLOOKUP(Table1[[#This Row],[Tên đối tượng]],'DANH MỤC ĐỐI TƯỢNG'!A:E,5,0),"")</f>
        <v>No.126 Xingyuan Road, Ehu town, Xishan District, Wuxi City, Jiangsu, China</v>
      </c>
      <c r="G714">
        <f>_xlfn.IFNA(VLOOKUP(Table1[[#This Row],[Tên đối tượng]],'DANH MỤC ĐỐI TƯỢNG'!A:F,6,0),"")</f>
        <v>0</v>
      </c>
      <c r="H714">
        <f>_xlfn.IFNA(VLOOKUP(Table1[[#This Row],[Tên đối tượng]],'DANH MỤC ĐỐI TƯỢNG'!A:I,9,0),"")</f>
        <v>0</v>
      </c>
      <c r="I714">
        <f>_xlfn.IFNA(VLOOKUP(Table1[[#This Row],[Tên đối tượng]],'DANH MỤC ĐỐI TƯỢNG'!A:J,10,0),"")</f>
        <v>0</v>
      </c>
    </row>
    <row r="715" spans="1:9" x14ac:dyDescent="0.3">
      <c r="A715">
        <v>712</v>
      </c>
      <c r="B715" t="s">
        <v>1392</v>
      </c>
      <c r="C715" t="s">
        <v>1393</v>
      </c>
      <c r="D715" t="str">
        <f t="shared" si="22"/>
        <v>712. V20172</v>
      </c>
      <c r="E715" s="5" t="str">
        <f t="shared" ca="1" si="23"/>
        <v>Shenma Industrial Co., Ltd</v>
      </c>
      <c r="F715" t="str">
        <f>IFERROR(VLOOKUP(Table1[[#This Row],[Tên đối tượng]],'DANH MỤC ĐỐI TƯỢNG'!A:E,5,0),"")</f>
        <v>No.63, Jianshe road,Pingdingshan,Henan, China</v>
      </c>
      <c r="G715">
        <f>_xlfn.IFNA(VLOOKUP(Table1[[#This Row],[Tên đối tượng]],'DANH MỤC ĐỐI TƯỢNG'!A:F,6,0),"")</f>
        <v>0</v>
      </c>
      <c r="H715" t="str">
        <f>_xlfn.IFNA(VLOOKUP(Table1[[#This Row],[Tên đối tượng]],'DANH MỤC ĐỐI TƯỢNG'!A:I,9,0),"")</f>
        <v>Bank of China</v>
      </c>
      <c r="I715" t="str">
        <f>_xlfn.IFNA(VLOOKUP(Table1[[#This Row],[Tên đối tượng]],'DANH MỤC ĐỐI TƯỢNG'!A:J,10,0),"")</f>
        <v>255903932635</v>
      </c>
    </row>
    <row r="716" spans="1:9" x14ac:dyDescent="0.3">
      <c r="A716">
        <v>713</v>
      </c>
      <c r="B716" t="s">
        <v>1394</v>
      </c>
      <c r="C716" t="s">
        <v>1395</v>
      </c>
      <c r="D716" t="str">
        <f t="shared" si="22"/>
        <v>713. V10548</v>
      </c>
      <c r="E716" s="5" t="str">
        <f t="shared" ca="1" si="23"/>
        <v>Công ty Cổ phần nước tinh khiết Samari</v>
      </c>
      <c r="F716" t="str">
        <f>IFERROR(VLOOKUP(Table1[[#This Row],[Tên đối tượng]],'DANH MỤC ĐỐI TƯỢNG'!A:E,5,0),"")</f>
        <v>Thôn Vân Tra (tại nhà ông Nguyễn Văn Vang), xã An Đồng, huyện An Dương, TP Hải Phòng</v>
      </c>
      <c r="G716">
        <f>_xlfn.IFNA(VLOOKUP(Table1[[#This Row],[Tên đối tượng]],'DANH MỤC ĐỐI TƯỢNG'!A:F,6,0),"")</f>
        <v>0</v>
      </c>
      <c r="H716" t="str">
        <f>_xlfn.IFNA(VLOOKUP(Table1[[#This Row],[Tên đối tượng]],'DANH MỤC ĐỐI TƯỢNG'!A:I,9,0),"")</f>
        <v>Maritimebank - CN Hồng Bàng, Hải Phòng</v>
      </c>
      <c r="I716" t="str">
        <f>_xlfn.IFNA(VLOOKUP(Table1[[#This Row],[Tên đối tượng]],'DANH MỤC ĐỐI TƯỢNG'!A:J,10,0),"")</f>
        <v>02101010059766</v>
      </c>
    </row>
    <row r="717" spans="1:9" x14ac:dyDescent="0.3">
      <c r="A717">
        <v>714</v>
      </c>
      <c r="B717" t="s">
        <v>1396</v>
      </c>
      <c r="C717" t="s">
        <v>1397</v>
      </c>
      <c r="D717" t="str">
        <f t="shared" si="22"/>
        <v>714. V10545</v>
      </c>
      <c r="E717" s="5" t="str">
        <f t="shared" ca="1" si="23"/>
        <v>Công ty TNHH MTV Dịch vụ và Du Lịch Biển Đảo Hải Thành</v>
      </c>
      <c r="F717" t="str">
        <f>IFERROR(VLOOKUP(Table1[[#This Row],[Tên đối tượng]],'DANH MỤC ĐỐI TƯỢNG'!A:E,5,0),"")</f>
        <v>Số 27C Điện Biên Phủ, Phường Minh Khai, Quận Hồng Bàng, Hải Phòng</v>
      </c>
      <c r="G717">
        <f>_xlfn.IFNA(VLOOKUP(Table1[[#This Row],[Tên đối tượng]],'DANH MỤC ĐỐI TƯỢNG'!A:F,6,0),"")</f>
        <v>0</v>
      </c>
      <c r="H717" t="str">
        <f>_xlfn.IFNA(VLOOKUP(Table1[[#This Row],[Tên đối tượng]],'DANH MỤC ĐỐI TƯỢNG'!A:I,9,0),"")</f>
        <v>Ngân hàng Hàng Hải VN, CN Hồng Bàng, HP</v>
      </c>
      <c r="I717" t="str">
        <f>_xlfn.IFNA(VLOOKUP(Table1[[#This Row],[Tên đối tượng]],'DANH MỤC ĐỐI TƯỢNG'!A:J,10,0),"")</f>
        <v>02101010066661</v>
      </c>
    </row>
    <row r="718" spans="1:9" x14ac:dyDescent="0.3">
      <c r="A718">
        <v>715</v>
      </c>
      <c r="B718" t="s">
        <v>1398</v>
      </c>
      <c r="C718" t="s">
        <v>1399</v>
      </c>
      <c r="D718" t="str">
        <f t="shared" si="22"/>
        <v>715. V4106C0</v>
      </c>
      <c r="E718" s="5" t="str">
        <f t="shared" ca="1" si="23"/>
        <v>Công ty TNHH Bảo hiểm Chubb Việt Nam</v>
      </c>
      <c r="F718" t="str">
        <f>IFERROR(VLOOKUP(Table1[[#This Row],[Tên đối tượng]],'DANH MỤC ĐỐI TƯỢNG'!A:E,5,0),"")</f>
        <v>Số 9, Đinh Tiên Hoàng, Quận 1, TP Hồ Chí Minh</v>
      </c>
      <c r="G718">
        <f>_xlfn.IFNA(VLOOKUP(Table1[[#This Row],[Tên đối tượng]],'DANH MỤC ĐỐI TƯỢNG'!A:F,6,0),"")</f>
        <v>0</v>
      </c>
      <c r="H718" t="str">
        <f>_xlfn.IFNA(VLOOKUP(Table1[[#This Row],[Tên đối tượng]],'DANH MỤC ĐỐI TƯỢNG'!A:I,9,0),"")</f>
        <v>Citibank - Hồ Chí Minh</v>
      </c>
      <c r="I718" t="str">
        <f>_xlfn.IFNA(VLOOKUP(Table1[[#This Row],[Tên đối tượng]],'DANH MỤC ĐỐI TƯỢNG'!A:J,10,0),"")</f>
        <v>0301676026</v>
      </c>
    </row>
    <row r="719" spans="1:9" x14ac:dyDescent="0.3">
      <c r="A719">
        <v>716</v>
      </c>
      <c r="B719" t="s">
        <v>1400</v>
      </c>
      <c r="C719" t="s">
        <v>1401</v>
      </c>
      <c r="D719" t="str">
        <f t="shared" si="22"/>
        <v>716. V10409</v>
      </c>
      <c r="E719" s="5" t="str">
        <f t="shared" ca="1" si="23"/>
        <v>Chi nhánh Công ty Cổ phần CareerBuilder</v>
      </c>
      <c r="F719" t="str">
        <f>IFERROR(VLOOKUP(Table1[[#This Row],[Tên đối tượng]],'DANH MỤC ĐỐI TƯỢNG'!A:E,5,0),"")</f>
        <v>Tầng 17, tòa nhà VIT Tower, 519 Kim Mã, P.Ngọc Khánh, Q.Ba Đình, Hà Nội</v>
      </c>
      <c r="G719">
        <f>_xlfn.IFNA(VLOOKUP(Table1[[#This Row],[Tên đối tượng]],'DANH MỤC ĐỐI TƯỢNG'!A:F,6,0),"")</f>
        <v>0</v>
      </c>
      <c r="H719" t="str">
        <f>_xlfn.IFNA(VLOOKUP(Table1[[#This Row],[Tên đối tượng]],'DANH MỤC ĐỐI TƯỢNG'!A:I,9,0),"")</f>
        <v>Vietcombank - CN Ba Đình</v>
      </c>
      <c r="I719" t="str">
        <f>_xlfn.IFNA(VLOOKUP(Table1[[#This Row],[Tên đối tượng]],'DANH MỤC ĐỐI TƯỢNG'!A:J,10,0),"")</f>
        <v>061.100.1910350</v>
      </c>
    </row>
    <row r="720" spans="1:9" x14ac:dyDescent="0.3">
      <c r="A720">
        <v>717</v>
      </c>
      <c r="B720" t="s">
        <v>1402</v>
      </c>
      <c r="C720" t="s">
        <v>1403</v>
      </c>
      <c r="D720" t="str">
        <f t="shared" si="22"/>
        <v>717. V20173</v>
      </c>
      <c r="E720" s="5" t="str">
        <f t="shared" ca="1" si="23"/>
        <v>Kamogawa Co., Ltd</v>
      </c>
      <c r="F720" t="str">
        <f>IFERROR(VLOOKUP(Table1[[#This Row],[Tên đối tượng]],'DANH MỤC ĐỐI TƯỢNG'!A:E,5,0),"")</f>
        <v>78 Tanaka Miya Cho, Takeda, Fushimi, Kyoto, 612-8444 Japan</v>
      </c>
      <c r="G720">
        <f>_xlfn.IFNA(VLOOKUP(Table1[[#This Row],[Tên đối tượng]],'DANH MỤC ĐỐI TƯỢNG'!A:F,6,0),"")</f>
        <v>0</v>
      </c>
      <c r="H720" t="str">
        <f>_xlfn.IFNA(VLOOKUP(Table1[[#This Row],[Tên đối tượng]],'DANH MỤC ĐỐI TƯỢNG'!A:I,9,0),"")</f>
        <v>MUFG Bank, Ltd Toji Branch</v>
      </c>
      <c r="I720" t="str">
        <f>_xlfn.IFNA(VLOOKUP(Table1[[#This Row],[Tên đối tượng]],'DANH MỤC ĐỐI TƯỢNG'!A:J,10,0),"")</f>
        <v>1366</v>
      </c>
    </row>
    <row r="721" spans="1:9" x14ac:dyDescent="0.3">
      <c r="A721">
        <v>718</v>
      </c>
      <c r="B721" t="s">
        <v>1404</v>
      </c>
      <c r="C721" t="s">
        <v>1405</v>
      </c>
      <c r="D721" t="str">
        <f t="shared" si="22"/>
        <v>718. V4110C0</v>
      </c>
      <c r="E721" s="5" t="str">
        <f t="shared" ca="1" si="23"/>
        <v>Eximbank - CN Hải Phòng</v>
      </c>
      <c r="F721" t="str">
        <f>IFERROR(VLOOKUP(Table1[[#This Row],[Tên đối tượng]],'DANH MỤC ĐỐI TƯỢNG'!A:E,5,0),"")</f>
        <v>32 Trần Phú, Ngô Quyền, Hải Phòng</v>
      </c>
      <c r="G721">
        <f>_xlfn.IFNA(VLOOKUP(Table1[[#This Row],[Tên đối tượng]],'DANH MỤC ĐỐI TƯỢNG'!A:F,6,0),"")</f>
        <v>0</v>
      </c>
      <c r="H721">
        <f>_xlfn.IFNA(VLOOKUP(Table1[[#This Row],[Tên đối tượng]],'DANH MỤC ĐỐI TƯỢNG'!A:I,9,0),"")</f>
        <v>0</v>
      </c>
      <c r="I721">
        <f>_xlfn.IFNA(VLOOKUP(Table1[[#This Row],[Tên đối tượng]],'DANH MỤC ĐỐI TƯỢNG'!A:J,10,0),"")</f>
        <v>0</v>
      </c>
    </row>
    <row r="722" spans="1:9" x14ac:dyDescent="0.3">
      <c r="A722">
        <v>719</v>
      </c>
      <c r="B722" t="s">
        <v>1406</v>
      </c>
      <c r="C722" t="s">
        <v>1407</v>
      </c>
      <c r="D722" t="str">
        <f t="shared" si="22"/>
        <v>719. V10544</v>
      </c>
      <c r="E722" s="5" t="str">
        <f t="shared" ca="1" si="23"/>
        <v>Công ty TNHH M.J Việt Nam</v>
      </c>
      <c r="F722" t="str">
        <f>IFERROR(VLOOKUP(Table1[[#This Row],[Tên đối tượng]],'DANH MỤC ĐỐI TƯỢNG'!A:E,5,0),"")</f>
        <v/>
      </c>
      <c r="G722" t="str">
        <f>_xlfn.IFNA(VLOOKUP(Table1[[#This Row],[Tên đối tượng]],'DANH MỤC ĐỐI TƯỢNG'!A:F,6,0),"")</f>
        <v/>
      </c>
      <c r="H722" t="str">
        <f>_xlfn.IFNA(VLOOKUP(Table1[[#This Row],[Tên đối tượng]],'DANH MỤC ĐỐI TƯỢNG'!A:I,9,0),"")</f>
        <v/>
      </c>
      <c r="I722" t="str">
        <f>_xlfn.IFNA(VLOOKUP(Table1[[#This Row],[Tên đối tượng]],'DANH MỤC ĐỐI TƯỢNG'!A:J,10,0),"")</f>
        <v/>
      </c>
    </row>
    <row r="723" spans="1:9" x14ac:dyDescent="0.3">
      <c r="A723">
        <v>720</v>
      </c>
      <c r="B723" t="s">
        <v>1408</v>
      </c>
      <c r="C723" t="s">
        <v>1409</v>
      </c>
      <c r="D723" t="str">
        <f t="shared" si="22"/>
        <v>720. V10554</v>
      </c>
      <c r="E723" s="5" t="str">
        <f t="shared" ca="1" si="23"/>
        <v>Công ty TNHH Thiết kế châu Á Kume</v>
      </c>
      <c r="F723" t="str">
        <f>IFERROR(VLOOKUP(Table1[[#This Row],[Tên đối tượng]],'DANH MỤC ĐỐI TƯỢNG'!A:E,5,0),"")</f>
        <v>Tầng 4, số 25, Lê Đại Hành, phường Lê Đại Hành, quận Hai Bà Trưng, thành phố Hà Nội, Việt Nam</v>
      </c>
      <c r="G723">
        <f>_xlfn.IFNA(VLOOKUP(Table1[[#This Row],[Tên đối tượng]],'DANH MỤC ĐỐI TƯỢNG'!A:F,6,0),"")</f>
        <v>0</v>
      </c>
      <c r="H723" t="str">
        <f>_xlfn.IFNA(VLOOKUP(Table1[[#This Row],[Tên đối tượng]],'DANH MỤC ĐỐI TƯỢNG'!A:I,9,0),"")</f>
        <v>Vietcombank  - SGD</v>
      </c>
      <c r="I723" t="str">
        <f>_xlfn.IFNA(VLOOKUP(Table1[[#This Row],[Tên đối tượng]],'DANH MỤC ĐỐI TƯỢNG'!A:J,10,0),"")</f>
        <v>0011002977806</v>
      </c>
    </row>
    <row r="724" spans="1:9" x14ac:dyDescent="0.3">
      <c r="A724">
        <v>721</v>
      </c>
      <c r="B724" t="s">
        <v>1410</v>
      </c>
      <c r="C724" t="s">
        <v>1411</v>
      </c>
      <c r="D724" t="str">
        <f t="shared" si="22"/>
        <v>721. V20162</v>
      </c>
      <c r="E724" s="5" t="str">
        <f t="shared" ca="1" si="23"/>
        <v>SENNICS CO.,LTD</v>
      </c>
      <c r="F724" t="str">
        <f>IFERROR(VLOOKUP(Table1[[#This Row],[Tên đối tượng]],'DANH MỤC ĐỐI TƯỢNG'!A:E,5,0),"")</f>
        <v>7F, Sinochem International Plaza,No. 233 North Changqing Rd.Pudong New Area,Shanghai 200126, China</v>
      </c>
      <c r="G724">
        <f>_xlfn.IFNA(VLOOKUP(Table1[[#This Row],[Tên đối tượng]],'DANH MỤC ĐỐI TƯỢNG'!A:F,6,0),"")</f>
        <v>0</v>
      </c>
      <c r="H724">
        <f>_xlfn.IFNA(VLOOKUP(Table1[[#This Row],[Tên đối tượng]],'DANH MỤC ĐỐI TƯỢNG'!A:I,9,0),"")</f>
        <v>0</v>
      </c>
      <c r="I724">
        <f>_xlfn.IFNA(VLOOKUP(Table1[[#This Row],[Tên đối tượng]],'DANH MỤC ĐỐI TƯỢNG'!A:J,10,0),"")</f>
        <v>0</v>
      </c>
    </row>
    <row r="725" spans="1:9" x14ac:dyDescent="0.3">
      <c r="A725">
        <v>722</v>
      </c>
      <c r="B725" t="s">
        <v>1412</v>
      </c>
      <c r="C725" t="s">
        <v>1413</v>
      </c>
      <c r="D725" t="str">
        <f t="shared" si="22"/>
        <v>722. V10547</v>
      </c>
      <c r="E725" s="5" t="str">
        <f t="shared" ca="1" si="23"/>
        <v xml:space="preserve">Công ty TNHH dịch vụ kỹ thuật Autorotics </v>
      </c>
      <c r="F725" t="str">
        <f>IFERROR(VLOOKUP(Table1[[#This Row],[Tên đối tượng]],'DANH MỤC ĐỐI TƯỢNG'!A:E,5,0),"")</f>
        <v/>
      </c>
      <c r="G725" t="str">
        <f>_xlfn.IFNA(VLOOKUP(Table1[[#This Row],[Tên đối tượng]],'DANH MỤC ĐỐI TƯỢNG'!A:F,6,0),"")</f>
        <v/>
      </c>
      <c r="H725" t="str">
        <f>_xlfn.IFNA(VLOOKUP(Table1[[#This Row],[Tên đối tượng]],'DANH MỤC ĐỐI TƯỢNG'!A:I,9,0),"")</f>
        <v/>
      </c>
      <c r="I725" t="str">
        <f>_xlfn.IFNA(VLOOKUP(Table1[[#This Row],[Tên đối tượng]],'DANH MỤC ĐỐI TƯỢNG'!A:J,10,0),"")</f>
        <v/>
      </c>
    </row>
    <row r="726" spans="1:9" x14ac:dyDescent="0.3">
      <c r="A726">
        <v>723</v>
      </c>
      <c r="B726" t="s">
        <v>1414</v>
      </c>
      <c r="C726" t="s">
        <v>1415</v>
      </c>
      <c r="D726" t="str">
        <f t="shared" si="22"/>
        <v>723. V10418</v>
      </c>
      <c r="E726" s="5" t="str">
        <f t="shared" ca="1" si="23"/>
        <v>Công ty cổ phần thí nghiệm điện Việt Nam</v>
      </c>
      <c r="F726" t="str">
        <f>IFERROR(VLOOKUP(Table1[[#This Row],[Tên đối tượng]],'DANH MỤC ĐỐI TƯỢNG'!A:E,5,0),"")</f>
        <v>Số 18 ngõ 1 Nguyễn Đức Quý, tổ 13, phường Thanh Xuân Bắc, quận Thanh Xuân, Hà Nội, VN</v>
      </c>
      <c r="G726">
        <f>_xlfn.IFNA(VLOOKUP(Table1[[#This Row],[Tên đối tượng]],'DANH MỤC ĐỐI TƯỢNG'!A:F,6,0),"")</f>
        <v>0</v>
      </c>
      <c r="H726" t="str">
        <f>_xlfn.IFNA(VLOOKUP(Table1[[#This Row],[Tên đối tượng]],'DANH MỤC ĐỐI TƯỢNG'!A:I,9,0),"")</f>
        <v>Ngân hàng Việt Nam Thịnh Vượng (VPBank) - Chi nhánh Thăng Long- PGD Phạm Văn Đồng</v>
      </c>
      <c r="I726" t="str">
        <f>_xlfn.IFNA(VLOOKUP(Table1[[#This Row],[Tên đối tượng]],'DANH MỤC ĐỐI TƯỢNG'!A:J,10,0),"")</f>
        <v>149595678</v>
      </c>
    </row>
    <row r="727" spans="1:9" x14ac:dyDescent="0.3">
      <c r="A727">
        <v>724</v>
      </c>
      <c r="B727" t="s">
        <v>1416</v>
      </c>
      <c r="C727" t="s">
        <v>1417</v>
      </c>
      <c r="D727" t="str">
        <f t="shared" si="22"/>
        <v>724. V20176</v>
      </c>
      <c r="E727" s="5" t="str">
        <f t="shared" ca="1" si="23"/>
        <v>Shuguang Chemical (Singapore) Pte. Ltd</v>
      </c>
      <c r="F727" t="str">
        <f>IFERROR(VLOOKUP(Table1[[#This Row],[Tên đối tượng]],'DANH MỤC ĐỐI TƯỢNG'!A:E,5,0),"")</f>
        <v>60 Paya Lebar Rd#08-10, Paya Lebar Square (Lobby1) S 409051 Singapore (068737)</v>
      </c>
      <c r="G727">
        <f>_xlfn.IFNA(VLOOKUP(Table1[[#This Row],[Tên đối tượng]],'DANH MỤC ĐỐI TƯỢNG'!A:F,6,0),"")</f>
        <v>0</v>
      </c>
      <c r="H727" t="str">
        <f>_xlfn.IFNA(VLOOKUP(Table1[[#This Row],[Tên đối tượng]],'DANH MỤC ĐỐI TƯỢNG'!A:I,9,0),"")</f>
        <v>Oversea - Chinese Banking Corporation Limited</v>
      </c>
      <c r="I727" t="str">
        <f>_xlfn.IFNA(VLOOKUP(Table1[[#This Row],[Tên đối tượng]],'DANH MỤC ĐỐI TƯỢNG'!A:J,10,0),"")</f>
        <v>03493520301</v>
      </c>
    </row>
    <row r="728" spans="1:9" x14ac:dyDescent="0.3">
      <c r="A728">
        <v>725</v>
      </c>
      <c r="B728" t="s">
        <v>1418</v>
      </c>
      <c r="C728" t="s">
        <v>1419</v>
      </c>
      <c r="D728" t="str">
        <f t="shared" si="22"/>
        <v>725. V20181</v>
      </c>
      <c r="E728" s="5" t="str">
        <f t="shared" ca="1" si="23"/>
        <v>PT.Sumi Asih</v>
      </c>
      <c r="F728" t="str">
        <f>IFERROR(VLOOKUP(Table1[[#This Row],[Tên đối tượng]],'DANH MỤC ĐỐI TƯỢNG'!A:E,5,0),"")</f>
        <v>Atria@Sudirman, 17th floor, JI.Jend. Surdiman Kav. 33A Jarkarta 10220, Indonesia</v>
      </c>
      <c r="G728">
        <f>_xlfn.IFNA(VLOOKUP(Table1[[#This Row],[Tên đối tượng]],'DANH MỤC ĐỐI TƯỢNG'!A:F,6,0),"")</f>
        <v>0</v>
      </c>
      <c r="H728" t="str">
        <f>_xlfn.IFNA(VLOOKUP(Table1[[#This Row],[Tên đối tượng]],'DANH MỤC ĐỐI TƯỢNG'!A:I,9,0),"")</f>
        <v>PT. Bank Central Asia TBK - KCU Wisma Millenia</v>
      </c>
      <c r="I728" t="str">
        <f>_xlfn.IFNA(VLOOKUP(Table1[[#This Row],[Tên đối tượng]],'DANH MỤC ĐỐI TƯỢNG'!A:J,10,0),"")</f>
        <v>005-3100489</v>
      </c>
    </row>
    <row r="729" spans="1:9" x14ac:dyDescent="0.3">
      <c r="A729">
        <v>726</v>
      </c>
      <c r="B729" t="s">
        <v>1420</v>
      </c>
      <c r="C729" t="s">
        <v>1421</v>
      </c>
      <c r="D729" t="str">
        <f t="shared" si="22"/>
        <v>726. V10549</v>
      </c>
      <c r="E729" s="5" t="str">
        <f t="shared" ca="1" si="23"/>
        <v>Công ty TNHH thương mại và dịch vụ kỹ thuật Hải Phú Hà</v>
      </c>
      <c r="F729" t="str">
        <f>IFERROR(VLOOKUP(Table1[[#This Row],[Tên đối tượng]],'DANH MỤC ĐỐI TƯỢNG'!A:E,5,0),"")</f>
        <v>Tổ dân phố Trù 2, phường Cổ Nhuế 2, quận Bắc Từ Liêm, TP Hà Nội, Việt Nam</v>
      </c>
      <c r="G729">
        <f>_xlfn.IFNA(VLOOKUP(Table1[[#This Row],[Tên đối tượng]],'DANH MỤC ĐỐI TƯỢNG'!A:F,6,0),"")</f>
        <v>0</v>
      </c>
      <c r="H729" t="str">
        <f>_xlfn.IFNA(VLOOKUP(Table1[[#This Row],[Tên đối tượng]],'DANH MỤC ĐỐI TƯỢNG'!A:I,9,0),"")</f>
        <v>Ngân hàng TMCP Sài Gòn, Hà Nội, Chi nhánh Hà Nội, PGD Trần Duy H</v>
      </c>
      <c r="I729" t="str">
        <f>_xlfn.IFNA(VLOOKUP(Table1[[#This Row],[Tên đối tượng]],'DANH MỤC ĐỐI TƯỢNG'!A:J,10,0),"")</f>
        <v>1005765970</v>
      </c>
    </row>
    <row r="730" spans="1:9" x14ac:dyDescent="0.3">
      <c r="A730">
        <v>727</v>
      </c>
      <c r="B730" t="s">
        <v>1422</v>
      </c>
      <c r="C730" t="s">
        <v>1423</v>
      </c>
      <c r="D730" t="str">
        <f t="shared" si="22"/>
        <v>727. V10555</v>
      </c>
      <c r="E730" s="5" t="str">
        <f t="shared" ca="1" si="23"/>
        <v>Công ty TNHH đầu tư thương mại và dịch vụ Minh Thành</v>
      </c>
      <c r="F730" t="str">
        <f>IFERROR(VLOOKUP(Table1[[#This Row],[Tên đối tượng]],'DANH MỤC ĐỐI TƯỢNG'!A:E,5,0),"")</f>
        <v>Số 464 Trần Nhân Tông, phường Nam Sơn, quận Kiến An, Hải Phòng</v>
      </c>
      <c r="G730">
        <f>_xlfn.IFNA(VLOOKUP(Table1[[#This Row],[Tên đối tượng]],'DANH MỤC ĐỐI TƯỢNG'!A:F,6,0),"")</f>
        <v>0</v>
      </c>
      <c r="H730" t="str">
        <f>_xlfn.IFNA(VLOOKUP(Table1[[#This Row],[Tên đối tượng]],'DANH MỤC ĐỐI TƯỢNG'!A:I,9,0),"")</f>
        <v>Ngân hàng TMCP Việt Nam Thịnh Vượng - CN Hải Phòng</v>
      </c>
      <c r="I730" t="str">
        <f>_xlfn.IFNA(VLOOKUP(Table1[[#This Row],[Tên đối tượng]],'DANH MỤC ĐỐI TƯỢNG'!A:J,10,0),"")</f>
        <v>179647559</v>
      </c>
    </row>
    <row r="731" spans="1:9" x14ac:dyDescent="0.3">
      <c r="A731">
        <v>728</v>
      </c>
      <c r="B731" t="s">
        <v>1424</v>
      </c>
      <c r="C731" t="s">
        <v>1425</v>
      </c>
      <c r="D731" t="str">
        <f t="shared" si="22"/>
        <v>728. V10553</v>
      </c>
      <c r="E731" s="5" t="str">
        <f t="shared" ca="1" si="23"/>
        <v>Công ty cổ phần đầu tư CM</v>
      </c>
      <c r="F731" t="str">
        <f>IFERROR(VLOOKUP(Table1[[#This Row],[Tên đối tượng]],'DANH MỤC ĐỐI TƯỢNG'!A:E,5,0),"")</f>
        <v>6/5/348 Trần Nguyên Hãn, Phường Niệm Nghĩa, Quận Lê Chân, TP Hải Phòng</v>
      </c>
      <c r="G731">
        <f>_xlfn.IFNA(VLOOKUP(Table1[[#This Row],[Tên đối tượng]],'DANH MỤC ĐỐI TƯỢNG'!A:F,6,0),"")</f>
        <v>0</v>
      </c>
      <c r="H731" t="str">
        <f>_xlfn.IFNA(VLOOKUP(Table1[[#This Row],[Tên đối tượng]],'DANH MỤC ĐỐI TƯỢNG'!A:I,9,0),"")</f>
        <v>Ngân hàng TMCP sài gòn-Hà Nội (SHB)- PGD Văn Cao-CN Hải Phòng</v>
      </c>
      <c r="I731" t="str">
        <f>_xlfn.IFNA(VLOOKUP(Table1[[#This Row],[Tên đối tượng]],'DANH MỤC ĐỐI TƯỢNG'!A:J,10,0),"")</f>
        <v>1000047220</v>
      </c>
    </row>
    <row r="732" spans="1:9" x14ac:dyDescent="0.3">
      <c r="A732">
        <v>729</v>
      </c>
      <c r="B732" t="s">
        <v>1426</v>
      </c>
      <c r="C732" t="s">
        <v>1427</v>
      </c>
      <c r="D732" t="str">
        <f t="shared" si="22"/>
        <v>729. V20182</v>
      </c>
      <c r="E732" s="5" t="str">
        <f t="shared" ca="1" si="23"/>
        <v>G T Rubber Co.,Ltd</v>
      </c>
      <c r="F732" t="str">
        <f>IFERROR(VLOOKUP(Table1[[#This Row],[Tên đối tượng]],'DANH MỤC ĐỐI TƯỢNG'!A:E,5,0),"")</f>
        <v>9/1 Bannaihwang Rd.,Pakpraek,Thungsong,Nakhon Si Thamarat Thailand 80110</v>
      </c>
      <c r="G732">
        <f>_xlfn.IFNA(VLOOKUP(Table1[[#This Row],[Tên đối tượng]],'DANH MỤC ĐỐI TƯỢNG'!A:F,6,0),"")</f>
        <v>0</v>
      </c>
      <c r="H732" t="str">
        <f>_xlfn.IFNA(VLOOKUP(Table1[[#This Row],[Tên đối tượng]],'DANH MỤC ĐỐI TƯỢNG'!A:I,9,0),"")</f>
        <v>Siam commercial bank</v>
      </c>
      <c r="I732" t="str">
        <f>_xlfn.IFNA(VLOOKUP(Table1[[#This Row],[Tên đối tượng]],'DANH MỤC ĐỐI TƯỢNG'!A:J,10,0),"")</f>
        <v>5133023927</v>
      </c>
    </row>
    <row r="733" spans="1:9" x14ac:dyDescent="0.3">
      <c r="A733">
        <v>730</v>
      </c>
      <c r="B733" t="s">
        <v>1428</v>
      </c>
      <c r="C733" t="s">
        <v>1429</v>
      </c>
      <c r="D733" t="str">
        <f t="shared" si="22"/>
        <v>730. V10552</v>
      </c>
      <c r="E733" s="5" t="str">
        <f t="shared" ca="1" si="23"/>
        <v>Công ty cổ phần Inotech</v>
      </c>
      <c r="F733" t="str">
        <f>IFERROR(VLOOKUP(Table1[[#This Row],[Tên đối tượng]],'DANH MỤC ĐỐI TƯỢNG'!A:E,5,0),"")</f>
        <v>E702, Tòa nhà The Manor, Mỹ Đình, xã Mễ Trì, Huyện Từ Liêm, Hà Nội.</v>
      </c>
      <c r="G733">
        <f>_xlfn.IFNA(VLOOKUP(Table1[[#This Row],[Tên đối tượng]],'DANH MỤC ĐỐI TƯỢNG'!A:F,6,0),"")</f>
        <v>0</v>
      </c>
      <c r="H733" t="str">
        <f>_xlfn.IFNA(VLOOKUP(Table1[[#This Row],[Tên đối tượng]],'DANH MỤC ĐỐI TƯỢNG'!A:I,9,0),"")</f>
        <v>Ngân hàng TMCP Công Thương Việt Nam, chi nhánh Hoàn Kiếm</v>
      </c>
      <c r="I733" t="str">
        <f>_xlfn.IFNA(VLOOKUP(Table1[[#This Row],[Tên đối tượng]],'DANH MỤC ĐỐI TƯỢNG'!A:J,10,0),"")</f>
        <v>102010000849641</v>
      </c>
    </row>
    <row r="734" spans="1:9" x14ac:dyDescent="0.3">
      <c r="A734">
        <v>731</v>
      </c>
      <c r="B734" t="s">
        <v>1430</v>
      </c>
      <c r="C734" t="s">
        <v>1431</v>
      </c>
      <c r="D734" t="str">
        <f t="shared" si="22"/>
        <v>731. V10561</v>
      </c>
      <c r="E734" s="5" t="str">
        <f t="shared" ca="1" si="23"/>
        <v>Công ty TNHH MAERSK Việt Nam</v>
      </c>
      <c r="F734" t="str">
        <f>IFERROR(VLOOKUP(Table1[[#This Row],[Tên đối tượng]],'DANH MỤC ĐỐI TƯỢNG'!A:E,5,0),"")</f>
        <v>Số 54-56 Nguyễn Trãi, phường Bến Thành, Quận 1, Thành phố Hồ Chí Minh, Việt Nam</v>
      </c>
      <c r="G734">
        <f>_xlfn.IFNA(VLOOKUP(Table1[[#This Row],[Tên đối tượng]],'DANH MỤC ĐỐI TƯỢNG'!A:F,6,0),"")</f>
        <v>0</v>
      </c>
      <c r="H734" t="str">
        <f>_xlfn.IFNA(VLOOKUP(Table1[[#This Row],[Tên đối tượng]],'DANH MỤC ĐỐI TƯỢNG'!A:I,9,0),"")</f>
        <v>Ngân hàng TNHH một Thành viên HSBC (Việt Nam)</v>
      </c>
      <c r="I734" t="str">
        <f>_xlfn.IFNA(VLOOKUP(Table1[[#This Row],[Tên đối tượng]],'DANH MỤC ĐỐI TƯỢNG'!A:J,10,0),"")</f>
        <v>001-088400-001</v>
      </c>
    </row>
    <row r="735" spans="1:9" x14ac:dyDescent="0.3">
      <c r="A735">
        <v>732</v>
      </c>
      <c r="B735">
        <v>520220</v>
      </c>
      <c r="C735" t="s">
        <v>1432</v>
      </c>
      <c r="D735" t="str">
        <f t="shared" si="22"/>
        <v>732. 520220</v>
      </c>
      <c r="E735" s="5" t="str">
        <f t="shared" ca="1" si="23"/>
        <v>Bridgestone Plant Engineering (Thailand) Co., Ltd</v>
      </c>
      <c r="F735">
        <f>IFERROR(VLOOKUP(Table1[[#This Row],[Tên đối tượng]],'DANH MỤC ĐỐI TƯỢNG'!A:E,5,0),"")</f>
        <v>0</v>
      </c>
      <c r="G735">
        <f>_xlfn.IFNA(VLOOKUP(Table1[[#This Row],[Tên đối tượng]],'DANH MỤC ĐỐI TƯỢNG'!A:F,6,0),"")</f>
        <v>0</v>
      </c>
      <c r="H735" t="str">
        <f>_xlfn.IFNA(VLOOKUP(Table1[[#This Row],[Tên đối tượng]],'DANH MỤC ĐỐI TƯỢNG'!A:I,9,0),"")</f>
        <v>Mizuho Bank, Ltd-Bangkok</v>
      </c>
      <c r="I735">
        <f>_xlfn.IFNA(VLOOKUP(Table1[[#This Row],[Tên đối tượng]],'DANH MỤC ĐỐI TƯỢNG'!A:J,10,0),"")</f>
        <v>0</v>
      </c>
    </row>
    <row r="736" spans="1:9" x14ac:dyDescent="0.3">
      <c r="A736">
        <v>733</v>
      </c>
      <c r="B736" t="s">
        <v>1433</v>
      </c>
      <c r="C736" t="s">
        <v>1434</v>
      </c>
      <c r="D736" t="str">
        <f t="shared" si="22"/>
        <v>733. V10560</v>
      </c>
      <c r="E736" s="5" t="str">
        <f t="shared" ca="1" si="23"/>
        <v>Công ty TNHH DAMCO Việt Nam</v>
      </c>
      <c r="F736" t="str">
        <f>IFERROR(VLOOKUP(Table1[[#This Row],[Tên đối tượng]],'DANH MỤC ĐỐI TƯỢNG'!A:E,5,0),"")</f>
        <v>54-56 Nguyễn Trãi, Phường Bến Thành, Quận 1, Thành phố Hồ Chí Minh, Việt Nam</v>
      </c>
      <c r="G736">
        <f>_xlfn.IFNA(VLOOKUP(Table1[[#This Row],[Tên đối tượng]],'DANH MỤC ĐỐI TƯỢNG'!A:F,6,0),"")</f>
        <v>0</v>
      </c>
      <c r="H736" t="str">
        <f>_xlfn.IFNA(VLOOKUP(Table1[[#This Row],[Tên đối tượng]],'DANH MỤC ĐỐI TƯỢNG'!A:I,9,0),"")</f>
        <v>Ngân hàng TNHH một Thành viên HSBC (Việt Nam)</v>
      </c>
      <c r="I736" t="str">
        <f>_xlfn.IFNA(VLOOKUP(Table1[[#This Row],[Tên đối tượng]],'DANH MỤC ĐỐI TƯỢNG'!A:J,10,0),"")</f>
        <v>091-022947-001</v>
      </c>
    </row>
    <row r="737" spans="1:9" x14ac:dyDescent="0.3">
      <c r="A737">
        <v>734</v>
      </c>
      <c r="B737" t="s">
        <v>1435</v>
      </c>
      <c r="C737" t="s">
        <v>1436</v>
      </c>
      <c r="D737" t="str">
        <f t="shared" si="22"/>
        <v>734. V10557</v>
      </c>
      <c r="E737" s="5" t="str">
        <f t="shared" ca="1" si="23"/>
        <v>Công ty TNHH Tư vấn 3S Việt Nam</v>
      </c>
      <c r="F737" t="str">
        <f>IFERROR(VLOOKUP(Table1[[#This Row],[Tên đối tượng]],'DANH MỤC ĐỐI TƯỢNG'!A:E,5,0),"")</f>
        <v>Số 142 Nguyễn Ngọc Nại, Phường Khương Mai, Quận Thanh Xuân, Hà Nội</v>
      </c>
      <c r="G737">
        <f>_xlfn.IFNA(VLOOKUP(Table1[[#This Row],[Tên đối tượng]],'DANH MỤC ĐỐI TƯỢNG'!A:F,6,0),"")</f>
        <v>0</v>
      </c>
      <c r="H737" t="str">
        <f>_xlfn.IFNA(VLOOKUP(Table1[[#This Row],[Tên đối tượng]],'DANH MỤC ĐỐI TƯỢNG'!A:I,9,0),"")</f>
        <v>Ngân hàng TMCP Ngoại thương Việt Nam - CN Sở giao dịch</v>
      </c>
      <c r="I737" t="str">
        <f>_xlfn.IFNA(VLOOKUP(Table1[[#This Row],[Tên đối tượng]],'DANH MỤC ĐỐI TƯỢNG'!A:J,10,0),"")</f>
        <v>0011004348155</v>
      </c>
    </row>
    <row r="738" spans="1:9" x14ac:dyDescent="0.3">
      <c r="A738">
        <v>735</v>
      </c>
      <c r="B738" t="s">
        <v>1437</v>
      </c>
      <c r="C738" t="s">
        <v>1438</v>
      </c>
      <c r="D738" t="str">
        <f t="shared" si="22"/>
        <v>735. V20184</v>
      </c>
      <c r="E738" s="5" t="str">
        <f t="shared" ca="1" si="23"/>
        <v>Wilmar Oleo (Dongguan) Co.,Ltd</v>
      </c>
      <c r="F738" t="str">
        <f>IFERROR(VLOOKUP(Table1[[#This Row],[Tên đối tượng]],'DANH MỤC ĐỐI TƯỢNG'!A:E,5,0),"")</f>
        <v>Xinsha Industrial Zone, Machong Town, Dongguan, Guangdong, China 523147</v>
      </c>
      <c r="G738">
        <f>_xlfn.IFNA(VLOOKUP(Table1[[#This Row],[Tên đối tượng]],'DANH MỤC ĐỐI TƯỢNG'!A:F,6,0),"")</f>
        <v>0</v>
      </c>
      <c r="H738" t="str">
        <f>_xlfn.IFNA(VLOOKUP(Table1[[#This Row],[Tên đối tượng]],'DANH MỤC ĐỐI TƯỢNG'!A:I,9,0),"")</f>
        <v>Industrial and Commercial Bank of China, Dongguan branch</v>
      </c>
      <c r="I738" t="str">
        <f>_xlfn.IFNA(VLOOKUP(Table1[[#This Row],[Tên đối tượng]],'DANH MỤC ĐỐI TƯỢNG'!A:J,10,0),"")</f>
        <v>2010027919144200976</v>
      </c>
    </row>
    <row r="739" spans="1:9" x14ac:dyDescent="0.3">
      <c r="A739">
        <v>736</v>
      </c>
      <c r="B739" t="s">
        <v>1439</v>
      </c>
      <c r="C739" t="s">
        <v>1440</v>
      </c>
      <c r="D739" t="str">
        <f t="shared" si="22"/>
        <v>736. V10564</v>
      </c>
      <c r="E739" s="5" t="str">
        <f t="shared" ca="1" si="23"/>
        <v>Công ty TNHH sản xuất Tân Thành</v>
      </c>
      <c r="F739" t="str">
        <f>IFERROR(VLOOKUP(Table1[[#This Row],[Tên đối tượng]],'DANH MỤC ĐỐI TƯỢNG'!A:E,5,0),"")</f>
        <v/>
      </c>
      <c r="G739" t="str">
        <f>_xlfn.IFNA(VLOOKUP(Table1[[#This Row],[Tên đối tượng]],'DANH MỤC ĐỐI TƯỢNG'!A:F,6,0),"")</f>
        <v/>
      </c>
      <c r="H739" t="str">
        <f>_xlfn.IFNA(VLOOKUP(Table1[[#This Row],[Tên đối tượng]],'DANH MỤC ĐỐI TƯỢNG'!A:I,9,0),"")</f>
        <v/>
      </c>
      <c r="I739" t="str">
        <f>_xlfn.IFNA(VLOOKUP(Table1[[#This Row],[Tên đối tượng]],'DANH MỤC ĐỐI TƯỢNG'!A:J,10,0),"")</f>
        <v/>
      </c>
    </row>
    <row r="740" spans="1:9" x14ac:dyDescent="0.3">
      <c r="A740">
        <v>737</v>
      </c>
      <c r="B740" t="s">
        <v>1441</v>
      </c>
      <c r="C740" t="s">
        <v>1442</v>
      </c>
      <c r="D740" t="str">
        <f t="shared" si="22"/>
        <v>737. V4111C0</v>
      </c>
      <c r="E740" s="5" t="str">
        <f t="shared" ca="1" si="23"/>
        <v>Nguyễn Thị Lan</v>
      </c>
      <c r="F740" t="str">
        <f>IFERROR(VLOOKUP(Table1[[#This Row],[Tên đối tượng]],'DANH MỤC ĐỐI TƯỢNG'!A:E,5,0),"")</f>
        <v>Khu 2 thị trấn Cát Hải, Cát Hải, TP Hải Phòng</v>
      </c>
      <c r="G740">
        <f>_xlfn.IFNA(VLOOKUP(Table1[[#This Row],[Tên đối tượng]],'DANH MỤC ĐỐI TƯỢNG'!A:F,6,0),"")</f>
        <v>0</v>
      </c>
      <c r="H740" t="str">
        <f>_xlfn.IFNA(VLOOKUP(Table1[[#This Row],[Tên đối tượng]],'DANH MỤC ĐỐI TƯỢNG'!A:I,9,0),"")</f>
        <v>AGRIBANK</v>
      </c>
      <c r="I740" t="str">
        <f>_xlfn.IFNA(VLOOKUP(Table1[[#This Row],[Tên đối tượng]],'DANH MỤC ĐỐI TƯỢNG'!A:J,10,0),"")</f>
        <v>2103205049650</v>
      </c>
    </row>
    <row r="741" spans="1:9" x14ac:dyDescent="0.3">
      <c r="A741">
        <v>738</v>
      </c>
      <c r="B741" t="s">
        <v>1443</v>
      </c>
      <c r="C741" t="s">
        <v>1444</v>
      </c>
      <c r="D741" t="str">
        <f t="shared" si="22"/>
        <v>738. V4112C0</v>
      </c>
      <c r="E741" s="5" t="str">
        <f t="shared" ca="1" si="23"/>
        <v>Vũ Ngọc Hưng</v>
      </c>
      <c r="F741" t="str">
        <f>IFERROR(VLOOKUP(Table1[[#This Row],[Tên đối tượng]],'DANH MỤC ĐỐI TƯỢNG'!A:E,5,0),"")</f>
        <v>Hiệp Hòa, Quảng Yên, Quảng Ninh</v>
      </c>
      <c r="G741">
        <f>_xlfn.IFNA(VLOOKUP(Table1[[#This Row],[Tên đối tượng]],'DANH MỤC ĐỐI TƯỢNG'!A:F,6,0),"")</f>
        <v>0</v>
      </c>
      <c r="H741" t="str">
        <f>_xlfn.IFNA(VLOOKUP(Table1[[#This Row],[Tên đối tượng]],'DANH MỤC ĐỐI TƯỢNG'!A:I,9,0),"")</f>
        <v>AGRIBANK</v>
      </c>
      <c r="I741" t="str">
        <f>_xlfn.IFNA(VLOOKUP(Table1[[#This Row],[Tên đối tượng]],'DANH MỤC ĐỐI TƯỢNG'!A:J,10,0),"")</f>
        <v>8002205227633</v>
      </c>
    </row>
    <row r="742" spans="1:9" x14ac:dyDescent="0.3">
      <c r="A742">
        <v>739</v>
      </c>
      <c r="B742" t="s">
        <v>1445</v>
      </c>
      <c r="C742" t="s">
        <v>1446</v>
      </c>
      <c r="D742" t="str">
        <f t="shared" si="22"/>
        <v>739. V4113C0</v>
      </c>
      <c r="E742" s="5" t="str">
        <f t="shared" ca="1" si="23"/>
        <v>Hà Thúy Miền</v>
      </c>
      <c r="F742" t="str">
        <f>IFERROR(VLOOKUP(Table1[[#This Row],[Tên đối tượng]],'DANH MỤC ĐỐI TƯỢNG'!A:E,5,0),"")</f>
        <v>Khu 3 thị trấn Cát Hải, Cát Hải, TP Hải Phòng</v>
      </c>
      <c r="G742">
        <f>_xlfn.IFNA(VLOOKUP(Table1[[#This Row],[Tên đối tượng]],'DANH MỤC ĐỐI TƯỢNG'!A:F,6,0),"")</f>
        <v>0</v>
      </c>
      <c r="H742" t="str">
        <f>_xlfn.IFNA(VLOOKUP(Table1[[#This Row],[Tên đối tượng]],'DANH MỤC ĐỐI TƯỢNG'!A:I,9,0),"")</f>
        <v>Techcombank</v>
      </c>
      <c r="I742" t="str">
        <f>_xlfn.IFNA(VLOOKUP(Table1[[#This Row],[Tên đối tượng]],'DANH MỤC ĐỐI TƯỢNG'!A:J,10,0),"")</f>
        <v>1903561743801</v>
      </c>
    </row>
    <row r="743" spans="1:9" x14ac:dyDescent="0.3">
      <c r="A743">
        <v>740</v>
      </c>
      <c r="B743" t="s">
        <v>1447</v>
      </c>
      <c r="C743" t="s">
        <v>1448</v>
      </c>
      <c r="D743" t="str">
        <f t="shared" si="22"/>
        <v>740. V10563</v>
      </c>
      <c r="E743" s="5" t="str">
        <f t="shared" ca="1" si="23"/>
        <v>Công ty TNHH Kanaden Việt Nam</v>
      </c>
      <c r="F743" t="str">
        <f>IFERROR(VLOOKUP(Table1[[#This Row],[Tên đối tượng]],'DANH MỤC ĐỐI TƯỢNG'!A:E,5,0),"")</f>
        <v>Phòng 1802, tầng 18, tòa nhà IDMC Mỹ Đình, số 15 đường Phạm Hùng, phường Mỹ Đình 2, quận Nam Từ Liêm, thành phố Hà Nội, Việt Nam</v>
      </c>
      <c r="G743">
        <f>_xlfn.IFNA(VLOOKUP(Table1[[#This Row],[Tên đối tượng]],'DANH MỤC ĐỐI TƯỢNG'!A:F,6,0),"")</f>
        <v>0</v>
      </c>
      <c r="H743" t="str">
        <f>_xlfn.IFNA(VLOOKUP(Table1[[#This Row],[Tên đối tượng]],'DANH MỤC ĐỐI TƯỢNG'!A:I,9,0),"")</f>
        <v>Sumitomo Mitsui Banking Corporation - Hanoi Branch</v>
      </c>
      <c r="I743" t="str">
        <f>_xlfn.IFNA(VLOOKUP(Table1[[#This Row],[Tên đối tượng]],'DANH MỤC ĐỐI TƯỢNG'!A:J,10,0),"")</f>
        <v>10103401</v>
      </c>
    </row>
    <row r="744" spans="1:9" x14ac:dyDescent="0.3">
      <c r="A744">
        <v>741</v>
      </c>
      <c r="B744" t="s">
        <v>1449</v>
      </c>
      <c r="C744" t="s">
        <v>1450</v>
      </c>
      <c r="D744" t="str">
        <f t="shared" si="22"/>
        <v>741. V10538</v>
      </c>
      <c r="E744" s="5" t="str">
        <f t="shared" ca="1" si="23"/>
        <v>Công ty TNHH Tiên Phong Xanh</v>
      </c>
      <c r="F744" t="str">
        <f>IFERROR(VLOOKUP(Table1[[#This Row],[Tên đối tượng]],'DANH MỤC ĐỐI TƯỢNG'!A:E,5,0),"")</f>
        <v>Số nhà E3, khu tái định cư X4, đường Dương Khuê, phường Mai Dịch, quận Cầu Giấy, TP Hà Nội, Việt Nam</v>
      </c>
      <c r="G744">
        <f>_xlfn.IFNA(VLOOKUP(Table1[[#This Row],[Tên đối tượng]],'DANH MỤC ĐỐI TƯỢNG'!A:F,6,0),"")</f>
        <v>0</v>
      </c>
      <c r="H744" t="str">
        <f>_xlfn.IFNA(VLOOKUP(Table1[[#This Row],[Tên đối tượng]],'DANH MỤC ĐỐI TƯỢNG'!A:I,9,0),"")</f>
        <v>Ngân hàng TMCP kỹ thương Việt Nam(Techcombank)-Chi nhánh Đông Đô</v>
      </c>
      <c r="I744" t="str">
        <f>_xlfn.IFNA(VLOOKUP(Table1[[#This Row],[Tên đối tượng]],'DANH MỤC ĐỐI TƯỢNG'!A:J,10,0),"")</f>
        <v>19026989555669</v>
      </c>
    </row>
    <row r="745" spans="1:9" x14ac:dyDescent="0.3">
      <c r="A745">
        <v>742</v>
      </c>
      <c r="B745" t="s">
        <v>1451</v>
      </c>
      <c r="C745" t="s">
        <v>1452</v>
      </c>
      <c r="D745" t="str">
        <f t="shared" si="22"/>
        <v>742. V10558</v>
      </c>
      <c r="E745" s="5" t="str">
        <f t="shared" ca="1" si="23"/>
        <v>Công ty TNHH MHP Hà Nội</v>
      </c>
      <c r="F745" t="str">
        <f>IFERROR(VLOOKUP(Table1[[#This Row],[Tên đối tượng]],'DANH MỤC ĐỐI TƯỢNG'!A:E,5,0),"")</f>
        <v>Số 17 ngõ 371 đường La Thành, phường Ô Chợ Dừa, quận Đống Đa, thành phố Hà Nội, Việt Nam</v>
      </c>
      <c r="G745">
        <f>_xlfn.IFNA(VLOOKUP(Table1[[#This Row],[Tên đối tượng]],'DANH MỤC ĐỐI TƯỢNG'!A:F,6,0),"")</f>
        <v>0</v>
      </c>
      <c r="H745" t="str">
        <f>_xlfn.IFNA(VLOOKUP(Table1[[#This Row],[Tên đối tượng]],'DANH MỤC ĐỐI TƯỢNG'!A:I,9,0),"")</f>
        <v>Ngân hàng TMCP Kỹ thương Việt Nam-Chi nhánh Ba Đình</v>
      </c>
      <c r="I745" t="str">
        <f>_xlfn.IFNA(VLOOKUP(Table1[[#This Row],[Tên đối tượng]],'DANH MỤC ĐỐI TƯỢNG'!A:J,10,0),"")</f>
        <v>19135475609011</v>
      </c>
    </row>
    <row r="746" spans="1:9" x14ac:dyDescent="0.3">
      <c r="A746">
        <v>743</v>
      </c>
      <c r="B746" t="s">
        <v>1453</v>
      </c>
      <c r="C746" t="s">
        <v>1454</v>
      </c>
      <c r="D746" t="str">
        <f t="shared" si="22"/>
        <v>743. V20183</v>
      </c>
      <c r="E746" s="5" t="str">
        <f t="shared" ca="1" si="23"/>
        <v>Nuova Ciba S.p.A</v>
      </c>
      <c r="F746" t="str">
        <f>IFERROR(VLOOKUP(Table1[[#This Row],[Tên đối tượng]],'DANH MỤC ĐỐI TƯỢNG'!A:E,5,0),"")</f>
        <v>Via Giovanni Fattori No 6, 42122 Reggio Emilia, Italy</v>
      </c>
      <c r="G746">
        <f>_xlfn.IFNA(VLOOKUP(Table1[[#This Row],[Tên đối tượng]],'DANH MỤC ĐỐI TƯỢNG'!A:F,6,0),"")</f>
        <v>0</v>
      </c>
      <c r="H746" t="str">
        <f>_xlfn.IFNA(VLOOKUP(Table1[[#This Row],[Tên đối tượng]],'DANH MỤC ĐỐI TƯỢNG'!A:I,9,0),"")</f>
        <v>UNICREDIT SPA</v>
      </c>
      <c r="I746" t="str">
        <f>_xlfn.IFNA(VLOOKUP(Table1[[#This Row],[Tên đối tượng]],'DANH MỤC ĐỐI TƯỢNG'!A:J,10,0),"")</f>
        <v>IT 49 Z02008 12814 0005 00020748</v>
      </c>
    </row>
    <row r="747" spans="1:9" x14ac:dyDescent="0.3">
      <c r="A747">
        <v>744</v>
      </c>
      <c r="B747" t="s">
        <v>1455</v>
      </c>
      <c r="C747" t="s">
        <v>1456</v>
      </c>
      <c r="D747" t="str">
        <f t="shared" si="22"/>
        <v>744. V10575</v>
      </c>
      <c r="E747" s="5" t="str">
        <f t="shared" ca="1" si="23"/>
        <v>Hộ kinh doanh Đỗ Văn Hiên</v>
      </c>
      <c r="F747" t="str">
        <f>IFERROR(VLOOKUP(Table1[[#This Row],[Tên đối tượng]],'DANH MỤC ĐỐI TƯỢNG'!A:E,5,0),"")</f>
        <v>Thôn Lâm Nghiệp, xã Minh Phú, huyện Sóc Sơn, TP Hà Nội</v>
      </c>
      <c r="G747">
        <f>_xlfn.IFNA(VLOOKUP(Table1[[#This Row],[Tên đối tượng]],'DANH MỤC ĐỐI TƯỢNG'!A:F,6,0),"")</f>
        <v>0</v>
      </c>
      <c r="H747" t="str">
        <f>_xlfn.IFNA(VLOOKUP(Table1[[#This Row],[Tên đối tượng]],'DANH MỤC ĐỐI TƯỢNG'!A:I,9,0),"")</f>
        <v>Ngân hàng TMCP Ngoại thương Việt Nam - CN Sóc Sơn</v>
      </c>
      <c r="I747" t="str">
        <f>_xlfn.IFNA(VLOOKUP(Table1[[#This Row],[Tên đối tượng]],'DANH MỤC ĐỐI TƯỢNG'!A:J,10,0),"")</f>
        <v>0941000010110</v>
      </c>
    </row>
    <row r="748" spans="1:9" x14ac:dyDescent="0.3">
      <c r="A748">
        <v>745</v>
      </c>
      <c r="B748" t="s">
        <v>1457</v>
      </c>
      <c r="C748" t="s">
        <v>1458</v>
      </c>
      <c r="D748" t="str">
        <f t="shared" si="22"/>
        <v>745. V10571</v>
      </c>
      <c r="E748" s="5" t="str">
        <f t="shared" ca="1" si="23"/>
        <v>Viện cơ khí năng lượng và mỏ - VINACOMIN</v>
      </c>
      <c r="F748" t="str">
        <f>IFERROR(VLOOKUP(Table1[[#This Row],[Tên đối tượng]],'DANH MỤC ĐỐI TƯỢNG'!A:E,5,0),"")</f>
        <v>565 đường Nguyễn Trãi, phường Thanh Xuân Nam, quận Thanh Xuân, TP Hà Nội</v>
      </c>
      <c r="G748">
        <f>_xlfn.IFNA(VLOOKUP(Table1[[#This Row],[Tên đối tượng]],'DANH MỤC ĐỐI TƯỢNG'!A:F,6,0),"")</f>
        <v>0</v>
      </c>
      <c r="H748" t="str">
        <f>_xlfn.IFNA(VLOOKUP(Table1[[#This Row],[Tên đối tượng]],'DANH MỤC ĐỐI TƯỢNG'!A:I,9,0),"")</f>
        <v>Ngân hàng TMCP Công Thương Việt Nam, chi nhánh Thanh Xuân</v>
      </c>
      <c r="I748" t="str">
        <f>_xlfn.IFNA(VLOOKUP(Table1[[#This Row],[Tên đối tượng]],'DANH MỤC ĐỐI TƯỢNG'!A:J,10,0),"")</f>
        <v>117000002807</v>
      </c>
    </row>
    <row r="749" spans="1:9" x14ac:dyDescent="0.3">
      <c r="A749">
        <v>746</v>
      </c>
      <c r="B749" t="s">
        <v>1459</v>
      </c>
      <c r="C749" t="s">
        <v>1460</v>
      </c>
      <c r="D749" t="str">
        <f t="shared" si="22"/>
        <v>746. T3013C0</v>
      </c>
      <c r="E749" s="5" t="str">
        <f t="shared" ca="1" si="23"/>
        <v>Trung tâm Kỹ thuật</v>
      </c>
      <c r="F749" t="str">
        <f>IFERROR(VLOOKUP(Table1[[#This Row],[Tên đối tượng]],'DANH MỤC ĐỐI TƯỢNG'!A:E,5,0),"")</f>
        <v>115 Trần Duy Hưng, quận Cầu Giấy, Hà Nội</v>
      </c>
      <c r="G749">
        <f>_xlfn.IFNA(VLOOKUP(Table1[[#This Row],[Tên đối tượng]],'DANH MỤC ĐỐI TƯỢNG'!A:F,6,0),"")</f>
        <v>0</v>
      </c>
      <c r="H749">
        <f>_xlfn.IFNA(VLOOKUP(Table1[[#This Row],[Tên đối tượng]],'DANH MỤC ĐỐI TƯỢNG'!A:I,9,0),"")</f>
        <v>0</v>
      </c>
      <c r="I749">
        <f>_xlfn.IFNA(VLOOKUP(Table1[[#This Row],[Tên đối tượng]],'DANH MỤC ĐỐI TƯỢNG'!A:J,10,0),"")</f>
        <v>0</v>
      </c>
    </row>
    <row r="750" spans="1:9" x14ac:dyDescent="0.3">
      <c r="A750">
        <v>747</v>
      </c>
      <c r="B750" t="s">
        <v>1461</v>
      </c>
      <c r="C750" t="s">
        <v>1462</v>
      </c>
      <c r="D750" t="str">
        <f t="shared" si="22"/>
        <v>747. V10569</v>
      </c>
      <c r="E750" s="5" t="str">
        <f t="shared" ca="1" si="23"/>
        <v>Công ty TNHH Toàn Thịnh</v>
      </c>
      <c r="F750" t="str">
        <f>IFERROR(VLOOKUP(Table1[[#This Row],[Tên đối tượng]],'DANH MỤC ĐỐI TƯỢNG'!A:E,5,0),"")</f>
        <v>Số 407, Đường Nguyễn Trãi, P. Võ Cường, TP Bắc Ninh</v>
      </c>
      <c r="G750">
        <f>_xlfn.IFNA(VLOOKUP(Table1[[#This Row],[Tên đối tượng]],'DANH MỤC ĐỐI TƯỢNG'!A:F,6,0),"")</f>
        <v>0</v>
      </c>
      <c r="H750" t="str">
        <f>_xlfn.IFNA(VLOOKUP(Table1[[#This Row],[Tên đối tượng]],'DANH MỤC ĐỐI TƯỢNG'!A:I,9,0),"")</f>
        <v>Ngân hàng Techcombank-Bắc Ninh</v>
      </c>
      <c r="I750" t="str">
        <f>_xlfn.IFNA(VLOOKUP(Table1[[#This Row],[Tên đối tượng]],'DANH MỤC ĐỐI TƯỢNG'!A:J,10,0),"")</f>
        <v>12222610689017</v>
      </c>
    </row>
    <row r="751" spans="1:9" x14ac:dyDescent="0.3">
      <c r="A751">
        <v>748</v>
      </c>
      <c r="B751" t="s">
        <v>1463</v>
      </c>
      <c r="C751" t="s">
        <v>1464</v>
      </c>
      <c r="D751" t="str">
        <f t="shared" si="22"/>
        <v>748. V4114C0</v>
      </c>
      <c r="E751" s="5" t="str">
        <f t="shared" ca="1" si="23"/>
        <v>Đào Lệ Thu</v>
      </c>
      <c r="F751" t="str">
        <f>IFERROR(VLOOKUP(Table1[[#This Row],[Tên đối tượng]],'DANH MỤC ĐỐI TƯỢNG'!A:E,5,0),"")</f>
        <v>An đồng, An Dương, Thành phố Hải Phòng</v>
      </c>
      <c r="G751">
        <f>_xlfn.IFNA(VLOOKUP(Table1[[#This Row],[Tên đối tượng]],'DANH MỤC ĐỐI TƯỢNG'!A:F,6,0),"")</f>
        <v>0</v>
      </c>
      <c r="H751" t="str">
        <f>_xlfn.IFNA(VLOOKUP(Table1[[#This Row],[Tên đối tượng]],'DANH MỤC ĐỐI TƯỢNG'!A:I,9,0),"")</f>
        <v>AGRIBANK</v>
      </c>
      <c r="I751" t="str">
        <f>_xlfn.IFNA(VLOOKUP(Table1[[#This Row],[Tên đối tượng]],'DANH MỤC ĐỐI TƯỢNG'!A:J,10,0),"")</f>
        <v>2102205172837</v>
      </c>
    </row>
    <row r="752" spans="1:9" x14ac:dyDescent="0.3">
      <c r="A752">
        <v>749</v>
      </c>
      <c r="B752" t="s">
        <v>1465</v>
      </c>
      <c r="C752" t="s">
        <v>1466</v>
      </c>
      <c r="D752" t="str">
        <f t="shared" si="22"/>
        <v>749. V10556</v>
      </c>
      <c r="E752" s="5" t="str">
        <f t="shared" ca="1" si="23"/>
        <v>Công ty TNHH Thiết bị Công nghiệp ICHI Việt Nam</v>
      </c>
      <c r="F752" t="str">
        <f>IFERROR(VLOOKUP(Table1[[#This Row],[Tên đối tượng]],'DANH MỤC ĐỐI TƯỢNG'!A:E,5,0),"")</f>
        <v>Lô C15/D21 khu ĐTM Cầu Giấy, Phường Dịch Vọng Hậu, Quận Cầu Giấy, Thành Phố Hà Nội, Việt Nam</v>
      </c>
      <c r="G752">
        <f>_xlfn.IFNA(VLOOKUP(Table1[[#This Row],[Tên đối tượng]],'DANH MỤC ĐỐI TƯỢNG'!A:F,6,0),"")</f>
        <v>0</v>
      </c>
      <c r="H752" t="str">
        <f>_xlfn.IFNA(VLOOKUP(Table1[[#This Row],[Tên đối tượng]],'DANH MỤC ĐỐI TƯỢNG'!A:I,9,0),"")</f>
        <v>Ngân hàng TMCP Ngoại thương Việt Nam-CN Chương Dương</v>
      </c>
      <c r="I752" t="str">
        <f>_xlfn.IFNA(VLOOKUP(Table1[[#This Row],[Tên đối tượng]],'DANH MỤC ĐỐI TƯỢNG'!A:J,10,0),"")</f>
        <v>0541000287757</v>
      </c>
    </row>
    <row r="753" spans="1:9" x14ac:dyDescent="0.3">
      <c r="A753">
        <v>750</v>
      </c>
      <c r="B753" t="s">
        <v>1467</v>
      </c>
      <c r="C753" t="s">
        <v>1468</v>
      </c>
      <c r="D753" t="str">
        <f t="shared" si="22"/>
        <v>750. T3014C0</v>
      </c>
      <c r="E753" s="5" t="str">
        <f t="shared" ca="1" si="23"/>
        <v>Sở Tài Chính Hải Phòng</v>
      </c>
      <c r="F753" t="str">
        <f>IFERROR(VLOOKUP(Table1[[#This Row],[Tên đối tượng]],'DANH MỤC ĐỐI TƯỢNG'!A:E,5,0),"")</f>
        <v>No. 10 / 15A Le Hong Phong, Dang Lam Ward, Hai An District, Hai Phong</v>
      </c>
      <c r="G753">
        <f>_xlfn.IFNA(VLOOKUP(Table1[[#This Row],[Tên đối tượng]],'DANH MỤC ĐỐI TƯỢNG'!A:F,6,0),"")</f>
        <v>0</v>
      </c>
      <c r="H753">
        <f>_xlfn.IFNA(VLOOKUP(Table1[[#This Row],[Tên đối tượng]],'DANH MỤC ĐỐI TƯỢNG'!A:I,9,0),"")</f>
        <v>0</v>
      </c>
      <c r="I753">
        <f>_xlfn.IFNA(VLOOKUP(Table1[[#This Row],[Tên đối tượng]],'DANH MỤC ĐỐI TƯỢNG'!A:J,10,0),"")</f>
        <v>0</v>
      </c>
    </row>
    <row r="754" spans="1:9" x14ac:dyDescent="0.3">
      <c r="A754">
        <v>751</v>
      </c>
      <c r="B754" t="s">
        <v>1469</v>
      </c>
      <c r="C754" t="s">
        <v>1470</v>
      </c>
      <c r="D754" t="str">
        <f t="shared" si="22"/>
        <v>751. V10578</v>
      </c>
      <c r="E754" s="5" t="str">
        <f t="shared" ca="1" si="23"/>
        <v>Công ty TNHH Trần Việt Phát</v>
      </c>
      <c r="F754" t="str">
        <f>IFERROR(VLOOKUP(Table1[[#This Row],[Tên đối tượng]],'DANH MỤC ĐỐI TƯỢNG'!A:E,5,0),"")</f>
        <v>Số 09, Đào Duy Anh, Đống Đa, Hà Nội</v>
      </c>
      <c r="G754">
        <f>_xlfn.IFNA(VLOOKUP(Table1[[#This Row],[Tên đối tượng]],'DANH MỤC ĐỐI TƯỢNG'!A:F,6,0),"")</f>
        <v>0</v>
      </c>
      <c r="H754" t="str">
        <f>_xlfn.IFNA(VLOOKUP(Table1[[#This Row],[Tên đối tượng]],'DANH MỤC ĐỐI TƯỢNG'!A:I,9,0),"")</f>
        <v>Ngân hàng Techcombank-Hà Nội</v>
      </c>
      <c r="I754" t="str">
        <f>_xlfn.IFNA(VLOOKUP(Table1[[#This Row],[Tên đối tượng]],'DANH MỤC ĐỐI TƯỢNG'!A:J,10,0),"")</f>
        <v>11110130999011</v>
      </c>
    </row>
    <row r="755" spans="1:9" x14ac:dyDescent="0.3">
      <c r="A755">
        <v>752</v>
      </c>
      <c r="B755" t="s">
        <v>1471</v>
      </c>
      <c r="C755" t="s">
        <v>1472</v>
      </c>
      <c r="D755" t="str">
        <f t="shared" si="22"/>
        <v>752. V10559</v>
      </c>
      <c r="E755" s="5" t="str">
        <f t="shared" ca="1" si="23"/>
        <v>Công ty cổ phần xây dựng và công nghiệp NSN</v>
      </c>
      <c r="F755" t="str">
        <f>IFERROR(VLOOKUP(Table1[[#This Row],[Tên đối tượng]],'DANH MỤC ĐỐI TƯỢNG'!A:E,5,0),"")</f>
        <v>Số 5, ngõ 179 đường Hà Huy Tập, thị trấn Yên Viên, huyện Gia Lâm, thành phố Hà Nội, Việt Nam.</v>
      </c>
      <c r="G755">
        <f>_xlfn.IFNA(VLOOKUP(Table1[[#This Row],[Tên đối tượng]],'DANH MỤC ĐỐI TƯỢNG'!A:F,6,0),"")</f>
        <v>0</v>
      </c>
      <c r="H755" t="str">
        <f>_xlfn.IFNA(VLOOKUP(Table1[[#This Row],[Tên đối tượng]],'DANH MỤC ĐỐI TƯỢNG'!A:I,9,0),"")</f>
        <v>Ngân hàng TMCP Kỹ thương Việt Nam-Chi nhánh Hà Nội</v>
      </c>
      <c r="I755" t="str">
        <f>_xlfn.IFNA(VLOOKUP(Table1[[#This Row],[Tên đối tượng]],'DANH MỤC ĐỐI TƯỢNG'!A:J,10,0),"")</f>
        <v>14020179344010</v>
      </c>
    </row>
    <row r="756" spans="1:9" x14ac:dyDescent="0.3">
      <c r="A756">
        <v>753</v>
      </c>
      <c r="B756" t="s">
        <v>1473</v>
      </c>
      <c r="C756" t="s">
        <v>1474</v>
      </c>
      <c r="D756" t="str">
        <f t="shared" si="22"/>
        <v>753. V3200C0</v>
      </c>
      <c r="E756" s="5" t="str">
        <f t="shared" ca="1" si="23"/>
        <v>RESIDENT EXPATRIATES</v>
      </c>
      <c r="F756" t="str">
        <f>IFERROR(VLOOKUP(Table1[[#This Row],[Tên đối tượng]],'DANH MỤC ĐỐI TƯỢNG'!A:E,5,0),"")</f>
        <v>Khu đất CN4.1, KCN Đình Vũ, Đông Hải 2, Hải An, Hải Phòng</v>
      </c>
      <c r="G756">
        <f>_xlfn.IFNA(VLOOKUP(Table1[[#This Row],[Tên đối tượng]],'DANH MỤC ĐỐI TƯỢNG'!A:F,6,0),"")</f>
        <v>0</v>
      </c>
      <c r="H756">
        <f>_xlfn.IFNA(VLOOKUP(Table1[[#This Row],[Tên đối tượng]],'DANH MỤC ĐỐI TƯỢNG'!A:I,9,0),"")</f>
        <v>0</v>
      </c>
      <c r="I756">
        <f>_xlfn.IFNA(VLOOKUP(Table1[[#This Row],[Tên đối tượng]],'DANH MỤC ĐỐI TƯỢNG'!A:J,10,0),"")</f>
        <v>0</v>
      </c>
    </row>
    <row r="757" spans="1:9" x14ac:dyDescent="0.3">
      <c r="A757">
        <v>754</v>
      </c>
      <c r="B757" t="s">
        <v>1475</v>
      </c>
      <c r="C757" t="s">
        <v>1476</v>
      </c>
      <c r="D757" t="str">
        <f t="shared" si="22"/>
        <v>754. V10573</v>
      </c>
      <c r="E757" s="5" t="str">
        <f t="shared" ca="1" si="23"/>
        <v>Công ty TNHH Vân Thăng Long</v>
      </c>
      <c r="F757" t="str">
        <f>IFERROR(VLOOKUP(Table1[[#This Row],[Tên đối tượng]],'DANH MỤC ĐỐI TƯỢNG'!A:E,5,0),"")</f>
        <v>Số 69 đường Tăng Thiết Giáp, phường Cổ Nhuế 2, quận Bắc Từ Liêm, thành phố Hà Nội, Việt Nam</v>
      </c>
      <c r="G757">
        <f>_xlfn.IFNA(VLOOKUP(Table1[[#This Row],[Tên đối tượng]],'DANH MỤC ĐỐI TƯỢNG'!A:F,6,0),"")</f>
        <v>0</v>
      </c>
      <c r="H757" t="str">
        <f>_xlfn.IFNA(VLOOKUP(Table1[[#This Row],[Tên đối tượng]],'DANH MỤC ĐỐI TƯỢNG'!A:I,9,0),"")</f>
        <v>Ngân hàng TMCP Ngoại thương Việt Nam-Chi nhánh Thăng Long</v>
      </c>
      <c r="I757" t="str">
        <f>_xlfn.IFNA(VLOOKUP(Table1[[#This Row],[Tên đối tượng]],'DANH MỤC ĐỐI TƯỢNG'!A:J,10,0),"")</f>
        <v>0491000024135</v>
      </c>
    </row>
    <row r="758" spans="1:9" x14ac:dyDescent="0.3">
      <c r="A758">
        <v>755</v>
      </c>
      <c r="B758" t="s">
        <v>1477</v>
      </c>
      <c r="C758" t="s">
        <v>1478</v>
      </c>
      <c r="D758" t="str">
        <f t="shared" si="22"/>
        <v>755. V10577</v>
      </c>
      <c r="E758" s="5" t="str">
        <f t="shared" ca="1" si="23"/>
        <v>Công ty cổ phần thiết bị công nghiệp Anh Huy</v>
      </c>
      <c r="F758" t="str">
        <f>IFERROR(VLOOKUP(Table1[[#This Row],[Tên đối tượng]],'DANH MỤC ĐỐI TƯỢNG'!A:E,5,0),"")</f>
        <v>Số 22, ngách 56/139 phố Thạch Cầu, Phường Long Biên, Quận Long Biên, Thành Phố Hà Nội, Việt Nam</v>
      </c>
      <c r="G758">
        <f>_xlfn.IFNA(VLOOKUP(Table1[[#This Row],[Tên đối tượng]],'DANH MỤC ĐỐI TƯỢNG'!A:F,6,0),"")</f>
        <v>0</v>
      </c>
      <c r="H758" t="str">
        <f>_xlfn.IFNA(VLOOKUP(Table1[[#This Row],[Tên đối tượng]],'DANH MỤC ĐỐI TƯỢNG'!A:I,9,0),"")</f>
        <v>Ngân hàng TMCP Ngoại thương Việt Nam-Chi nhánh Sở giao dịch</v>
      </c>
      <c r="I758" t="str">
        <f>_xlfn.IFNA(VLOOKUP(Table1[[#This Row],[Tên đối tượng]],'DANH MỤC ĐỐI TƯỢNG'!A:J,10,0),"")</f>
        <v>0011004309966</v>
      </c>
    </row>
    <row r="759" spans="1:9" x14ac:dyDescent="0.3">
      <c r="A759">
        <v>756</v>
      </c>
      <c r="B759" t="s">
        <v>1479</v>
      </c>
      <c r="C759" t="s">
        <v>1480</v>
      </c>
      <c r="D759" t="str">
        <f t="shared" si="22"/>
        <v>756. V10570</v>
      </c>
      <c r="E759" s="5" t="str">
        <f t="shared" ca="1" si="23"/>
        <v>Công ty TNHH sản xuất thương mại dịch vụ kỹ thuật Đại Hồng Phát</v>
      </c>
      <c r="F759" t="str">
        <f>IFERROR(VLOOKUP(Table1[[#This Row],[Tên đối tượng]],'DANH MỤC ĐỐI TƯỢNG'!A:E,5,0),"")</f>
        <v>147 Đỗ Xuân Hợp, Phường Phước Long B, quận 9, Tp Hồ Chí Minh, Việt Nam</v>
      </c>
      <c r="G759">
        <f>_xlfn.IFNA(VLOOKUP(Table1[[#This Row],[Tên đối tượng]],'DANH MỤC ĐỐI TƯỢNG'!A:F,6,0),"")</f>
        <v>0</v>
      </c>
      <c r="H759" t="str">
        <f>_xlfn.IFNA(VLOOKUP(Table1[[#This Row],[Tên đối tượng]],'DANH MỤC ĐỐI TƯỢNG'!A:I,9,0),"")</f>
        <v>Ngân hàng Vietcombank-CN Thủ Đức, TP Hồ Chí Minh</v>
      </c>
      <c r="I759" t="str">
        <f>_xlfn.IFNA(VLOOKUP(Table1[[#This Row],[Tên đối tượng]],'DANH MỤC ĐỐI TƯỢNG'!A:J,10,0),"")</f>
        <v>0381000450111</v>
      </c>
    </row>
    <row r="760" spans="1:9" x14ac:dyDescent="0.3">
      <c r="A760">
        <v>757</v>
      </c>
      <c r="B760" t="s">
        <v>1481</v>
      </c>
      <c r="C760" t="s">
        <v>1482</v>
      </c>
      <c r="D760" t="str">
        <f t="shared" si="22"/>
        <v>757. V10574</v>
      </c>
      <c r="E760" s="5" t="str">
        <f t="shared" ca="1" si="23"/>
        <v>Công ty cổ phần công nghiệp Việt Xuân</v>
      </c>
      <c r="F760" t="str">
        <f>IFERROR(VLOOKUP(Table1[[#This Row],[Tên đối tượng]],'DANH MỤC ĐỐI TƯỢNG'!A:E,5,0),"")</f>
        <v>Số 80B, đường Nguyễn Văn Cừ, phường Bồ Đề, quận Long Biên, thành phố Hà Nội, Việt Nam</v>
      </c>
      <c r="G760">
        <f>_xlfn.IFNA(VLOOKUP(Table1[[#This Row],[Tên đối tượng]],'DANH MỤC ĐỐI TƯỢNG'!A:F,6,0),"")</f>
        <v>0</v>
      </c>
      <c r="H760" t="str">
        <f>_xlfn.IFNA(VLOOKUP(Table1[[#This Row],[Tên đối tượng]],'DANH MỤC ĐỐI TƯỢNG'!A:I,9,0),"")</f>
        <v>Ngân hàng TMCP Ngoại thương Việt Nam-chi nhánh Chương Dương</v>
      </c>
      <c r="I760" t="str">
        <f>_xlfn.IFNA(VLOOKUP(Table1[[#This Row],[Tên đối tượng]],'DANH MỤC ĐỐI TƯỢNG'!A:J,10,0),"")</f>
        <v>0541000275618</v>
      </c>
    </row>
    <row r="761" spans="1:9" x14ac:dyDescent="0.3">
      <c r="A761">
        <v>758</v>
      </c>
      <c r="B761" t="s">
        <v>1483</v>
      </c>
      <c r="C761" t="s">
        <v>1484</v>
      </c>
      <c r="D761" t="str">
        <f t="shared" si="22"/>
        <v>758. V10540</v>
      </c>
      <c r="E761" s="5" t="str">
        <f t="shared" ca="1" si="23"/>
        <v>Công ty TNHH Autech</v>
      </c>
      <c r="F761" t="str">
        <f>IFERROR(VLOOKUP(Table1[[#This Row],[Tên đối tượng]],'DANH MỤC ĐỐI TƯỢNG'!A:E,5,0),"")</f>
        <v>Ngõ 92 Phạm Hải (nhà ông Nguyễn Hữu Tưởng), phường Đa Phúc, quận Dương Kinh, thành phố Hải Phòng, Việt Nam</v>
      </c>
      <c r="G761">
        <f>_xlfn.IFNA(VLOOKUP(Table1[[#This Row],[Tên đối tượng]],'DANH MỤC ĐỐI TƯỢNG'!A:F,6,0),"")</f>
        <v>0</v>
      </c>
      <c r="H761" t="str">
        <f>_xlfn.IFNA(VLOOKUP(Table1[[#This Row],[Tên đối tượng]],'DANH MỤC ĐỐI TƯỢNG'!A:I,9,0),"")</f>
        <v>NH Nông nghiệp và phát triển nông thôn Việt Nam-CN Kiến An</v>
      </c>
      <c r="I761" t="str">
        <f>_xlfn.IFNA(VLOOKUP(Table1[[#This Row],[Tên đối tượng]],'DANH MỤC ĐỐI TƯỢNG'!A:J,10,0),"")</f>
        <v>2104201006569</v>
      </c>
    </row>
    <row r="762" spans="1:9" x14ac:dyDescent="0.3">
      <c r="A762">
        <v>759</v>
      </c>
      <c r="B762" t="s">
        <v>1485</v>
      </c>
      <c r="C762" t="s">
        <v>1486</v>
      </c>
      <c r="D762" t="str">
        <f t="shared" si="22"/>
        <v>759. V3000C0</v>
      </c>
      <c r="E762" s="5" t="str">
        <f t="shared" ca="1" si="23"/>
        <v>LOCAL EMPLOYEES</v>
      </c>
      <c r="F762" t="str">
        <f>IFERROR(VLOOKUP(Table1[[#This Row],[Tên đối tượng]],'DANH MỤC ĐỐI TƯỢNG'!A:E,5,0),"")</f>
        <v>Khu đất CN4.1, KCN Đình Vũ, Đông Hải 2, Hải An, Hải Phòng</v>
      </c>
      <c r="G762">
        <f>_xlfn.IFNA(VLOOKUP(Table1[[#This Row],[Tên đối tượng]],'DANH MỤC ĐỐI TƯỢNG'!A:F,6,0),"")</f>
        <v>0</v>
      </c>
      <c r="H762">
        <f>_xlfn.IFNA(VLOOKUP(Table1[[#This Row],[Tên đối tượng]],'DANH MỤC ĐỐI TƯỢNG'!A:I,9,0),"")</f>
        <v>0</v>
      </c>
      <c r="I762">
        <f>_xlfn.IFNA(VLOOKUP(Table1[[#This Row],[Tên đối tượng]],'DANH MỤC ĐỐI TƯỢNG'!A:J,10,0),"")</f>
        <v>0</v>
      </c>
    </row>
    <row r="763" spans="1:9" x14ac:dyDescent="0.3">
      <c r="A763">
        <v>760</v>
      </c>
      <c r="B763" t="s">
        <v>1487</v>
      </c>
      <c r="C763" t="s">
        <v>1488</v>
      </c>
      <c r="D763" t="str">
        <f t="shared" si="22"/>
        <v>760. V10583</v>
      </c>
      <c r="E763" s="5" t="str">
        <f t="shared" ca="1" si="23"/>
        <v>Công ty TNHH kỹ thuật Công nghiệp Đại Nam</v>
      </c>
      <c r="F763" t="str">
        <f>IFERROR(VLOOKUP(Table1[[#This Row],[Tên đối tượng]],'DANH MỤC ĐỐI TƯỢNG'!A:E,5,0),"")</f>
        <v>Lầu 1 số 9/4 khu phố 5, phường Thống Nhất, thành phố Biên Hòa, tỉnh Đồng Nai</v>
      </c>
      <c r="G763">
        <f>_xlfn.IFNA(VLOOKUP(Table1[[#This Row],[Tên đối tượng]],'DANH MỤC ĐỐI TƯỢNG'!A:F,6,0),"")</f>
        <v>0</v>
      </c>
      <c r="H763" t="str">
        <f>_xlfn.IFNA(VLOOKUP(Table1[[#This Row],[Tên đối tượng]],'DANH MỤC ĐỐI TƯỢNG'!A:I,9,0),"")</f>
        <v>Ngân hàng TMCP ngoại thương Việt Nam-CN Đồng Nai-trụ sở CN</v>
      </c>
      <c r="I763" t="str">
        <f>_xlfn.IFNA(VLOOKUP(Table1[[#This Row],[Tên đối tượng]],'DANH MỤC ĐỐI TƯỢNG'!A:J,10,0),"")</f>
        <v>0121000001147</v>
      </c>
    </row>
    <row r="764" spans="1:9" x14ac:dyDescent="0.3">
      <c r="A764">
        <v>761</v>
      </c>
      <c r="B764" t="s">
        <v>1489</v>
      </c>
      <c r="C764" t="s">
        <v>1490</v>
      </c>
      <c r="D764" t="str">
        <f t="shared" si="22"/>
        <v>761. V10565</v>
      </c>
      <c r="E764" s="5" t="str">
        <f t="shared" ca="1" si="23"/>
        <v>Công ty Cổ phần ION Hưng Phát</v>
      </c>
      <c r="F764" t="str">
        <f>IFERROR(VLOOKUP(Table1[[#This Row],[Tên đối tượng]],'DANH MỤC ĐỐI TƯỢNG'!A:E,5,0),"")</f>
        <v>Số 240 Phố Phú Viên, Phường Bồ Đề, Quận Long Biên, Thành Phố Hà Nội, Việt Nam</v>
      </c>
      <c r="G764">
        <f>_xlfn.IFNA(VLOOKUP(Table1[[#This Row],[Tên đối tượng]],'DANH MỤC ĐỐI TƯỢNG'!A:F,6,0),"")</f>
        <v>0</v>
      </c>
      <c r="H764" t="str">
        <f>_xlfn.IFNA(VLOOKUP(Table1[[#This Row],[Tên đối tượng]],'DANH MỤC ĐỐI TƯỢNG'!A:I,9,0),"")</f>
        <v>Ngân hàng TMCP đầu tư và phát triển Việt Nam-CN Long Biên Hà Nội</v>
      </c>
      <c r="I764" t="str">
        <f>_xlfn.IFNA(VLOOKUP(Table1[[#This Row],[Tên đối tượng]],'DANH MỤC ĐỐI TƯỢNG'!A:J,10,0),"")</f>
        <v>15010000656169</v>
      </c>
    </row>
    <row r="765" spans="1:9" x14ac:dyDescent="0.3">
      <c r="A765">
        <v>762</v>
      </c>
      <c r="B765" t="s">
        <v>1491</v>
      </c>
      <c r="C765" t="s">
        <v>1492</v>
      </c>
      <c r="D765" t="str">
        <f t="shared" si="22"/>
        <v>762. V4115C0</v>
      </c>
      <c r="E765" s="5" t="str">
        <f t="shared" ca="1" si="23"/>
        <v>Nguyễn Văn Thành</v>
      </c>
      <c r="F765" t="str">
        <f>IFERROR(VLOOKUP(Table1[[#This Row],[Tên đối tượng]],'DANH MỤC ĐỐI TƯỢNG'!A:E,5,0),"")</f>
        <v>Số 118, Nam Hải, Hải An, Hải Phòng</v>
      </c>
      <c r="G765">
        <f>_xlfn.IFNA(VLOOKUP(Table1[[#This Row],[Tên đối tượng]],'DANH MỤC ĐỐI TƯỢNG'!A:F,6,0),"")</f>
        <v>0</v>
      </c>
      <c r="H765" t="str">
        <f>_xlfn.IFNA(VLOOKUP(Table1[[#This Row],[Tên đối tượng]],'DANH MỤC ĐỐI TƯỢNG'!A:I,9,0),"")</f>
        <v>Techcombank - CN Tô Hiệu</v>
      </c>
      <c r="I765" t="str">
        <f>_xlfn.IFNA(VLOOKUP(Table1[[#This Row],[Tên đối tượng]],'DANH MỤC ĐỐI TƯỢNG'!A:J,10,0),"")</f>
        <v>19030451052011</v>
      </c>
    </row>
    <row r="766" spans="1:9" x14ac:dyDescent="0.3">
      <c r="A766">
        <v>763</v>
      </c>
      <c r="B766" t="s">
        <v>1493</v>
      </c>
      <c r="C766" t="s">
        <v>1494</v>
      </c>
      <c r="D766" t="str">
        <f t="shared" si="22"/>
        <v>763. V20180</v>
      </c>
      <c r="E766" s="5" t="str">
        <f t="shared" ca="1" si="23"/>
        <v>NIPPON GEAR CO., LTD</v>
      </c>
      <c r="F766" t="str">
        <f>IFERROR(VLOOKUP(Table1[[#This Row],[Tên đối tượng]],'DANH MỤC ĐỐI TƯỢNG'!A:E,5,0),"")</f>
        <v>7 Kiriharacho, Fujisawa-shi, Kanagawa 252-0811, Japan</v>
      </c>
      <c r="G766">
        <f>_xlfn.IFNA(VLOOKUP(Table1[[#This Row],[Tên đối tượng]],'DANH MỤC ĐỐI TƯỢNG'!A:F,6,0),"")</f>
        <v>0</v>
      </c>
      <c r="H766" t="str">
        <f>_xlfn.IFNA(VLOOKUP(Table1[[#This Row],[Tên đối tượng]],'DANH MỤC ĐỐI TƯỢNG'!A:I,9,0),"")</f>
        <v>Sumitomo Mitsui Banking Corporation-Shonandai Branch</v>
      </c>
      <c r="I766" t="str">
        <f>_xlfn.IFNA(VLOOKUP(Table1[[#This Row],[Tên đối tượng]],'DANH MỤC ĐỐI TƯỢNG'!A:J,10,0),"")</f>
        <v>2000948</v>
      </c>
    </row>
    <row r="767" spans="1:9" x14ac:dyDescent="0.3">
      <c r="A767">
        <v>764</v>
      </c>
      <c r="B767" t="s">
        <v>1495</v>
      </c>
      <c r="C767" t="s">
        <v>1496</v>
      </c>
      <c r="D767" t="str">
        <f t="shared" si="22"/>
        <v>764. V4116C0</v>
      </c>
      <c r="E767" s="5" t="str">
        <f t="shared" ca="1" si="23"/>
        <v>Viện tin học doanh nghiệp</v>
      </c>
      <c r="F767" t="str">
        <f>IFERROR(VLOOKUP(Table1[[#This Row],[Tên đối tượng]],'DANH MỤC ĐỐI TƯỢNG'!A:E,5,0),"")</f>
        <v>Số 9 Đào Duy Anh, Quận Đống Đa, TP Hà Nội</v>
      </c>
      <c r="G767">
        <f>_xlfn.IFNA(VLOOKUP(Table1[[#This Row],[Tên đối tượng]],'DANH MỤC ĐỐI TƯỢNG'!A:F,6,0),"")</f>
        <v>0</v>
      </c>
      <c r="H767" t="str">
        <f>_xlfn.IFNA(VLOOKUP(Table1[[#This Row],[Tên đối tượng]],'DANH MỤC ĐỐI TƯỢNG'!A:I,9,0),"")</f>
        <v>Sở giao dịch Vietcombank</v>
      </c>
      <c r="I767" t="str">
        <f>_xlfn.IFNA(VLOOKUP(Table1[[#This Row],[Tên đối tượng]],'DANH MỤC ĐỐI TƯỢNG'!A:J,10,0),"")</f>
        <v>0011001461477</v>
      </c>
    </row>
    <row r="768" spans="1:9" x14ac:dyDescent="0.3">
      <c r="A768">
        <v>765</v>
      </c>
      <c r="B768" t="s">
        <v>1497</v>
      </c>
      <c r="C768" t="s">
        <v>1498</v>
      </c>
      <c r="D768" t="str">
        <f t="shared" si="22"/>
        <v>765. V10576</v>
      </c>
      <c r="E768" s="5" t="str">
        <f t="shared" ca="1" si="23"/>
        <v>Công ty cổ phần dịch vụ y tế Hà Nội</v>
      </c>
      <c r="F768" t="str">
        <f>IFERROR(VLOOKUP(Table1[[#This Row],[Tên đối tượng]],'DANH MỤC ĐỐI TƯỢNG'!A:E,5,0),"")</f>
        <v>Số 33 Kỳ Đồng, P Hoàng Văn Thụ, Q Hồng Bàng, Hải Phòng</v>
      </c>
      <c r="G768">
        <f>_xlfn.IFNA(VLOOKUP(Table1[[#This Row],[Tên đối tượng]],'DANH MỤC ĐỐI TƯỢNG'!A:F,6,0),"")</f>
        <v>0</v>
      </c>
      <c r="H768" t="str">
        <f>_xlfn.IFNA(VLOOKUP(Table1[[#This Row],[Tên đối tượng]],'DANH MỤC ĐỐI TƯỢNG'!A:I,9,0),"")</f>
        <v>Vietcombank  - CN Hải Phòng</v>
      </c>
      <c r="I768" t="str">
        <f>_xlfn.IFNA(VLOOKUP(Table1[[#This Row],[Tên đối tượng]],'DANH MỤC ĐỐI TƯỢNG'!A:J,10,0),"")</f>
        <v>0031000679679</v>
      </c>
    </row>
    <row r="769" spans="1:9" x14ac:dyDescent="0.3">
      <c r="A769">
        <v>766</v>
      </c>
      <c r="B769" t="s">
        <v>1499</v>
      </c>
      <c r="C769" t="s">
        <v>1500</v>
      </c>
      <c r="D769" t="str">
        <f t="shared" si="22"/>
        <v>766. V10584</v>
      </c>
      <c r="E769" s="5" t="str">
        <f t="shared" ca="1" si="23"/>
        <v>Hộ kinh doanh Nguyễn Tất Trung</v>
      </c>
      <c r="F769" t="str">
        <f>IFERROR(VLOOKUP(Table1[[#This Row],[Tên đối tượng]],'DANH MỤC ĐỐI TƯỢNG'!A:E,5,0),"")</f>
        <v>Số 136 MB1 Khu đô thị Thanh Hà, Phường Kiến Hưng, Quận Hà Đông, TP Hà Nội</v>
      </c>
      <c r="G769">
        <f>_xlfn.IFNA(VLOOKUP(Table1[[#This Row],[Tên đối tượng]],'DANH MỤC ĐỐI TƯỢNG'!A:F,6,0),"")</f>
        <v>0</v>
      </c>
      <c r="H769" t="str">
        <f>_xlfn.IFNA(VLOOKUP(Table1[[#This Row],[Tên đối tượng]],'DANH MỤC ĐỐI TƯỢNG'!A:I,9,0),"")</f>
        <v>MB Bank - CN Đống Đa - PGD Kim Liên</v>
      </c>
      <c r="I769" t="str">
        <f>_xlfn.IFNA(VLOOKUP(Table1[[#This Row],[Tên đối tượng]],'DANH MỤC ĐỐI TƯỢNG'!A:J,10,0),"")</f>
        <v>0690100557777</v>
      </c>
    </row>
    <row r="770" spans="1:9" x14ac:dyDescent="0.3">
      <c r="A770">
        <v>767</v>
      </c>
      <c r="B770" t="s">
        <v>1501</v>
      </c>
      <c r="C770" t="s">
        <v>1502</v>
      </c>
      <c r="D770" t="str">
        <f t="shared" si="22"/>
        <v>767. T3015C0</v>
      </c>
      <c r="E770" s="5" t="str">
        <f t="shared" ca="1" si="23"/>
        <v>Trung tâm đo lường Chất lượng Viễn Thông</v>
      </c>
      <c r="F770" t="str">
        <f>IFERROR(VLOOKUP(Table1[[#This Row],[Tên đối tượng]],'DANH MỤC ĐỐI TƯỢNG'!A:E,5,0),"")</f>
        <v>18 Nguyễn Du, Hà Nội</v>
      </c>
      <c r="G770">
        <f>_xlfn.IFNA(VLOOKUP(Table1[[#This Row],[Tên đối tượng]],'DANH MỤC ĐỐI TƯỢNG'!A:F,6,0),"")</f>
        <v>0</v>
      </c>
      <c r="H770" t="str">
        <f>_xlfn.IFNA(VLOOKUP(Table1[[#This Row],[Tên đối tượng]],'DANH MỤC ĐỐI TƯỢNG'!A:I,9,0),"")</f>
        <v>Ngân hàng TMCP Hàng Hải (MSB) - Chi nhánh Hà Nội</v>
      </c>
      <c r="I770" t="str">
        <f>_xlfn.IFNA(VLOOKUP(Table1[[#This Row],[Tên đối tượng]],'DANH MỤC ĐỐI TƯỢNG'!A:J,10,0),"")</f>
        <v>03001010601338</v>
      </c>
    </row>
    <row r="771" spans="1:9" x14ac:dyDescent="0.3">
      <c r="A771">
        <v>768</v>
      </c>
      <c r="B771" t="s">
        <v>1503</v>
      </c>
      <c r="C771" t="s">
        <v>1504</v>
      </c>
      <c r="D771" t="str">
        <f t="shared" si="22"/>
        <v>768. V10590</v>
      </c>
      <c r="E771" s="5" t="str">
        <f t="shared" ca="1" si="23"/>
        <v>Công ty cổ phần thương mại XNK dược và thiết bị y tế Hải Phòng</v>
      </c>
      <c r="F771" t="str">
        <f>IFERROR(VLOOKUP(Table1[[#This Row],[Tên đối tượng]],'DANH MỤC ĐỐI TƯỢNG'!A:E,5,0),"")</f>
        <v/>
      </c>
      <c r="G771" t="str">
        <f>_xlfn.IFNA(VLOOKUP(Table1[[#This Row],[Tên đối tượng]],'DANH MỤC ĐỐI TƯỢNG'!A:F,6,0),"")</f>
        <v/>
      </c>
      <c r="H771" t="str">
        <f>_xlfn.IFNA(VLOOKUP(Table1[[#This Row],[Tên đối tượng]],'DANH MỤC ĐỐI TƯỢNG'!A:I,9,0),"")</f>
        <v/>
      </c>
      <c r="I771" t="str">
        <f>_xlfn.IFNA(VLOOKUP(Table1[[#This Row],[Tên đối tượng]],'DANH MỤC ĐỐI TƯỢNG'!A:J,10,0),"")</f>
        <v/>
      </c>
    </row>
    <row r="772" spans="1:9" x14ac:dyDescent="0.3">
      <c r="A772">
        <v>769</v>
      </c>
      <c r="B772" t="s">
        <v>1505</v>
      </c>
      <c r="C772" t="s">
        <v>1506</v>
      </c>
      <c r="D772" t="str">
        <f t="shared" si="22"/>
        <v>769. V10582</v>
      </c>
      <c r="E772" s="5" t="str">
        <f t="shared" ca="1" si="23"/>
        <v>Chi nhánh công ty TNHH KONICA MINOLTA BUSINESS SOLUTION VIỆT NAM tại thành phố Hà Nội</v>
      </c>
      <c r="F772" t="str">
        <f>IFERROR(VLOOKUP(Table1[[#This Row],[Tên đối tượng]],'DANH MỤC ĐỐI TƯỢNG'!A:E,5,0),"")</f>
        <v/>
      </c>
      <c r="G772" t="str">
        <f>_xlfn.IFNA(VLOOKUP(Table1[[#This Row],[Tên đối tượng]],'DANH MỤC ĐỐI TƯỢNG'!A:F,6,0),"")</f>
        <v/>
      </c>
      <c r="H772" t="str">
        <f>_xlfn.IFNA(VLOOKUP(Table1[[#This Row],[Tên đối tượng]],'DANH MỤC ĐỐI TƯỢNG'!A:I,9,0),"")</f>
        <v/>
      </c>
      <c r="I772" t="str">
        <f>_xlfn.IFNA(VLOOKUP(Table1[[#This Row],[Tên đối tượng]],'DANH MỤC ĐỐI TƯỢNG'!A:J,10,0),"")</f>
        <v/>
      </c>
    </row>
    <row r="773" spans="1:9" x14ac:dyDescent="0.3">
      <c r="A773">
        <v>770</v>
      </c>
      <c r="B773" t="s">
        <v>1507</v>
      </c>
      <c r="C773" t="s">
        <v>1508</v>
      </c>
      <c r="D773" t="str">
        <f t="shared" ref="D773:D836" si="24">A773&amp;". "&amp;B773</f>
        <v>770. V10585</v>
      </c>
      <c r="E773" s="5" t="str">
        <f t="shared" ref="E773:E836" ca="1" si="25">IF(B773&lt;&gt;"",HYPERLINK($A$2&amp;D773,C773),"")</f>
        <v>Công ty cổ phần thương mại và kỹ thuật Minh Dương</v>
      </c>
      <c r="F773" t="str">
        <f>IFERROR(VLOOKUP(Table1[[#This Row],[Tên đối tượng]],'DANH MỤC ĐỐI TƯỢNG'!A:E,5,0),"")</f>
        <v>Số 391 đường 5/4, phường Quán Toan, quận Hồng Bàng, Hải Phòng</v>
      </c>
      <c r="G773">
        <f>_xlfn.IFNA(VLOOKUP(Table1[[#This Row],[Tên đối tượng]],'DANH MỤC ĐỐI TƯỢNG'!A:F,6,0),"")</f>
        <v>0</v>
      </c>
      <c r="H773" t="str">
        <f>_xlfn.IFNA(VLOOKUP(Table1[[#This Row],[Tên đối tượng]],'DANH MỤC ĐỐI TƯỢNG'!A:I,9,0),"")</f>
        <v>Ngân hàng TMCP Quân Đội - Chi nhánh Bắc Hải</v>
      </c>
      <c r="I773" t="str">
        <f>_xlfn.IFNA(VLOOKUP(Table1[[#This Row],[Tên đối tượng]],'DANH MỤC ĐỐI TƯỢNG'!A:J,10,0),"")</f>
        <v>2631101076005</v>
      </c>
    </row>
    <row r="774" spans="1:9" x14ac:dyDescent="0.3">
      <c r="A774">
        <v>771</v>
      </c>
      <c r="B774" t="s">
        <v>1509</v>
      </c>
      <c r="C774" t="s">
        <v>1510</v>
      </c>
      <c r="D774" t="str">
        <f t="shared" si="24"/>
        <v>771. V10581</v>
      </c>
      <c r="E774" s="5" t="str">
        <f t="shared" ca="1" si="25"/>
        <v>Trung tâm kiểm định công nghiệp 1</v>
      </c>
      <c r="F774" t="str">
        <f>IFERROR(VLOOKUP(Table1[[#This Row],[Tên đối tượng]],'DANH MỤC ĐỐI TƯỢNG'!A:E,5,0),"")</f>
        <v>Tầng 9, tòa nhà bộ công thương, số 655 đường Phạm Văn Đồng, P. Cổ Nhuế 1, Quận Bắc Từ Liêm, TP Hà Nội</v>
      </c>
      <c r="G774">
        <f>_xlfn.IFNA(VLOOKUP(Table1[[#This Row],[Tên đối tượng]],'DANH MỤC ĐỐI TƯỢNG'!A:F,6,0),"")</f>
        <v>0</v>
      </c>
      <c r="H774" t="str">
        <f>_xlfn.IFNA(VLOOKUP(Table1[[#This Row],[Tên đối tượng]],'DANH MỤC ĐỐI TƯỢNG'!A:I,9,0),"")</f>
        <v>Ngân hàng TMCP đầu tư và phát triển Việt Nam- CN Cầu Giấy</v>
      </c>
      <c r="I774" t="str">
        <f>_xlfn.IFNA(VLOOKUP(Table1[[#This Row],[Tên đối tượng]],'DANH MỤC ĐỐI TƯỢNG'!A:J,10,0),"")</f>
        <v>2152696969</v>
      </c>
    </row>
    <row r="775" spans="1:9" x14ac:dyDescent="0.3">
      <c r="A775">
        <v>772</v>
      </c>
      <c r="B775" t="s">
        <v>1511</v>
      </c>
      <c r="C775" t="s">
        <v>1512</v>
      </c>
      <c r="D775" t="str">
        <f t="shared" si="24"/>
        <v>772. V10586</v>
      </c>
      <c r="E775" s="5" t="str">
        <f t="shared" ca="1" si="25"/>
        <v>CÔNG TY TNHH THAKRAL ONE- CHI NHÁNH TẠI HÀ NỘI</v>
      </c>
      <c r="F775" t="str">
        <f>IFERROR(VLOOKUP(Table1[[#This Row],[Tên đối tượng]],'DANH MỤC ĐỐI TƯỢNG'!A:E,5,0),"")</f>
        <v>Tầng 18, Tòa nhà Icon 4, số 243A Đê La Thành, phường Láng THượng, quận Đống Đa, thành phố Hà Nội, Việt Nam</v>
      </c>
      <c r="G775">
        <f>_xlfn.IFNA(VLOOKUP(Table1[[#This Row],[Tên đối tượng]],'DANH MỤC ĐỐI TƯỢNG'!A:F,6,0),"")</f>
        <v>0</v>
      </c>
      <c r="H775" t="str">
        <f>_xlfn.IFNA(VLOOKUP(Table1[[#This Row],[Tên đối tượng]],'DANH MỤC ĐỐI TƯỢNG'!A:I,9,0),"")</f>
        <v>Sở giao dịch ngân hàng TMCP Ngoại thương Việt Nam</v>
      </c>
      <c r="I775" t="str">
        <f>_xlfn.IFNA(VLOOKUP(Table1[[#This Row],[Tên đối tượng]],'DANH MỤC ĐỐI TƯỢNG'!A:J,10,0),"")</f>
        <v>0011000358006</v>
      </c>
    </row>
    <row r="776" spans="1:9" x14ac:dyDescent="0.3">
      <c r="A776">
        <v>773</v>
      </c>
      <c r="B776" t="s">
        <v>1513</v>
      </c>
      <c r="C776" t="s">
        <v>1514</v>
      </c>
      <c r="D776" t="str">
        <f t="shared" si="24"/>
        <v>773. V10567</v>
      </c>
      <c r="E776" s="5" t="str">
        <f t="shared" ca="1" si="25"/>
        <v>Công ty TNHH Giải pháp Kỹ thuật Tân Long</v>
      </c>
      <c r="F776" t="str">
        <f>IFERROR(VLOOKUP(Table1[[#This Row],[Tên đối tượng]],'DANH MỤC ĐỐI TƯỢNG'!A:E,5,0),"")</f>
        <v>146/18 Nguyễn Hữu Thọ, xã Phước Kiển, huyện Nhà Bè, thành phố Hồ Chí Minh, Việt Nam</v>
      </c>
      <c r="G776">
        <f>_xlfn.IFNA(VLOOKUP(Table1[[#This Row],[Tên đối tượng]],'DANH MỤC ĐỐI TƯỢNG'!A:F,6,0),"")</f>
        <v>0</v>
      </c>
      <c r="H776" t="str">
        <f>_xlfn.IFNA(VLOOKUP(Table1[[#This Row],[Tên đối tượng]],'DANH MỤC ĐỐI TƯỢNG'!A:I,9,0),"")</f>
        <v>Ngân hàng BIDV-chi nhánh Nhà Bè-Tp HCM</v>
      </c>
      <c r="I776" t="str">
        <f>_xlfn.IFNA(VLOOKUP(Table1[[#This Row],[Tên đối tượng]],'DANH MỤC ĐỐI TƯỢNG'!A:J,10,0),"")</f>
        <v>13310000009069</v>
      </c>
    </row>
    <row r="777" spans="1:9" x14ac:dyDescent="0.3">
      <c r="A777">
        <v>774</v>
      </c>
      <c r="B777" t="s">
        <v>1515</v>
      </c>
      <c r="C777" t="s">
        <v>1516</v>
      </c>
      <c r="D777" t="str">
        <f t="shared" si="24"/>
        <v>774. V10562</v>
      </c>
      <c r="E777" s="5" t="str">
        <f t="shared" ca="1" si="25"/>
        <v>Công ty TNHH Tự Động Hóa Việt Đức</v>
      </c>
      <c r="F777" t="str">
        <f>IFERROR(VLOOKUP(Table1[[#This Row],[Tên đối tượng]],'DANH MỤC ĐỐI TƯỢNG'!A:E,5,0),"")</f>
        <v>466/4 Lê Quang Định, phường 11, quận Bình Thạnh, thành phố Hồ Chí Minh</v>
      </c>
      <c r="G777">
        <f>_xlfn.IFNA(VLOOKUP(Table1[[#This Row],[Tên đối tượng]],'DANH MỤC ĐỐI TƯỢNG'!A:F,6,0),"")</f>
        <v>0</v>
      </c>
      <c r="H777" t="str">
        <f>_xlfn.IFNA(VLOOKUP(Table1[[#This Row],[Tên đối tượng]],'DANH MỤC ĐỐI TƯỢNG'!A:I,9,0),"")</f>
        <v>Ngân hàng TMCP Ngoại thương Việt Nam-chi nhánh Đông Sài Gòn</v>
      </c>
      <c r="I777" t="str">
        <f>_xlfn.IFNA(VLOOKUP(Table1[[#This Row],[Tên đối tượng]],'DANH MỤC ĐỐI TƯỢNG'!A:J,10,0),"")</f>
        <v>1012864092</v>
      </c>
    </row>
    <row r="778" spans="1:9" x14ac:dyDescent="0.3">
      <c r="A778">
        <v>775</v>
      </c>
      <c r="B778" t="s">
        <v>1517</v>
      </c>
      <c r="C778" t="s">
        <v>1518</v>
      </c>
      <c r="D778" t="str">
        <f t="shared" si="24"/>
        <v>775. V10572</v>
      </c>
      <c r="E778" s="5" t="str">
        <f t="shared" ca="1" si="25"/>
        <v>Công ty Cổ phần Hạo Phương</v>
      </c>
      <c r="F778" t="str">
        <f>IFERROR(VLOOKUP(Table1[[#This Row],[Tên đối tượng]],'DANH MỤC ĐỐI TƯỢNG'!A:E,5,0),"")</f>
        <v>Số 88, đường Vĩnh Phú 40, khu phố Hòa Long, phường Vĩnh Phú, thành phố Thuận An, tỉnh Bình Dương, Việt Nam</v>
      </c>
      <c r="G778">
        <f>_xlfn.IFNA(VLOOKUP(Table1[[#This Row],[Tên đối tượng]],'DANH MỤC ĐỐI TƯỢNG'!A:F,6,0),"")</f>
        <v>0</v>
      </c>
      <c r="H778" t="str">
        <f>_xlfn.IFNA(VLOOKUP(Table1[[#This Row],[Tên đối tượng]],'DANH MỤC ĐỐI TƯỢNG'!A:I,9,0),"")</f>
        <v>Ngân hàng Agribank-Chi nhánh KCN Sóng Thần, tỉnh Bình Dương</v>
      </c>
      <c r="I778" t="str">
        <f>_xlfn.IFNA(VLOOKUP(Table1[[#This Row],[Tên đối tượng]],'DANH MỤC ĐỐI TƯỢNG'!A:J,10,0),"")</f>
        <v>5590211001150</v>
      </c>
    </row>
    <row r="779" spans="1:9" x14ac:dyDescent="0.3">
      <c r="A779">
        <v>776</v>
      </c>
      <c r="B779" t="s">
        <v>1519</v>
      </c>
      <c r="C779" t="s">
        <v>1520</v>
      </c>
      <c r="D779" t="str">
        <f t="shared" si="24"/>
        <v>776. V20187</v>
      </c>
      <c r="E779" s="5" t="str">
        <f t="shared" ca="1" si="25"/>
        <v>Tanaka Ai (Thailand) Ltd.</v>
      </c>
      <c r="F779" t="str">
        <f>IFERROR(VLOOKUP(Table1[[#This Row],[Tên đối tượng]],'DANH MỤC ĐỐI TƯỢNG'!A:E,5,0),"")</f>
        <v>1778 Summer Building 3rd Floor, Room 305, Sukhumvit Road, Prakhanong, Klongtoey, Bangkok 10110 Thailand</v>
      </c>
      <c r="G779">
        <f>_xlfn.IFNA(VLOOKUP(Table1[[#This Row],[Tên đối tượng]],'DANH MỤC ĐỐI TƯỢNG'!A:F,6,0),"")</f>
        <v>0</v>
      </c>
      <c r="H779" t="str">
        <f>_xlfn.IFNA(VLOOKUP(Table1[[#This Row],[Tên đối tượng]],'DANH MỤC ĐỐI TƯỢNG'!A:I,9,0),"")</f>
        <v>Sumitomo Mitsui bangking Corporation-Bangkok</v>
      </c>
      <c r="I779" t="str">
        <f>_xlfn.IFNA(VLOOKUP(Table1[[#This Row],[Tên đối tượng]],'DANH MỤC ĐỐI TƯỢNG'!A:J,10,0),"")</f>
        <v>21-20064321</v>
      </c>
    </row>
    <row r="780" spans="1:9" x14ac:dyDescent="0.3">
      <c r="A780">
        <v>777</v>
      </c>
      <c r="B780" t="s">
        <v>1521</v>
      </c>
      <c r="C780" t="s">
        <v>1522</v>
      </c>
      <c r="D780" t="str">
        <f t="shared" si="24"/>
        <v>777. V10580</v>
      </c>
      <c r="E780" s="5" t="str">
        <f t="shared" ca="1" si="25"/>
        <v>Công ty TNHH Thương Mại Yên Hưng</v>
      </c>
      <c r="F780" t="str">
        <f>IFERROR(VLOOKUP(Table1[[#This Row],[Tên đối tượng]],'DANH MỤC ĐỐI TƯỢNG'!A:E,5,0),"")</f>
        <v>Số 01 ngõ 1202 đường Trường Chinh, P Phương Mai, Q Đống Đa, Hà Nội</v>
      </c>
      <c r="G780">
        <f>_xlfn.IFNA(VLOOKUP(Table1[[#This Row],[Tên đối tượng]],'DANH MỤC ĐỐI TƯỢNG'!A:F,6,0),"")</f>
        <v>0</v>
      </c>
      <c r="H780" t="str">
        <f>_xlfn.IFNA(VLOOKUP(Table1[[#This Row],[Tên đối tượng]],'DANH MỤC ĐỐI TƯỢNG'!A:I,9,0),"")</f>
        <v>Ngân hàng ACB, Chi nhánh Hà Nội</v>
      </c>
      <c r="I780" t="str">
        <f>_xlfn.IFNA(VLOOKUP(Table1[[#This Row],[Tên đối tượng]],'DANH MỤC ĐỐI TƯỢNG'!A:J,10,0),"")</f>
        <v>195585079</v>
      </c>
    </row>
    <row r="781" spans="1:9" x14ac:dyDescent="0.3">
      <c r="A781">
        <v>778</v>
      </c>
      <c r="B781" t="s">
        <v>1523</v>
      </c>
      <c r="C781" t="s">
        <v>1524</v>
      </c>
      <c r="D781" t="str">
        <f t="shared" si="24"/>
        <v>778. V10566</v>
      </c>
      <c r="E781" s="5" t="str">
        <f t="shared" ca="1" si="25"/>
        <v>Công ty cổ phần giao nhận vận tải Vàng</v>
      </c>
      <c r="F781" t="str">
        <f>IFERROR(VLOOKUP(Table1[[#This Row],[Tên đối tượng]],'DANH MỤC ĐỐI TƯỢNG'!A:E,5,0),"")</f>
        <v>Số 86 Trần Vỹ, phường Mai Dịch, quận Cầu Giấy, thành phố Hà Nội, Việt Nam</v>
      </c>
      <c r="G781">
        <f>_xlfn.IFNA(VLOOKUP(Table1[[#This Row],[Tên đối tượng]],'DANH MỤC ĐỐI TƯỢNG'!A:F,6,0),"")</f>
        <v>0</v>
      </c>
      <c r="H781" t="str">
        <f>_xlfn.IFNA(VLOOKUP(Table1[[#This Row],[Tên đối tượng]],'DANH MỤC ĐỐI TƯỢNG'!A:I,9,0),"")</f>
        <v>NH thương mại cổ phần ngoại thương Việt Nam-chi nhánh Thành Công</v>
      </c>
      <c r="I781" t="str">
        <f>_xlfn.IFNA(VLOOKUP(Table1[[#This Row],[Tên đối tượng]],'DANH MỤC ĐỐI TƯỢNG'!A:J,10,0),"")</f>
        <v>0451000312468</v>
      </c>
    </row>
    <row r="782" spans="1:9" x14ac:dyDescent="0.3">
      <c r="A782">
        <v>779</v>
      </c>
      <c r="B782" t="s">
        <v>1525</v>
      </c>
      <c r="C782" t="s">
        <v>1526</v>
      </c>
      <c r="D782" t="str">
        <f t="shared" si="24"/>
        <v>779. V10592</v>
      </c>
      <c r="E782" s="5" t="str">
        <f t="shared" ca="1" si="25"/>
        <v>Chi nhánh Công ty TNHH tư vấn thuế Deloitte Việt Nam</v>
      </c>
      <c r="F782" t="str">
        <f>IFERROR(VLOOKUP(Table1[[#This Row],[Tên đối tượng]],'DANH MỤC ĐỐI TƯỢNG'!A:E,5,0),"")</f>
        <v>Tầng 18, Tòa nhà Times Square, Số 57-69F Đồng Khởi, Phường Bến Nghé, Quận 1, TP Hồ Chí Minh, Việt Nam</v>
      </c>
      <c r="G782">
        <f>_xlfn.IFNA(VLOOKUP(Table1[[#This Row],[Tên đối tượng]],'DANH MỤC ĐỐI TƯỢNG'!A:F,6,0),"")</f>
        <v>0</v>
      </c>
      <c r="H782" t="str">
        <f>_xlfn.IFNA(VLOOKUP(Table1[[#This Row],[Tên đối tượng]],'DANH MỤC ĐỐI TƯỢNG'!A:I,9,0),"")</f>
        <v>Ngân hàng TMCP Ngoại thương Việt Nam (VCB)-Chi nhánh Nam Sài Gòn</v>
      </c>
      <c r="I782" t="str">
        <f>_xlfn.IFNA(VLOOKUP(Table1[[#This Row],[Tên đối tượng]],'DANH MỤC ĐỐI TƯỢNG'!A:J,10,0),"")</f>
        <v>0181008288888</v>
      </c>
    </row>
    <row r="783" spans="1:9" x14ac:dyDescent="0.3">
      <c r="A783">
        <v>780</v>
      </c>
      <c r="B783" t="s">
        <v>1527</v>
      </c>
      <c r="C783" t="s">
        <v>1528</v>
      </c>
      <c r="D783" t="str">
        <f t="shared" si="24"/>
        <v>780. V4117C0</v>
      </c>
      <c r="E783" s="5" t="str">
        <f t="shared" ca="1" si="25"/>
        <v>Trung tâm đào tạo và giới thiệu việc làm trường Đại học Hàng Hải</v>
      </c>
      <c r="F783" t="str">
        <f>IFERROR(VLOOKUP(Table1[[#This Row],[Tên đối tượng]],'DANH MỤC ĐỐI TƯỢNG'!A:E,5,0),"")</f>
        <v>Số 484 Lạch Tray, Kênh Dương, Lê Chân, Hải Phòng</v>
      </c>
      <c r="G783">
        <f>_xlfn.IFNA(VLOOKUP(Table1[[#This Row],[Tên đối tượng]],'DANH MỤC ĐỐI TƯỢNG'!A:F,6,0),"")</f>
        <v>0</v>
      </c>
      <c r="H783" t="str">
        <f>_xlfn.IFNA(VLOOKUP(Table1[[#This Row],[Tên đối tượng]],'DANH MỤC ĐỐI TƯỢNG'!A:I,9,0),"")</f>
        <v>Ngân hàng Vietinbank, Chi nhánh Ngô Quyền, Hải Phòng</v>
      </c>
      <c r="I783" t="str">
        <f>_xlfn.IFNA(VLOOKUP(Table1[[#This Row],[Tên đối tượng]],'DANH MỤC ĐỐI TƯỢNG'!A:J,10,0),"")</f>
        <v>115000010229</v>
      </c>
    </row>
    <row r="784" spans="1:9" x14ac:dyDescent="0.3">
      <c r="A784">
        <v>781</v>
      </c>
      <c r="B784" t="s">
        <v>1529</v>
      </c>
      <c r="C784" t="s">
        <v>1530</v>
      </c>
      <c r="D784" t="str">
        <f t="shared" si="24"/>
        <v>781. V10579</v>
      </c>
      <c r="E784" s="5" t="str">
        <f t="shared" ca="1" si="25"/>
        <v>Công ty TNHH xuất nhập khẩu công nghiệp Á Châu</v>
      </c>
      <c r="F784" t="str">
        <f>IFERROR(VLOOKUP(Table1[[#This Row],[Tên đối tượng]],'DANH MỤC ĐỐI TƯỢNG'!A:E,5,0),"")</f>
        <v>Số 19 ngõ 96 Thượng Thanh, P. Thượng Thanh, Q. Long Biên, Tp Hà Nội</v>
      </c>
      <c r="G784">
        <f>_xlfn.IFNA(VLOOKUP(Table1[[#This Row],[Tên đối tượng]],'DANH MỤC ĐỐI TƯỢNG'!A:F,6,0),"")</f>
        <v>0</v>
      </c>
      <c r="H784" t="str">
        <f>_xlfn.IFNA(VLOOKUP(Table1[[#This Row],[Tên đối tượng]],'DANH MỤC ĐỐI TƯỢNG'!A:I,9,0),"")</f>
        <v>Ngân hàng BIDV-CN thành đô, Hà Nội</v>
      </c>
      <c r="I784" t="str">
        <f>_xlfn.IFNA(VLOOKUP(Table1[[#This Row],[Tên đối tượng]],'DANH MỤC ĐỐI TƯỢNG'!A:J,10,0),"")</f>
        <v>15110000450775</v>
      </c>
    </row>
    <row r="785" spans="1:9" x14ac:dyDescent="0.3">
      <c r="A785">
        <v>782</v>
      </c>
      <c r="B785" t="s">
        <v>1531</v>
      </c>
      <c r="C785" t="s">
        <v>1532</v>
      </c>
      <c r="D785" t="str">
        <f t="shared" si="24"/>
        <v>782. V20186</v>
      </c>
      <c r="E785" s="5" t="str">
        <f t="shared" ca="1" si="25"/>
        <v>Yamato Scale (Thailand) Co., Ltd</v>
      </c>
      <c r="F785" t="str">
        <f>IFERROR(VLOOKUP(Table1[[#This Row],[Tên đối tượng]],'DANH MỤC ĐỐI TƯỢNG'!A:E,5,0),"")</f>
        <v>88/6 Moo.23 Soi Thidinthai, Thepharak Rd., Bangpleeyai, Bangplee, Samutprakarn 10540 Thailand</v>
      </c>
      <c r="G785">
        <f>_xlfn.IFNA(VLOOKUP(Table1[[#This Row],[Tên đối tượng]],'DANH MỤC ĐỐI TƯỢNG'!A:F,6,0),"")</f>
        <v>0</v>
      </c>
      <c r="H785" t="str">
        <f>_xlfn.IFNA(VLOOKUP(Table1[[#This Row],[Tên đối tượng]],'DANH MỤC ĐỐI TƯỢNG'!A:I,9,0),"")</f>
        <v>Sumitomo Mitsui banking Corporation-Bangkok Branch</v>
      </c>
      <c r="I785" t="str">
        <f>_xlfn.IFNA(VLOOKUP(Table1[[#This Row],[Tên đối tượng]],'DANH MỤC ĐỐI TƯỢNG'!A:J,10,0),"")</f>
        <v>2210077602</v>
      </c>
    </row>
    <row r="786" spans="1:9" x14ac:dyDescent="0.3">
      <c r="A786">
        <v>783</v>
      </c>
      <c r="B786" t="s">
        <v>1533</v>
      </c>
      <c r="C786" t="s">
        <v>1534</v>
      </c>
      <c r="D786" t="str">
        <f t="shared" si="24"/>
        <v>783. V10595</v>
      </c>
      <c r="E786" s="5" t="str">
        <f t="shared" ca="1" si="25"/>
        <v>Công ty TNHH Dịch vụ Du lịch Cảnh Hưng</v>
      </c>
      <c r="F786" t="str">
        <f>IFERROR(VLOOKUP(Table1[[#This Row],[Tên đối tượng]],'DANH MỤC ĐỐI TƯỢNG'!A:E,5,0),"")</f>
        <v>Số 32, Khu đô thị Quán Toan, Phường Quán Toan, Quận Hồng Bàng, TP Hải Phòng</v>
      </c>
      <c r="G786">
        <f>_xlfn.IFNA(VLOOKUP(Table1[[#This Row],[Tên đối tượng]],'DANH MỤC ĐỐI TƯỢNG'!A:F,6,0),"")</f>
        <v>0</v>
      </c>
      <c r="H786" t="str">
        <f>_xlfn.IFNA(VLOOKUP(Table1[[#This Row],[Tên đối tượng]],'DANH MỤC ĐỐI TƯỢNG'!A:I,9,0),"")</f>
        <v>Ngân hàng Vietcombank - CN Hải Phòng</v>
      </c>
      <c r="I786" t="str">
        <f>_xlfn.IFNA(VLOOKUP(Table1[[#This Row],[Tên đối tượng]],'DANH MỤC ĐỐI TƯỢNG'!A:J,10,0),"")</f>
        <v>0031000259020</v>
      </c>
    </row>
    <row r="787" spans="1:9" x14ac:dyDescent="0.3">
      <c r="A787">
        <v>784</v>
      </c>
      <c r="B787" t="s">
        <v>1535</v>
      </c>
      <c r="C787" t="s">
        <v>1536</v>
      </c>
      <c r="D787" t="str">
        <f t="shared" si="24"/>
        <v>784. V10589</v>
      </c>
      <c r="E787" s="5" t="str">
        <f t="shared" ca="1" si="25"/>
        <v>Công ty TNHH An Bình Giang</v>
      </c>
      <c r="F787" t="str">
        <f>IFERROR(VLOOKUP(Table1[[#This Row],[Tên đối tượng]],'DANH MỤC ĐỐI TƯỢNG'!A:E,5,0),"")</f>
        <v>Hẻm 36, ngách 1, ngõ 49 phố Đức Giang, phường Đức Giang, quận Long Biên, thành phố Hà Nội</v>
      </c>
      <c r="G787">
        <f>_xlfn.IFNA(VLOOKUP(Table1[[#This Row],[Tên đối tượng]],'DANH MỤC ĐỐI TƯỢNG'!A:F,6,0),"")</f>
        <v>0</v>
      </c>
      <c r="H787" t="str">
        <f>_xlfn.IFNA(VLOOKUP(Table1[[#This Row],[Tên đối tượng]],'DANH MỤC ĐỐI TƯỢNG'!A:I,9,0),"")</f>
        <v>Ngân hàng TMCP đầu tư và phát triển Việt Nam (BIDV)-Long Biên HN</v>
      </c>
      <c r="I787" t="str">
        <f>_xlfn.IFNA(VLOOKUP(Table1[[#This Row],[Tên đối tượng]],'DANH MỤC ĐỐI TƯỢNG'!A:J,10,0),"")</f>
        <v>1501.00.00.00.8982</v>
      </c>
    </row>
    <row r="788" spans="1:9" x14ac:dyDescent="0.3">
      <c r="A788">
        <v>785</v>
      </c>
      <c r="B788" t="s">
        <v>1537</v>
      </c>
      <c r="C788" t="s">
        <v>1538</v>
      </c>
      <c r="D788" t="str">
        <f t="shared" si="24"/>
        <v>785. V10588</v>
      </c>
      <c r="E788" s="5" t="str">
        <f t="shared" ca="1" si="25"/>
        <v>Công ty TNHH NAITO Việt Nam</v>
      </c>
      <c r="F788" t="str">
        <f>IFERROR(VLOOKUP(Table1[[#This Row],[Tên đối tượng]],'DANH MỤC ĐỐI TƯỢNG'!A:E,5,0),"")</f>
        <v>Lầu 5, tòa nhà Phượng Long, số 506 Nguyễn Đình Chiểu, phường 4, quận 3, tp. Hồ Chí Minh</v>
      </c>
      <c r="G788">
        <f>_xlfn.IFNA(VLOOKUP(Table1[[#This Row],[Tên đối tượng]],'DANH MỤC ĐỐI TƯỢNG'!A:F,6,0),"")</f>
        <v>0</v>
      </c>
      <c r="H788" t="str">
        <f>_xlfn.IFNA(VLOOKUP(Table1[[#This Row],[Tên đối tượng]],'DANH MỤC ĐỐI TƯỢNG'!A:I,9,0),"")</f>
        <v>Mizuho Bank, Ltd-Chi nhánh Tp. HCM</v>
      </c>
      <c r="I788" t="str">
        <f>_xlfn.IFNA(VLOOKUP(Table1[[#This Row],[Tên đối tượng]],'DANH MỤC ĐỐI TƯỢNG'!A:J,10,0),"")</f>
        <v>H15-796-511414</v>
      </c>
    </row>
    <row r="789" spans="1:9" x14ac:dyDescent="0.3">
      <c r="A789">
        <v>786</v>
      </c>
      <c r="B789" t="s">
        <v>1539</v>
      </c>
      <c r="C789" t="s">
        <v>1540</v>
      </c>
      <c r="D789" t="str">
        <f t="shared" si="24"/>
        <v>786. V20189</v>
      </c>
      <c r="E789" s="5" t="str">
        <f t="shared" ca="1" si="25"/>
        <v>Shandong Derek New Material Co.,Ltd</v>
      </c>
      <c r="F789" t="str">
        <f>IFERROR(VLOOKUP(Table1[[#This Row],[Tên đối tượng]],'DANH MỤC ĐỐI TƯỢNG'!A:E,5,0),"")</f>
        <v/>
      </c>
      <c r="G789" t="str">
        <f>_xlfn.IFNA(VLOOKUP(Table1[[#This Row],[Tên đối tượng]],'DANH MỤC ĐỐI TƯỢNG'!A:F,6,0),"")</f>
        <v/>
      </c>
      <c r="H789" t="str">
        <f>_xlfn.IFNA(VLOOKUP(Table1[[#This Row],[Tên đối tượng]],'DANH MỤC ĐỐI TƯỢNG'!A:I,9,0),"")</f>
        <v/>
      </c>
      <c r="I789" t="str">
        <f>_xlfn.IFNA(VLOOKUP(Table1[[#This Row],[Tên đối tượng]],'DANH MỤC ĐỐI TƯỢNG'!A:J,10,0),"")</f>
        <v/>
      </c>
    </row>
    <row r="790" spans="1:9" x14ac:dyDescent="0.3">
      <c r="A790">
        <v>787</v>
      </c>
      <c r="B790" t="s">
        <v>1541</v>
      </c>
      <c r="C790" t="s">
        <v>1542</v>
      </c>
      <c r="D790" t="str">
        <f t="shared" si="24"/>
        <v>787. V10593</v>
      </c>
      <c r="E790" s="5" t="str">
        <f t="shared" ca="1" si="25"/>
        <v>Công Ty Cổ Phần Kho Vận Và Dịch Vụ Thương Mại</v>
      </c>
      <c r="F790" t="str">
        <f>IFERROR(VLOOKUP(Table1[[#This Row],[Tên đối tượng]],'DANH MỤC ĐỐI TƯỢNG'!A:E,5,0),"")</f>
        <v>Số 473 Minh Khai, Phường Vĩnh Tuy, Quận Hai Bà Trưng, TP. Hà Nội</v>
      </c>
      <c r="G790">
        <f>_xlfn.IFNA(VLOOKUP(Table1[[#This Row],[Tên đối tượng]],'DANH MỤC ĐỐI TƯỢNG'!A:F,6,0),"")</f>
        <v>0</v>
      </c>
      <c r="H790" t="str">
        <f>_xlfn.IFNA(VLOOKUP(Table1[[#This Row],[Tên đối tượng]],'DANH MỤC ĐỐI TƯỢNG'!A:I,9,0),"")</f>
        <v>Ngân hàng TMCP Ngoại thương Việt Nam</v>
      </c>
      <c r="I790" t="str">
        <f>_xlfn.IFNA(VLOOKUP(Table1[[#This Row],[Tên đối tượng]],'DANH MỤC ĐỐI TƯỢNG'!A:J,10,0),"")</f>
        <v>0011001349023</v>
      </c>
    </row>
    <row r="791" spans="1:9" x14ac:dyDescent="0.3">
      <c r="A791">
        <v>788</v>
      </c>
      <c r="B791" t="s">
        <v>1543</v>
      </c>
      <c r="C791" t="s">
        <v>1544</v>
      </c>
      <c r="D791" t="str">
        <f t="shared" si="24"/>
        <v>788. V10596</v>
      </c>
      <c r="E791" s="5" t="str">
        <f t="shared" ca="1" si="25"/>
        <v>Công ty TNHH Thương mại Du lịch và Dịch vụ Hàng không An Bình</v>
      </c>
      <c r="F791" t="str">
        <f>IFERROR(VLOOKUP(Table1[[#This Row],[Tên đối tượng]],'DANH MỤC ĐỐI TƯỢNG'!A:E,5,0),"")</f>
        <v>Số 102, Lạc Trung, Vĩnh Tuy, Hai Bà Trung, Hà Nội</v>
      </c>
      <c r="G791">
        <f>_xlfn.IFNA(VLOOKUP(Table1[[#This Row],[Tên đối tượng]],'DANH MỤC ĐỐI TƯỢNG'!A:F,6,0),"")</f>
        <v>0</v>
      </c>
      <c r="H791" t="str">
        <f>_xlfn.IFNA(VLOOKUP(Table1[[#This Row],[Tên đối tượng]],'DANH MỤC ĐỐI TƯỢNG'!A:I,9,0),"")</f>
        <v>Ngân hàng HD Bank - CN Hà Nội - PGD Hà Thành</v>
      </c>
      <c r="I791" t="str">
        <f>_xlfn.IFNA(VLOOKUP(Table1[[#This Row],[Tên đối tượng]],'DANH MỤC ĐỐI TƯỢNG'!A:J,10,0),"")</f>
        <v>075704070003668</v>
      </c>
    </row>
    <row r="792" spans="1:9" x14ac:dyDescent="0.3">
      <c r="A792">
        <v>789</v>
      </c>
      <c r="B792" t="s">
        <v>1545</v>
      </c>
      <c r="C792" t="s">
        <v>1546</v>
      </c>
      <c r="D792" t="str">
        <f t="shared" si="24"/>
        <v>789. V20192</v>
      </c>
      <c r="E792" s="5" t="str">
        <f t="shared" ca="1" si="25"/>
        <v>Thai Tokai Carbon Product Company Limited</v>
      </c>
      <c r="F792" t="str">
        <f>IFERROR(VLOOKUP(Table1[[#This Row],[Tên đối tượng]],'DANH MỤC ĐỐI TƯỢNG'!A:E,5,0),"")</f>
        <v>54 Harindhorn Tower, North Sathorn Road, Silom,  Bangrak, Bangkok, Thailand 10500</v>
      </c>
      <c r="G792">
        <f>_xlfn.IFNA(VLOOKUP(Table1[[#This Row],[Tên đối tượng]],'DANH MỤC ĐỐI TƯỢNG'!A:F,6,0),"")</f>
        <v>0</v>
      </c>
      <c r="H792" t="str">
        <f>_xlfn.IFNA(VLOOKUP(Table1[[#This Row],[Tên đối tượng]],'DANH MỤC ĐỐI TƯỢNG'!A:I,9,0),"")</f>
        <v>Siam Commercial Bank Public Company Limited</v>
      </c>
      <c r="I792" t="str">
        <f>_xlfn.IFNA(VLOOKUP(Table1[[#This Row],[Tên đối tượng]],'DANH MỤC ĐỐI TƯỢNG'!A:J,10,0),"")</f>
        <v>001-3-23702-8</v>
      </c>
    </row>
    <row r="793" spans="1:9" x14ac:dyDescent="0.3">
      <c r="A793">
        <v>790</v>
      </c>
      <c r="B793" t="s">
        <v>1547</v>
      </c>
      <c r="C793" t="s">
        <v>1548</v>
      </c>
      <c r="D793" t="str">
        <f t="shared" si="24"/>
        <v>790. V20177</v>
      </c>
      <c r="E793" s="5" t="str">
        <f t="shared" ca="1" si="25"/>
        <v>Wealth Success International Trading Limited</v>
      </c>
      <c r="F793" t="str">
        <f>IFERROR(VLOOKUP(Table1[[#This Row],[Tên đối tượng]],'DANH MỤC ĐỐI TƯỢNG'!A:E,5,0),"")</f>
        <v>Unit 2209, 22/F, Wu Chung House, 213 Queen's Road East, Wanchai, Hongkong</v>
      </c>
      <c r="G793">
        <f>_xlfn.IFNA(VLOOKUP(Table1[[#This Row],[Tên đối tượng]],'DANH MỤC ĐỐI TƯỢNG'!A:F,6,0),"")</f>
        <v>0</v>
      </c>
      <c r="H793" t="str">
        <f>_xlfn.IFNA(VLOOKUP(Table1[[#This Row],[Tên đối tượng]],'DANH MỤC ĐỐI TƯỢNG'!A:I,9,0),"")</f>
        <v>BANK OF EAST ASIA, LIMITED,THE HONG KONG HK.</v>
      </c>
      <c r="I793" t="str">
        <f>_xlfn.IFNA(VLOOKUP(Table1[[#This Row],[Tên đối tượng]],'DANH MỤC ĐỐI TƯỢNG'!A:J,10,0),"")</f>
        <v>015-514-25-07060-9</v>
      </c>
    </row>
    <row r="794" spans="1:9" x14ac:dyDescent="0.3">
      <c r="A794">
        <v>791</v>
      </c>
      <c r="B794" t="s">
        <v>1549</v>
      </c>
      <c r="C794" t="s">
        <v>1550</v>
      </c>
      <c r="D794" t="str">
        <f t="shared" si="24"/>
        <v>791. T3012C0</v>
      </c>
      <c r="E794" s="5" t="str">
        <f t="shared" ca="1" si="25"/>
        <v>Trung tâm Kiểm định và Chứng nhận 1</v>
      </c>
      <c r="F794" t="str">
        <f>IFERROR(VLOOKUP(Table1[[#This Row],[Tên đối tượng]],'DANH MỤC ĐỐI TƯỢNG'!A:E,5,0),"")</f>
        <v>Tòa nhà Cục Viễn Thông, Yên Hòa, Cầu Giấy, Hà Nội</v>
      </c>
      <c r="G794">
        <f>_xlfn.IFNA(VLOOKUP(Table1[[#This Row],[Tên đối tượng]],'DANH MỤC ĐỐI TƯỢNG'!A:F,6,0),"")</f>
        <v>0</v>
      </c>
      <c r="H794" t="str">
        <f>_xlfn.IFNA(VLOOKUP(Table1[[#This Row],[Tên đối tượng]],'DANH MỤC ĐỐI TƯỢNG'!A:I,9,0),"")</f>
        <v>Ngân hàng Maritime Bank Hà Nội (MSB Hà Nội)</v>
      </c>
      <c r="I794" t="str">
        <f>_xlfn.IFNA(VLOOKUP(Table1[[#This Row],[Tên đối tượng]],'DANH MỤC ĐỐI TƯỢNG'!A:J,10,0),"")</f>
        <v>03001010601338</v>
      </c>
    </row>
    <row r="795" spans="1:9" x14ac:dyDescent="0.3">
      <c r="A795">
        <v>792</v>
      </c>
      <c r="B795" t="s">
        <v>1551</v>
      </c>
      <c r="C795" t="s">
        <v>1552</v>
      </c>
      <c r="D795" t="str">
        <f t="shared" si="24"/>
        <v>792. V10594</v>
      </c>
      <c r="E795" s="5" t="str">
        <f t="shared" ca="1" si="25"/>
        <v>Công Ty Cổ Phần Matra Quốc Tế</v>
      </c>
      <c r="F795" t="str">
        <f>IFERROR(VLOOKUP(Table1[[#This Row],[Tên đối tượng]],'DANH MỤC ĐỐI TƯỢNG'!A:E,5,0),"")</f>
        <v>Số 238 đường Nguyễn Xiển, phường Hạ Đình, quận Thanh Xuân, thành phố Hà Nội, Việt Nam</v>
      </c>
      <c r="G795">
        <f>_xlfn.IFNA(VLOOKUP(Table1[[#This Row],[Tên đối tượng]],'DANH MỤC ĐỐI TƯỢNG'!A:F,6,0),"")</f>
        <v>0</v>
      </c>
      <c r="H795" t="str">
        <f>_xlfn.IFNA(VLOOKUP(Table1[[#This Row],[Tên đối tượng]],'DANH MỤC ĐỐI TƯỢNG'!A:I,9,0),"")</f>
        <v>Ngân hàng TMCP kỹ thương Việt Nam-chi nhánh Thanh Xuân</v>
      </c>
      <c r="I795" t="str">
        <f>_xlfn.IFNA(VLOOKUP(Table1[[#This Row],[Tên đối tượng]],'DANH MỤC ĐỐI TƯỢNG'!A:J,10,0),"")</f>
        <v>19130180588886</v>
      </c>
    </row>
    <row r="796" spans="1:9" x14ac:dyDescent="0.3">
      <c r="A796">
        <v>793</v>
      </c>
      <c r="B796" t="s">
        <v>1553</v>
      </c>
      <c r="C796" t="s">
        <v>1554</v>
      </c>
      <c r="D796" t="str">
        <f t="shared" si="24"/>
        <v>793. V10591</v>
      </c>
      <c r="E796" s="5" t="str">
        <f t="shared" ca="1" si="25"/>
        <v>Công ty TNHH Bơm Ebara Việt Nam</v>
      </c>
      <c r="F796" t="str">
        <f>IFERROR(VLOOKUP(Table1[[#This Row],[Tên đối tượng]],'DANH MỤC ĐỐI TƯỢNG'!A:E,5,0),"")</f>
        <v>Lô đất XN01, khu công nghiệp Lai Cách, thị trấn Lai Cách, huyện Cẩm Giàng, tỉnh Hải Dương</v>
      </c>
      <c r="G796">
        <f>_xlfn.IFNA(VLOOKUP(Table1[[#This Row],[Tên đối tượng]],'DANH MỤC ĐỐI TƯỢNG'!A:F,6,0),"")</f>
        <v>0</v>
      </c>
      <c r="H796" t="str">
        <f>_xlfn.IFNA(VLOOKUP(Table1[[#This Row],[Tên đối tượng]],'DANH MỤC ĐỐI TƯỢNG'!A:I,9,0),"")</f>
        <v>Mizuho bank, Ltd-chi nhánh Hà Nội</v>
      </c>
      <c r="I796" t="str">
        <f>_xlfn.IFNA(VLOOKUP(Table1[[#This Row],[Tên đối tượng]],'DANH MỤC ĐỐI TƯỢNG'!A:J,10,0),"")</f>
        <v>H15-795-000764</v>
      </c>
    </row>
    <row r="797" spans="1:9" x14ac:dyDescent="0.3">
      <c r="A797">
        <v>794</v>
      </c>
      <c r="B797" t="s">
        <v>1555</v>
      </c>
      <c r="C797" t="s">
        <v>1556</v>
      </c>
      <c r="D797" t="str">
        <f t="shared" si="24"/>
        <v>794. V10597</v>
      </c>
      <c r="E797" s="5" t="str">
        <f t="shared" ca="1" si="25"/>
        <v>Công ty TNHH Aono Shokai Việt Nam</v>
      </c>
      <c r="F797" t="str">
        <f>IFERROR(VLOOKUP(Table1[[#This Row],[Tên đối tượng]],'DANH MỤC ĐỐI TƯỢNG'!A:E,5,0),"")</f>
        <v>Căn số 24, BT1-khu đô thị mới Mễ Trì, phường Mễ Trì, quận Nam Từ Liêm, thành phố Hà Nội, Việt Nam</v>
      </c>
      <c r="G797">
        <f>_xlfn.IFNA(VLOOKUP(Table1[[#This Row],[Tên đối tượng]],'DANH MỤC ĐỐI TƯỢNG'!A:F,6,0),"")</f>
        <v>0</v>
      </c>
      <c r="H797" t="str">
        <f>_xlfn.IFNA(VLOOKUP(Table1[[#This Row],[Tên đối tượng]],'DANH MỤC ĐỐI TƯỢNG'!A:I,9,0),"")</f>
        <v>Vietcombank-phòng giao dịch số 6</v>
      </c>
      <c r="I797" t="str">
        <f>_xlfn.IFNA(VLOOKUP(Table1[[#This Row],[Tên đối tượng]],'DANH MỤC ĐỐI TƯỢNG'!A:J,10,0),"")</f>
        <v>001.1.00.4045435</v>
      </c>
    </row>
    <row r="798" spans="1:9" x14ac:dyDescent="0.3">
      <c r="A798">
        <v>795</v>
      </c>
      <c r="B798" t="s">
        <v>1557</v>
      </c>
      <c r="C798" t="s">
        <v>1558</v>
      </c>
      <c r="D798" t="str">
        <f t="shared" si="24"/>
        <v>795. V10600</v>
      </c>
      <c r="E798" s="5" t="str">
        <f t="shared" ca="1" si="25"/>
        <v>Khách sạn Mường Thanh Xa La - CN Công ty CP Tập đoàn Mường Thanh</v>
      </c>
      <c r="F798" t="str">
        <f>IFERROR(VLOOKUP(Table1[[#This Row],[Tên đối tượng]],'DANH MỤC ĐỐI TƯỢNG'!A:E,5,0),"")</f>
        <v>Số 66, đường Phúc La, Văn Phú, KĐT Xa La, Hà Đông, Hà Nội</v>
      </c>
      <c r="G798">
        <f>_xlfn.IFNA(VLOOKUP(Table1[[#This Row],[Tên đối tượng]],'DANH MỤC ĐỐI TƯỢNG'!A:F,6,0),"")</f>
        <v>0</v>
      </c>
      <c r="H798" t="str">
        <f>_xlfn.IFNA(VLOOKUP(Table1[[#This Row],[Tên đối tượng]],'DANH MỤC ĐỐI TƯỢNG'!A:I,9,0),"")</f>
        <v>Ngân hàng TMCP Đầu tư và phát triển VN - CN Nam Hà Nội</v>
      </c>
      <c r="I798" t="str">
        <f>_xlfn.IFNA(VLOOKUP(Table1[[#This Row],[Tên đối tượng]],'DANH MỤC ĐỐI TƯỢNG'!A:J,10,0),"")</f>
        <v>213-10-00-036412-3</v>
      </c>
    </row>
    <row r="799" spans="1:9" x14ac:dyDescent="0.3">
      <c r="A799">
        <v>796</v>
      </c>
      <c r="B799" t="s">
        <v>1559</v>
      </c>
      <c r="C799" t="s">
        <v>1560</v>
      </c>
      <c r="D799" t="str">
        <f t="shared" si="24"/>
        <v>796. V10605</v>
      </c>
      <c r="E799" s="5" t="str">
        <f t="shared" ca="1" si="25"/>
        <v>Chi nhánh Công ty TNHH Du lịch Trần Việt</v>
      </c>
      <c r="F799" t="str">
        <f>IFERROR(VLOOKUP(Table1[[#This Row],[Tên đối tượng]],'DANH MỤC ĐỐI TƯỢNG'!A:E,5,0),"")</f>
        <v>Số 9, Đào Duy Anh, Phường Phương Liên, Quận Đống Đa, TP Hà Nội, VN</v>
      </c>
      <c r="G799">
        <f>_xlfn.IFNA(VLOOKUP(Table1[[#This Row],[Tên đối tượng]],'DANH MỤC ĐỐI TƯỢNG'!A:F,6,0),"")</f>
        <v>0</v>
      </c>
      <c r="H799" t="str">
        <f>_xlfn.IFNA(VLOOKUP(Table1[[#This Row],[Tên đối tượng]],'DANH MỤC ĐỐI TƯỢNG'!A:I,9,0),"")</f>
        <v>Ngân hàng TMCP Việt Nam Thịnh Vượng - CN Hội Sở</v>
      </c>
      <c r="I799" t="str">
        <f>_xlfn.IFNA(VLOOKUP(Table1[[#This Row],[Tên đối tượng]],'DANH MỤC ĐỐI TƯỢNG'!A:J,10,0),"")</f>
        <v>191777603</v>
      </c>
    </row>
    <row r="800" spans="1:9" x14ac:dyDescent="0.3">
      <c r="A800">
        <v>797</v>
      </c>
      <c r="B800" t="s">
        <v>1561</v>
      </c>
      <c r="C800" t="s">
        <v>1562</v>
      </c>
      <c r="D800" t="str">
        <f t="shared" si="24"/>
        <v>797. V4064</v>
      </c>
      <c r="E800" s="5" t="str">
        <f t="shared" ca="1" si="25"/>
        <v>Công ty Cổ phần TS24</v>
      </c>
      <c r="F800" t="str">
        <f>IFERROR(VLOOKUP(Table1[[#This Row],[Tên đối tượng]],'DANH MỤC ĐỐI TƯỢNG'!A:E,5,0),"")</f>
        <v>285/94B Cách Mạng Tháng 8, Phường 12, Quận 3, Tp. HCM</v>
      </c>
      <c r="G800" t="str">
        <f>_xlfn.IFNA(VLOOKUP(Table1[[#This Row],[Tên đối tượng]],'DANH MỤC ĐỐI TƯỢNG'!A:F,6,0),"")</f>
        <v>0309478306</v>
      </c>
      <c r="H800" t="str">
        <f>_xlfn.IFNA(VLOOKUP(Table1[[#This Row],[Tên đối tượng]],'DANH MỤC ĐỐI TƯỢNG'!A:I,9,0),"")</f>
        <v>Đông Á, chi nhánh Quận 3-Tp Hồ Chí Minh</v>
      </c>
      <c r="I800" t="str">
        <f>_xlfn.IFNA(VLOOKUP(Table1[[#This Row],[Tên đối tượng]],'DANH MỤC ĐỐI TƯỢNG'!A:J,10,0),"")</f>
        <v>005044240002</v>
      </c>
    </row>
    <row r="801" spans="1:9" x14ac:dyDescent="0.3">
      <c r="A801">
        <v>798</v>
      </c>
      <c r="B801" t="s">
        <v>1563</v>
      </c>
      <c r="C801" t="s">
        <v>1564</v>
      </c>
      <c r="D801" t="str">
        <f t="shared" si="24"/>
        <v>798. V20196</v>
      </c>
      <c r="E801" s="5" t="str">
        <f t="shared" ca="1" si="25"/>
        <v>ENEOS Materials Corporation</v>
      </c>
      <c r="F801" t="str">
        <f>IFERROR(VLOOKUP(Table1[[#This Row],[Tên đối tượng]],'DANH MỤC ĐỐI TƯỢNG'!A:E,5,0),"")</f>
        <v>1-5-2, Higashi-Shinbashi, Minato-ku, Tokyo 105-7109, Japan</v>
      </c>
      <c r="G801">
        <f>_xlfn.IFNA(VLOOKUP(Table1[[#This Row],[Tên đối tượng]],'DANH MỤC ĐỐI TƯỢNG'!A:F,6,0),"")</f>
        <v>0</v>
      </c>
      <c r="H801" t="str">
        <f>_xlfn.IFNA(VLOOKUP(Table1[[#This Row],[Tên đối tượng]],'DANH MỤC ĐỐI TƯỢNG'!A:I,9,0),"")</f>
        <v>Mizuho bank Ltd - Head office</v>
      </c>
      <c r="I801" t="str">
        <f>_xlfn.IFNA(VLOOKUP(Table1[[#This Row],[Tên đối tượng]],'DANH MỤC ĐỐI TƯỢNG'!A:J,10,0),"")</f>
        <v>100-5482603</v>
      </c>
    </row>
    <row r="802" spans="1:9" x14ac:dyDescent="0.3">
      <c r="A802">
        <v>799</v>
      </c>
      <c r="B802" t="s">
        <v>1565</v>
      </c>
      <c r="C802" t="s">
        <v>1566</v>
      </c>
      <c r="D802" t="str">
        <f t="shared" si="24"/>
        <v>799. V10598</v>
      </c>
      <c r="E802" s="5" t="str">
        <f t="shared" ca="1" si="25"/>
        <v>Công ty TNHH thương mại điện cơ Tân Tiến</v>
      </c>
      <c r="F802" t="str">
        <f>IFERROR(VLOOKUP(Table1[[#This Row],[Tên đối tượng]],'DANH MỤC ĐỐI TƯỢNG'!A:E,5,0),"")</f>
        <v>Thôn Khúc Giản (tại nhà ông Lương Văn Lịch), Xã An Tiến, Huyện An Lão, Hải phòng</v>
      </c>
      <c r="G802">
        <f>_xlfn.IFNA(VLOOKUP(Table1[[#This Row],[Tên đối tượng]],'DANH MỤC ĐỐI TƯỢNG'!A:F,6,0),"")</f>
        <v>0</v>
      </c>
      <c r="H802" t="str">
        <f>_xlfn.IFNA(VLOOKUP(Table1[[#This Row],[Tên đối tượng]],'DANH MỤC ĐỐI TƯỢNG'!A:I,9,0),"")</f>
        <v>Vietcombank - CN Hải Phòng</v>
      </c>
      <c r="I802" t="str">
        <f>_xlfn.IFNA(VLOOKUP(Table1[[#This Row],[Tên đối tượng]],'DANH MỤC ĐỐI TƯỢNG'!A:J,10,0),"")</f>
        <v>1018520182</v>
      </c>
    </row>
    <row r="803" spans="1:9" x14ac:dyDescent="0.3">
      <c r="A803">
        <v>800</v>
      </c>
      <c r="B803" t="s">
        <v>1567</v>
      </c>
      <c r="C803" t="s">
        <v>1568</v>
      </c>
      <c r="D803" t="str">
        <f t="shared" si="24"/>
        <v>800. V20178</v>
      </c>
      <c r="E803" s="5" t="str">
        <f t="shared" ca="1" si="25"/>
        <v>Mitsubishi Heavy Industries Machinery System, Ltd.</v>
      </c>
      <c r="F803" t="str">
        <f>IFERROR(VLOOKUP(Table1[[#This Row],[Tên đối tượng]],'DANH MỤC ĐỐI TƯỢNG'!A:E,5,0),"")</f>
        <v>1-1 Itosakiminami, 1- chome, Mihara City, Hiroshima, 729-0393, Japan</v>
      </c>
      <c r="G803">
        <f>_xlfn.IFNA(VLOOKUP(Table1[[#This Row],[Tên đối tượng]],'DANH MỤC ĐỐI TƯỢNG'!A:F,6,0),"")</f>
        <v>0</v>
      </c>
      <c r="H803" t="str">
        <f>_xlfn.IFNA(VLOOKUP(Table1[[#This Row],[Tên đối tượng]],'DANH MỤC ĐỐI TƯỢNG'!A:I,9,0),"")</f>
        <v>MUFG Bank, Ltd Kobe branch</v>
      </c>
      <c r="I803" t="str">
        <f>_xlfn.IFNA(VLOOKUP(Table1[[#This Row],[Tên đối tượng]],'DANH MỤC ĐỐI TƯỢNG'!A:J,10,0),"")</f>
        <v>0622651</v>
      </c>
    </row>
    <row r="804" spans="1:9" x14ac:dyDescent="0.3">
      <c r="A804">
        <v>801</v>
      </c>
      <c r="B804" t="s">
        <v>1569</v>
      </c>
      <c r="C804" t="s">
        <v>1570</v>
      </c>
      <c r="D804" t="str">
        <f t="shared" si="24"/>
        <v>801. V4118C0</v>
      </c>
      <c r="E804" s="5" t="str">
        <f t="shared" ca="1" si="25"/>
        <v>Nguyễn Văn Đông</v>
      </c>
      <c r="F804" t="str">
        <f>IFERROR(VLOOKUP(Table1[[#This Row],[Tên đối tượng]],'DANH MỤC ĐỐI TƯỢNG'!A:E,5,0),"")</f>
        <v>Xã Minh Tân, Nghĩa Lộ, Cát Hải, TP Hải Phòng</v>
      </c>
      <c r="G804">
        <f>_xlfn.IFNA(VLOOKUP(Table1[[#This Row],[Tên đối tượng]],'DANH MỤC ĐỐI TƯỢNG'!A:F,6,0),"")</f>
        <v>0</v>
      </c>
      <c r="H804" t="str">
        <f>_xlfn.IFNA(VLOOKUP(Table1[[#This Row],[Tên đối tượng]],'DANH MỤC ĐỐI TƯỢNG'!A:I,9,0),"")</f>
        <v>Vietcombank - PGD Lê Hồng Phong - CN Hải Phòng</v>
      </c>
      <c r="I804" t="str">
        <f>_xlfn.IFNA(VLOOKUP(Table1[[#This Row],[Tên đối tượng]],'DANH MỤC ĐỐI TƯỢNG'!A:J,10,0),"")</f>
        <v>1020377389</v>
      </c>
    </row>
    <row r="805" spans="1:9" x14ac:dyDescent="0.3">
      <c r="A805">
        <v>802</v>
      </c>
      <c r="B805" t="s">
        <v>1571</v>
      </c>
      <c r="C805" t="s">
        <v>1572</v>
      </c>
      <c r="D805" t="str">
        <f t="shared" si="24"/>
        <v>802. V4119C0</v>
      </c>
      <c r="E805" s="5" t="str">
        <f t="shared" ca="1" si="25"/>
        <v>Bùi Thị Lương</v>
      </c>
      <c r="F805" t="str">
        <f>IFERROR(VLOOKUP(Table1[[#This Row],[Tên đối tượng]],'DANH MỤC ĐỐI TƯỢNG'!A:E,5,0),"")</f>
        <v>Cụm 3 Hòa Hy, Thị Trấn Cát Hải, Huyện Cát Hải, TP Hải Phòng</v>
      </c>
      <c r="G805">
        <f>_xlfn.IFNA(VLOOKUP(Table1[[#This Row],[Tên đối tượng]],'DANH MỤC ĐỐI TƯỢNG'!A:F,6,0),"")</f>
        <v>0</v>
      </c>
      <c r="H805" t="str">
        <f>_xlfn.IFNA(VLOOKUP(Table1[[#This Row],[Tên đối tượng]],'DANH MỤC ĐỐI TƯỢNG'!A:I,9,0),"")</f>
        <v>Vietcombank - PGD Lê Hồng Phong - CN Hải Phòng</v>
      </c>
      <c r="I805" t="str">
        <f>_xlfn.IFNA(VLOOKUP(Table1[[#This Row],[Tên đối tượng]],'DANH MỤC ĐỐI TƯỢNG'!A:J,10,0),"")</f>
        <v>1020949577</v>
      </c>
    </row>
    <row r="806" spans="1:9" x14ac:dyDescent="0.3">
      <c r="A806">
        <v>803</v>
      </c>
      <c r="B806" t="s">
        <v>1573</v>
      </c>
      <c r="C806" t="s">
        <v>1574</v>
      </c>
      <c r="D806" t="str">
        <f t="shared" si="24"/>
        <v>803. V10614</v>
      </c>
      <c r="E806" s="5" t="str">
        <f t="shared" ca="1" si="25"/>
        <v>Khách sạn Mường Thanh Hà Nội - CN Công ty CP Tập đoàn Mường Thanh</v>
      </c>
      <c r="F806" t="str">
        <f>IFERROR(VLOOKUP(Table1[[#This Row],[Tên đối tượng]],'DANH MỤC ĐỐI TƯỢNG'!A:E,5,0),"")</f>
        <v>Lô CC2, Bắc Linh Đàm, Phường Đại Kim, Quận Hoàng Mai, TP Hà Nội</v>
      </c>
      <c r="G806">
        <f>_xlfn.IFNA(VLOOKUP(Table1[[#This Row],[Tên đối tượng]],'DANH MỤC ĐỐI TƯỢNG'!A:F,6,0),"")</f>
        <v>0</v>
      </c>
      <c r="H806" t="str">
        <f>_xlfn.IFNA(VLOOKUP(Table1[[#This Row],[Tên đối tượng]],'DANH MỤC ĐỐI TƯỢNG'!A:I,9,0),"")</f>
        <v>Ngân hàng TMCP Đầu tư và phát triển VN - CN Nam Hà Nội</v>
      </c>
      <c r="I806" t="str">
        <f>_xlfn.IFNA(VLOOKUP(Table1[[#This Row],[Tên đối tượng]],'DANH MỤC ĐỐI TƯỢNG'!A:J,10,0),"")</f>
        <v>21310000364132</v>
      </c>
    </row>
    <row r="807" spans="1:9" x14ac:dyDescent="0.3">
      <c r="A807">
        <v>804</v>
      </c>
      <c r="B807" t="s">
        <v>1575</v>
      </c>
      <c r="C807" t="s">
        <v>1576</v>
      </c>
      <c r="D807" t="str">
        <f t="shared" si="24"/>
        <v>804. V10607</v>
      </c>
      <c r="E807" s="5" t="str">
        <f t="shared" ca="1" si="25"/>
        <v>Công Ty Cổ Phần Quốc Tế Thăng Long P&amp;T</v>
      </c>
      <c r="F807" t="str">
        <f>IFERROR(VLOOKUP(Table1[[#This Row],[Tên đối tượng]],'DANH MỤC ĐỐI TƯỢNG'!A:E,5,0),"")</f>
        <v>Số 23, ngách 405/17 đường Ngọc Hồi, thị trấn Văn Điển, huyện Thanh Trì, thành phố Hà Nội, Việt Nam</v>
      </c>
      <c r="G807">
        <f>_xlfn.IFNA(VLOOKUP(Table1[[#This Row],[Tên đối tượng]],'DANH MỤC ĐỐI TƯỢNG'!A:F,6,0),"")</f>
        <v>0</v>
      </c>
      <c r="H807" t="str">
        <f>_xlfn.IFNA(VLOOKUP(Table1[[#This Row],[Tên đối tượng]],'DANH MỤC ĐỐI TƯỢNG'!A:I,9,0),"")</f>
        <v>Ngân hàng thương mại cổ phần Á Châu - Chi nhánh Hà Nội</v>
      </c>
      <c r="I807" t="str">
        <f>_xlfn.IFNA(VLOOKUP(Table1[[#This Row],[Tên đối tượng]],'DANH MỤC ĐỐI TƯỢNG'!A:J,10,0),"")</f>
        <v>22886688888</v>
      </c>
    </row>
    <row r="808" spans="1:9" x14ac:dyDescent="0.3">
      <c r="A808">
        <v>805</v>
      </c>
      <c r="B808" t="s">
        <v>1577</v>
      </c>
      <c r="C808" t="s">
        <v>1578</v>
      </c>
      <c r="D808" t="str">
        <f t="shared" si="24"/>
        <v>805. V10599</v>
      </c>
      <c r="E808" s="5" t="str">
        <f t="shared" ca="1" si="25"/>
        <v>Công ty Cổ phần Asin Việt Nam</v>
      </c>
      <c r="F808" t="str">
        <f>IFERROR(VLOOKUP(Table1[[#This Row],[Tên đối tượng]],'DANH MỤC ĐỐI TƯỢNG'!A:E,5,0),"")</f>
        <v>Số 123, ngõ 460, đường Khương Đình, phường Hạ Đình, quận Thanh Xuân, thành phố Hà Nội, Việt Nam</v>
      </c>
      <c r="G808">
        <f>_xlfn.IFNA(VLOOKUP(Table1[[#This Row],[Tên đối tượng]],'DANH MỤC ĐỐI TƯỢNG'!A:F,6,0),"")</f>
        <v>0</v>
      </c>
      <c r="H808" t="str">
        <f>_xlfn.IFNA(VLOOKUP(Table1[[#This Row],[Tên đối tượng]],'DANH MỤC ĐỐI TƯỢNG'!A:I,9,0),"")</f>
        <v>Ngân hàng TMCP Á Châu -  PGD Thanh Xuân</v>
      </c>
      <c r="I808" t="str">
        <f>_xlfn.IFNA(VLOOKUP(Table1[[#This Row],[Tên đối tượng]],'DANH MỤC ĐỐI TƯỢNG'!A:J,10,0),"")</f>
        <v>163663459</v>
      </c>
    </row>
    <row r="809" spans="1:9" x14ac:dyDescent="0.3">
      <c r="A809">
        <v>806</v>
      </c>
      <c r="B809" t="s">
        <v>1579</v>
      </c>
      <c r="C809" t="s">
        <v>1580</v>
      </c>
      <c r="D809" t="str">
        <f t="shared" si="24"/>
        <v>806. V10601</v>
      </c>
      <c r="E809" s="5" t="str">
        <f t="shared" ca="1" si="25"/>
        <v>Công ty CP sản xuất và dịch vụ thương mại Quốc Tuấn</v>
      </c>
      <c r="F809" t="str">
        <f>IFERROR(VLOOKUP(Table1[[#This Row],[Tên đối tượng]],'DANH MỤC ĐỐI TƯỢNG'!A:E,5,0),"")</f>
        <v/>
      </c>
      <c r="G809" t="str">
        <f>_xlfn.IFNA(VLOOKUP(Table1[[#This Row],[Tên đối tượng]],'DANH MỤC ĐỐI TƯỢNG'!A:F,6,0),"")</f>
        <v/>
      </c>
      <c r="H809" t="str">
        <f>_xlfn.IFNA(VLOOKUP(Table1[[#This Row],[Tên đối tượng]],'DANH MỤC ĐỐI TƯỢNG'!A:I,9,0),"")</f>
        <v/>
      </c>
      <c r="I809" t="str">
        <f>_xlfn.IFNA(VLOOKUP(Table1[[#This Row],[Tên đối tượng]],'DANH MỤC ĐỐI TƯỢNG'!A:J,10,0),"")</f>
        <v/>
      </c>
    </row>
    <row r="810" spans="1:9" x14ac:dyDescent="0.3">
      <c r="A810">
        <v>807</v>
      </c>
      <c r="B810" t="s">
        <v>1581</v>
      </c>
      <c r="C810" t="s">
        <v>1582</v>
      </c>
      <c r="D810" t="str">
        <f t="shared" si="24"/>
        <v>807. V10604</v>
      </c>
      <c r="E810" s="5" t="str">
        <f t="shared" ca="1" si="25"/>
        <v>Công ty cổ phần kỹ thuật xây dựng và thương mại thiết bị phòng cháy chữa cháy Đại Việt</v>
      </c>
      <c r="F810" t="str">
        <f>IFERROR(VLOOKUP(Table1[[#This Row],[Tên đối tượng]],'DANH MỤC ĐỐI TƯỢNG'!A:E,5,0),"")</f>
        <v>Số 435 Lán Bè, P.Lam Sơn, Q.Lê Chân, TP.Hải Phòng</v>
      </c>
      <c r="G810">
        <f>_xlfn.IFNA(VLOOKUP(Table1[[#This Row],[Tên đối tượng]],'DANH MỤC ĐỐI TƯỢNG'!A:F,6,0),"")</f>
        <v>0</v>
      </c>
      <c r="H810" t="str">
        <f>_xlfn.IFNA(VLOOKUP(Table1[[#This Row],[Tên đối tượng]],'DANH MỤC ĐỐI TƯỢNG'!A:I,9,0),"")</f>
        <v>Ngân hàng Công thương Hải Phòng</v>
      </c>
      <c r="I810" t="str">
        <f>_xlfn.IFNA(VLOOKUP(Table1[[#This Row],[Tên đối tượng]],'DANH MỤC ĐỐI TƯỢNG'!A:J,10,0),"")</f>
        <v>112002686573</v>
      </c>
    </row>
    <row r="811" spans="1:9" x14ac:dyDescent="0.3">
      <c r="A811">
        <v>808</v>
      </c>
      <c r="B811" t="s">
        <v>1583</v>
      </c>
      <c r="C811" t="s">
        <v>1584</v>
      </c>
      <c r="D811" t="str">
        <f t="shared" si="24"/>
        <v>808. V10620</v>
      </c>
      <c r="E811" s="5" t="str">
        <f t="shared" ca="1" si="25"/>
        <v>Trung tâm kỹ thuật - Dữ liệu, Thông tin tài nguyên và môi trường</v>
      </c>
      <c r="F811" t="str">
        <f>IFERROR(VLOOKUP(Table1[[#This Row],[Tên đối tượng]],'DANH MỤC ĐỐI TƯỢNG'!A:E,5,0),"")</f>
        <v>Số 30, Lý Tự Trọng, Phường Hoàng Văn Thụ, Hồng Bàng, Hải Phòng</v>
      </c>
      <c r="G811">
        <f>_xlfn.IFNA(VLOOKUP(Table1[[#This Row],[Tên đối tượng]],'DANH MỤC ĐỐI TƯỢNG'!A:F,6,0),"")</f>
        <v>0</v>
      </c>
      <c r="H811" t="str">
        <f>_xlfn.IFNA(VLOOKUP(Table1[[#This Row],[Tên đối tượng]],'DANH MỤC ĐỐI TƯỢNG'!A:I,9,0),"")</f>
        <v>Ngân hàng Techcombank - CN Hải Phòng</v>
      </c>
      <c r="I811" t="str">
        <f>_xlfn.IFNA(VLOOKUP(Table1[[#This Row],[Tên đối tượng]],'DANH MỤC ĐỐI TƯỢNG'!A:J,10,0),"")</f>
        <v>10922288763014</v>
      </c>
    </row>
    <row r="812" spans="1:9" x14ac:dyDescent="0.3">
      <c r="A812">
        <v>809</v>
      </c>
      <c r="B812" t="s">
        <v>1585</v>
      </c>
      <c r="C812" t="s">
        <v>1586</v>
      </c>
      <c r="D812" t="str">
        <f t="shared" si="24"/>
        <v>809. V10612</v>
      </c>
      <c r="E812" s="5" t="str">
        <f t="shared" ca="1" si="25"/>
        <v>Công ty TNHH thương mại Hiệp Minh Phát</v>
      </c>
      <c r="F812" t="str">
        <f>IFERROR(VLOOKUP(Table1[[#This Row],[Tên đối tượng]],'DANH MỤC ĐỐI TƯỢNG'!A:E,5,0),"")</f>
        <v>7/3 Đồng Tiến, Phường Đông Hưng Thuận, Quận 12, Thành phố Hồ Chí Minh</v>
      </c>
      <c r="G812">
        <f>_xlfn.IFNA(VLOOKUP(Table1[[#This Row],[Tên đối tượng]],'DANH MỤC ĐỐI TƯỢNG'!A:F,6,0),"")</f>
        <v>0</v>
      </c>
      <c r="H812" t="str">
        <f>_xlfn.IFNA(VLOOKUP(Table1[[#This Row],[Tên đối tượng]],'DANH MỤC ĐỐI TƯỢNG'!A:I,9,0),"")</f>
        <v>Eximbank - CN Quận 10</v>
      </c>
      <c r="I812" t="str">
        <f>_xlfn.IFNA(VLOOKUP(Table1[[#This Row],[Tên đối tượng]],'DANH MỤC ĐỐI TƯỢNG'!A:J,10,0),"")</f>
        <v>101214851000589</v>
      </c>
    </row>
    <row r="813" spans="1:9" x14ac:dyDescent="0.3">
      <c r="A813">
        <v>810</v>
      </c>
      <c r="B813" t="s">
        <v>1587</v>
      </c>
      <c r="C813" t="s">
        <v>1588</v>
      </c>
      <c r="D813" t="str">
        <f t="shared" si="24"/>
        <v>810. V10613</v>
      </c>
      <c r="E813" s="5" t="str">
        <f t="shared" ca="1" si="25"/>
        <v>Công ty cổ phần kiểm định huấn luyện an toàn Việt Nam</v>
      </c>
      <c r="F813" t="str">
        <f>IFERROR(VLOOKUP(Table1[[#This Row],[Tên đối tượng]],'DANH MỤC ĐỐI TƯỢNG'!A:E,5,0),"")</f>
        <v>Số 3 ngõ 271/1/26 Bùi Xương Trạch, phường Khương Đình, quận Thanh Xuân, thành phố Hà Nội, Việt Nam</v>
      </c>
      <c r="G813">
        <f>_xlfn.IFNA(VLOOKUP(Table1[[#This Row],[Tên đối tượng]],'DANH MỤC ĐỐI TƯỢNG'!A:F,6,0),"")</f>
        <v>0</v>
      </c>
      <c r="H813" t="str">
        <f>_xlfn.IFNA(VLOOKUP(Table1[[#This Row],[Tên đối tượng]],'DANH MỤC ĐỐI TƯỢNG'!A:I,9,0),"")</f>
        <v>Ngân hàng Thương mại cổ phần Kỹ thương Việt Nam-CN Hà Thành</v>
      </c>
      <c r="I813" t="str">
        <f>_xlfn.IFNA(VLOOKUP(Table1[[#This Row],[Tên đối tượng]],'DANH MỤC ĐỐI TƯỢNG'!A:J,10,0),"")</f>
        <v>19036190799013</v>
      </c>
    </row>
    <row r="814" spans="1:9" x14ac:dyDescent="0.3">
      <c r="A814">
        <v>811</v>
      </c>
      <c r="B814" t="s">
        <v>1589</v>
      </c>
      <c r="C814" t="s">
        <v>1590</v>
      </c>
      <c r="D814" t="str">
        <f t="shared" si="24"/>
        <v>811. V10616</v>
      </c>
      <c r="E814" s="5" t="str">
        <f t="shared" ca="1" si="25"/>
        <v>Bệnh viện Kiến An</v>
      </c>
      <c r="F814" t="str">
        <f>IFERROR(VLOOKUP(Table1[[#This Row],[Tên đối tượng]],'DANH MỤC ĐỐI TƯỢNG'!A:E,5,0),"")</f>
        <v>Số 35 Trần Tất Văn, Quận Kiến An, Hải Phòng</v>
      </c>
      <c r="G814">
        <f>_xlfn.IFNA(VLOOKUP(Table1[[#This Row],[Tên đối tượng]],'DANH MỤC ĐỐI TƯỢNG'!A:F,6,0),"")</f>
        <v>0</v>
      </c>
      <c r="H814" t="str">
        <f>_xlfn.IFNA(VLOOKUP(Table1[[#This Row],[Tên đối tượng]],'DANH MỤC ĐỐI TƯỢNG'!A:I,9,0),"")</f>
        <v>Vietcombank - CN Tô Hiệu, Hải Phòng</v>
      </c>
      <c r="I814" t="str">
        <f>_xlfn.IFNA(VLOOKUP(Table1[[#This Row],[Tên đối tượng]],'DANH MỤC ĐỐI TƯỢNG'!A:J,10,0),"")</f>
        <v>118000088385</v>
      </c>
    </row>
    <row r="815" spans="1:9" x14ac:dyDescent="0.3">
      <c r="A815">
        <v>812</v>
      </c>
      <c r="B815" t="s">
        <v>1591</v>
      </c>
      <c r="C815" t="s">
        <v>1592</v>
      </c>
      <c r="D815" t="str">
        <f t="shared" si="24"/>
        <v>812. V20193</v>
      </c>
      <c r="E815" s="5" t="str">
        <f t="shared" ca="1" si="25"/>
        <v>Sanko Industrial Solutions Co., Ltd</v>
      </c>
      <c r="F815" t="str">
        <f>IFERROR(VLOOKUP(Table1[[#This Row],[Tên đối tượng]],'DANH MỤC ĐỐI TƯỢNG'!A:E,5,0),"")</f>
        <v>333 Lao Peng Nguan Tower 1 12th Floor C1, Soi Chuaypuang, Vibhavadee-Rangsit Road, Chompol, Chatuchak, Bangkok 10900, Thailand</v>
      </c>
      <c r="G815">
        <f>_xlfn.IFNA(VLOOKUP(Table1[[#This Row],[Tên đối tượng]],'DANH MỤC ĐỐI TƯỢNG'!A:F,6,0),"")</f>
        <v>0</v>
      </c>
      <c r="H815" t="str">
        <f>_xlfn.IFNA(VLOOKUP(Table1[[#This Row],[Tên đối tượng]],'DANH MỤC ĐỐI TƯỢNG'!A:I,9,0),"")</f>
        <v>Mizuho bank, Ltd-Bangkok Branch</v>
      </c>
      <c r="I815" t="str">
        <f>_xlfn.IFNA(VLOOKUP(Table1[[#This Row],[Tên đối tượng]],'DANH MỤC ĐỐI TƯỢNG'!A:J,10,0),"")</f>
        <v>H15764153850</v>
      </c>
    </row>
    <row r="816" spans="1:9" x14ac:dyDescent="0.3">
      <c r="A816">
        <v>813</v>
      </c>
      <c r="B816" t="s">
        <v>1593</v>
      </c>
      <c r="C816" t="s">
        <v>1594</v>
      </c>
      <c r="D816" t="str">
        <f t="shared" si="24"/>
        <v>813. V10429</v>
      </c>
      <c r="E816" s="5" t="str">
        <f t="shared" ca="1" si="25"/>
        <v>Công ty cổ phần BKAV</v>
      </c>
      <c r="F816" t="str">
        <f>IFERROR(VLOOKUP(Table1[[#This Row],[Tên đối tượng]],'DANH MỤC ĐỐI TƯỢNG'!A:E,5,0),"")</f>
        <v>Khu ĐT Yên Hòa,Tầng 2, tòa nhà HH1, P. Yên Hòa, Q. Cầu Giấy,TP Hà Nội , Việt Nam</v>
      </c>
      <c r="G816">
        <f>_xlfn.IFNA(VLOOKUP(Table1[[#This Row],[Tên đối tượng]],'DANH MỤC ĐỐI TƯỢNG'!A:F,6,0),"")</f>
        <v>0</v>
      </c>
      <c r="H816" t="str">
        <f>_xlfn.IFNA(VLOOKUP(Table1[[#This Row],[Tên đối tượng]],'DANH MỤC ĐỐI TƯỢNG'!A:I,9,0),"")</f>
        <v>Ngân hàng TMCP Kỹ Thương - Việt Nam - PGD Trần Thái Tông</v>
      </c>
      <c r="I816" t="str">
        <f>_xlfn.IFNA(VLOOKUP(Table1[[#This Row],[Tên đối tượng]],'DANH MỤC ĐỐI TƯỢNG'!A:J,10,0),"")</f>
        <v>14023703220013</v>
      </c>
    </row>
    <row r="817" spans="1:9" x14ac:dyDescent="0.3">
      <c r="A817">
        <v>814</v>
      </c>
      <c r="B817" t="s">
        <v>1595</v>
      </c>
      <c r="C817" t="s">
        <v>1596</v>
      </c>
      <c r="D817" t="str">
        <f t="shared" si="24"/>
        <v>814. V4120C0</v>
      </c>
      <c r="E817" s="5" t="str">
        <f t="shared" ca="1" si="25"/>
        <v>Đinh Thị Luận</v>
      </c>
      <c r="F817" t="str">
        <f>IFERROR(VLOOKUP(Table1[[#This Row],[Tên đối tượng]],'DANH MỤC ĐỐI TƯỢNG'!A:E,5,0),"")</f>
        <v>Cụm 3 Hòa Hy, Thị Trấn Cát Hải, Huyện Cát Hải, TP Hải Phòng</v>
      </c>
      <c r="G817">
        <f>_xlfn.IFNA(VLOOKUP(Table1[[#This Row],[Tên đối tượng]],'DANH MỤC ĐỐI TƯỢNG'!A:F,6,0),"")</f>
        <v>0</v>
      </c>
      <c r="H817" t="str">
        <f>_xlfn.IFNA(VLOOKUP(Table1[[#This Row],[Tên đối tượng]],'DANH MỤC ĐỐI TƯỢNG'!A:I,9,0),"")</f>
        <v>Vietcombank - PGD Lê Hồng Phong - CN Hải Phòng</v>
      </c>
      <c r="I817" t="str">
        <f>_xlfn.IFNA(VLOOKUP(Table1[[#This Row],[Tên đối tượng]],'DANH MỤC ĐỐI TƯỢNG'!A:J,10,0),"")</f>
        <v>1021356385</v>
      </c>
    </row>
    <row r="818" spans="1:9" x14ac:dyDescent="0.3">
      <c r="A818">
        <v>815</v>
      </c>
      <c r="B818" t="s">
        <v>1597</v>
      </c>
      <c r="C818" t="s">
        <v>1598</v>
      </c>
      <c r="D818" t="str">
        <f t="shared" si="24"/>
        <v>815. V10609</v>
      </c>
      <c r="E818" s="5" t="str">
        <f t="shared" ca="1" si="25"/>
        <v>Công ty trách nhiệm hữu hạn ISN-JUTEC</v>
      </c>
      <c r="F818" t="str">
        <f>IFERROR(VLOOKUP(Table1[[#This Row],[Tên đối tượng]],'DANH MỤC ĐỐI TƯỢNG'!A:E,5,0),"")</f>
        <v>Tầng 9, Tòa nhà VIT, số 519 Kim Mã, Phường Ngọc Khánh, Quận Ba Đình, Thành phố Hà Nội</v>
      </c>
      <c r="G818">
        <f>_xlfn.IFNA(VLOOKUP(Table1[[#This Row],[Tên đối tượng]],'DANH MỤC ĐỐI TƯỢNG'!A:F,6,0),"")</f>
        <v>0</v>
      </c>
      <c r="H818" t="str">
        <f>_xlfn.IFNA(VLOOKUP(Table1[[#This Row],[Tên đối tượng]],'DANH MỤC ĐỐI TƯỢNG'!A:I,9,0),"")</f>
        <v>Ngân hàng TMCP Ngoại thương Việt nam - Chi nhánh Hoàn Kiếm</v>
      </c>
      <c r="I818" t="str">
        <f>_xlfn.IFNA(VLOOKUP(Table1[[#This Row],[Tên đối tượng]],'DANH MỤC ĐỐI TƯỢNG'!A:J,10,0),"")</f>
        <v>0301000411181</v>
      </c>
    </row>
    <row r="819" spans="1:9" x14ac:dyDescent="0.3">
      <c r="A819">
        <v>816</v>
      </c>
      <c r="B819" t="s">
        <v>1599</v>
      </c>
      <c r="C819" t="s">
        <v>1600</v>
      </c>
      <c r="D819" t="str">
        <f t="shared" si="24"/>
        <v>816. V10618</v>
      </c>
      <c r="E819" s="5" t="str">
        <f t="shared" ca="1" si="25"/>
        <v>Công ty TNHH Chuo Việt Nam</v>
      </c>
      <c r="F819" t="str">
        <f>IFERROR(VLOOKUP(Table1[[#This Row],[Tên đối tượng]],'DANH MỤC ĐỐI TƯỢNG'!A:E,5,0),"")</f>
        <v>Số 412, Khu HK10, dự án Waterfront city, Phường Vĩnh Niệm, Quận Lê Chân, TP Hải Phòng</v>
      </c>
      <c r="G819">
        <f>_xlfn.IFNA(VLOOKUP(Table1[[#This Row],[Tên đối tượng]],'DANH MỤC ĐỐI TƯỢNG'!A:F,6,0),"")</f>
        <v>0</v>
      </c>
      <c r="H819" t="str">
        <f>_xlfn.IFNA(VLOOKUP(Table1[[#This Row],[Tên đối tượng]],'DANH MỤC ĐỐI TƯỢNG'!A:I,9,0),"")</f>
        <v>Vietcombank - CN Hải Phòng</v>
      </c>
      <c r="I819" t="str">
        <f>_xlfn.IFNA(VLOOKUP(Table1[[#This Row],[Tên đối tượng]],'DANH MỤC ĐỐI TƯỢNG'!A:J,10,0),"")</f>
        <v>0031000038888</v>
      </c>
    </row>
    <row r="820" spans="1:9" x14ac:dyDescent="0.3">
      <c r="A820">
        <v>817</v>
      </c>
      <c r="B820" t="s">
        <v>1601</v>
      </c>
      <c r="C820" t="s">
        <v>1602</v>
      </c>
      <c r="D820" t="str">
        <f t="shared" si="24"/>
        <v>817. V10626</v>
      </c>
      <c r="E820" s="5" t="str">
        <f t="shared" ca="1" si="25"/>
        <v>CÔNG TY CỔ PHẦN VI NA PHẠM</v>
      </c>
      <c r="F820" t="str">
        <f>IFERROR(VLOOKUP(Table1[[#This Row],[Tên đối tượng]],'DANH MỤC ĐỐI TƯỢNG'!A:E,5,0),"")</f>
        <v>Số 8/13/44, khu phố Chiêu Liêu, phường Tân Đông Hiệp, thành phố Dĩ An, tỉnh Bình Dương</v>
      </c>
      <c r="G820">
        <f>_xlfn.IFNA(VLOOKUP(Table1[[#This Row],[Tên đối tượng]],'DANH MỤC ĐỐI TƯỢNG'!A:F,6,0),"")</f>
        <v>0</v>
      </c>
      <c r="H820" t="str">
        <f>_xlfn.IFNA(VLOOKUP(Table1[[#This Row],[Tên đối tượng]],'DANH MỤC ĐỐI TƯỢNG'!A:I,9,0),"")</f>
        <v>Ngân hàng TMCP Á CHÂU-Chi nhánh Bình Dương</v>
      </c>
      <c r="I820" t="str">
        <f>_xlfn.IFNA(VLOOKUP(Table1[[#This Row],[Tên đối tượng]],'DANH MỤC ĐỐI TƯỢNG'!A:J,10,0),"")</f>
        <v>180102589</v>
      </c>
    </row>
    <row r="821" spans="1:9" x14ac:dyDescent="0.3">
      <c r="A821">
        <v>818</v>
      </c>
      <c r="B821" t="s">
        <v>1603</v>
      </c>
      <c r="C821" t="s">
        <v>1604</v>
      </c>
      <c r="D821" t="str">
        <f t="shared" si="24"/>
        <v>818. V10615</v>
      </c>
      <c r="E821" s="5" t="str">
        <f t="shared" ca="1" si="25"/>
        <v>Công ty TNHH thương mại - kỹ thuật công nghiệp Đen-ta</v>
      </c>
      <c r="F821" t="str">
        <f>IFERROR(VLOOKUP(Table1[[#This Row],[Tên đối tượng]],'DANH MỤC ĐỐI TƯỢNG'!A:E,5,0),"")</f>
        <v>64/22 Phổ Quang, phường 2, quận Tân Bình, TP Hồ Chí Minh, Việt Nam</v>
      </c>
      <c r="G821">
        <f>_xlfn.IFNA(VLOOKUP(Table1[[#This Row],[Tên đối tượng]],'DANH MỤC ĐỐI TƯỢNG'!A:F,6,0),"")</f>
        <v>0</v>
      </c>
      <c r="H821" t="str">
        <f>_xlfn.IFNA(VLOOKUP(Table1[[#This Row],[Tên đối tượng]],'DANH MỤC ĐỐI TƯỢNG'!A:I,9,0),"")</f>
        <v>Ngân hàng TMCP ngoại thương Việt Nam</v>
      </c>
      <c r="I821" t="str">
        <f>_xlfn.IFNA(VLOOKUP(Table1[[#This Row],[Tên đối tượng]],'DANH MỤC ĐỐI TƯỢNG'!A:J,10,0),"")</f>
        <v>1116666789</v>
      </c>
    </row>
    <row r="822" spans="1:9" x14ac:dyDescent="0.3">
      <c r="A822">
        <v>819</v>
      </c>
      <c r="B822" t="s">
        <v>1605</v>
      </c>
      <c r="C822" t="s">
        <v>1606</v>
      </c>
      <c r="D822" t="str">
        <f t="shared" si="24"/>
        <v>819. V10611</v>
      </c>
      <c r="E822" s="5" t="str">
        <f t="shared" ca="1" si="25"/>
        <v>Công ty TNHH Thang Long Tech</v>
      </c>
      <c r="F822" t="str">
        <f>IFERROR(VLOOKUP(Table1[[#This Row],[Tên đối tượng]],'DANH MỤC ĐỐI TƯỢNG'!A:E,5,0),"")</f>
        <v>Số 25-26-27 khu đấu giá TT3, phường Việt Hưng, quận Long Biên, TP Hà Nội</v>
      </c>
      <c r="G822">
        <f>_xlfn.IFNA(VLOOKUP(Table1[[#This Row],[Tên đối tượng]],'DANH MỤC ĐỐI TƯỢNG'!A:F,6,0),"")</f>
        <v>0</v>
      </c>
      <c r="H822" t="str">
        <f>_xlfn.IFNA(VLOOKUP(Table1[[#This Row],[Tên đối tượng]],'DANH MỤC ĐỐI TƯỢNG'!A:I,9,0),"")</f>
        <v>Ngân hàng TMCP Ngoại thương Việt Nam</v>
      </c>
      <c r="I822" t="str">
        <f>_xlfn.IFNA(VLOOKUP(Table1[[#This Row],[Tên đối tượng]],'DANH MỤC ĐỐI TƯỢNG'!A:J,10,0),"")</f>
        <v>0011000715813</v>
      </c>
    </row>
    <row r="823" spans="1:9" x14ac:dyDescent="0.3">
      <c r="A823">
        <v>820</v>
      </c>
      <c r="B823" t="s">
        <v>1607</v>
      </c>
      <c r="C823" t="s">
        <v>1608</v>
      </c>
      <c r="D823" t="str">
        <f t="shared" si="24"/>
        <v>820. V10622</v>
      </c>
      <c r="E823" s="5" t="str">
        <f t="shared" ca="1" si="25"/>
        <v>Chi nhánh công ty TNHH thương mại và dịch vụ YSCM global tại Hà Nội</v>
      </c>
      <c r="F823" t="str">
        <f>IFERROR(VLOOKUP(Table1[[#This Row],[Tên đối tượng]],'DANH MỤC ĐỐI TƯỢNG'!A:E,5,0),"")</f>
        <v>Tầng 4 tòa nhà D'office, phố Thành Thái, tổ 28, phường Dịch Vọng, quận Cầu Giấy, TP Hà Nội, Việt Nam</v>
      </c>
      <c r="G823">
        <f>_xlfn.IFNA(VLOOKUP(Table1[[#This Row],[Tên đối tượng]],'DANH MỤC ĐỐI TƯỢNG'!A:F,6,0),"")</f>
        <v>0</v>
      </c>
      <c r="H823" t="str">
        <f>_xlfn.IFNA(VLOOKUP(Table1[[#This Row],[Tên đối tượng]],'DANH MỤC ĐỐI TƯỢNG'!A:I,9,0),"")</f>
        <v>Shinhan bank-chi nhánh Phạm Hùng</v>
      </c>
      <c r="I823" t="str">
        <f>_xlfn.IFNA(VLOOKUP(Table1[[#This Row],[Tên đối tượng]],'DANH MỤC ĐỐI TƯỢNG'!A:J,10,0),"")</f>
        <v>700005672311</v>
      </c>
    </row>
    <row r="824" spans="1:9" x14ac:dyDescent="0.3">
      <c r="A824">
        <v>821</v>
      </c>
      <c r="B824" t="s">
        <v>1609</v>
      </c>
      <c r="C824" t="s">
        <v>1610</v>
      </c>
      <c r="D824" t="str">
        <f t="shared" si="24"/>
        <v>821. V10625</v>
      </c>
      <c r="E824" s="5" t="str">
        <f t="shared" ca="1" si="25"/>
        <v>Công ty TNHH kỹ thuật ABA</v>
      </c>
      <c r="F824" t="str">
        <f>IFERROR(VLOOKUP(Table1[[#This Row],[Tên đối tượng]],'DANH MỤC ĐỐI TƯỢNG'!A:E,5,0),"")</f>
        <v>Nhà A2, ngõ 164 đường Nguyễn Văn Cừ, phường Bồ Đề, quận Long Biên, TP Hà Nội</v>
      </c>
      <c r="G824">
        <f>_xlfn.IFNA(VLOOKUP(Table1[[#This Row],[Tên đối tượng]],'DANH MỤC ĐỐI TƯỢNG'!A:F,6,0),"")</f>
        <v>0</v>
      </c>
      <c r="H824" t="str">
        <f>_xlfn.IFNA(VLOOKUP(Table1[[#This Row],[Tên đối tượng]],'DANH MỤC ĐỐI TƯỢNG'!A:I,9,0),"")</f>
        <v>Ngân hàng TMCP Sài Gòn Công Thương-Chi nhánh Hà Nội</v>
      </c>
      <c r="I824" t="str">
        <f>_xlfn.IFNA(VLOOKUP(Table1[[#This Row],[Tên đối tượng]],'DANH MỤC ĐỐI TƯỢNG'!A:J,10,0),"")</f>
        <v>700170406003018</v>
      </c>
    </row>
    <row r="825" spans="1:9" x14ac:dyDescent="0.3">
      <c r="A825">
        <v>822</v>
      </c>
      <c r="B825" t="s">
        <v>1611</v>
      </c>
      <c r="C825" t="s">
        <v>1612</v>
      </c>
      <c r="D825" t="str">
        <f t="shared" si="24"/>
        <v>822. V20191</v>
      </c>
      <c r="E825" s="5" t="str">
        <f t="shared" ca="1" si="25"/>
        <v>IHI Asia Pacific (Thailand) Co., Ltd</v>
      </c>
      <c r="F825" t="str">
        <f>IFERROR(VLOOKUP(Table1[[#This Row],[Tên đối tượng]],'DANH MỤC ĐỐI TƯỢNG'!A:E,5,0),"")</f>
        <v>No.6, O-NES Tower, 10th Floor, Soi Sukhumvit 6, Klongtoey, Klongtoey District, Bangkok 10110, Thailand</v>
      </c>
      <c r="G825">
        <f>_xlfn.IFNA(VLOOKUP(Table1[[#This Row],[Tên đối tượng]],'DANH MỤC ĐỐI TƯỢNG'!A:F,6,0),"")</f>
        <v>0</v>
      </c>
      <c r="H825" t="str">
        <f>_xlfn.IFNA(VLOOKUP(Table1[[#This Row],[Tên đối tượng]],'DANH MỤC ĐỐI TƯỢNG'!A:I,9,0),"")</f>
        <v>Mizuho bank, Ltd.-Bangkok branch</v>
      </c>
      <c r="I825" t="str">
        <f>_xlfn.IFNA(VLOOKUP(Table1[[#This Row],[Tên đối tượng]],'DANH MỤC ĐỐI TƯỢNG'!A:J,10,0),"")</f>
        <v>F15-764-916800</v>
      </c>
    </row>
    <row r="826" spans="1:9" x14ac:dyDescent="0.3">
      <c r="A826">
        <v>823</v>
      </c>
      <c r="B826" t="s">
        <v>1613</v>
      </c>
      <c r="C826" t="s">
        <v>1614</v>
      </c>
      <c r="D826" t="str">
        <f t="shared" si="24"/>
        <v>823. V10375</v>
      </c>
      <c r="E826" s="5" t="str">
        <f t="shared" ca="1" si="25"/>
        <v>CÔNG TY CỔ PHẦN CÔNG NGHỆ VÀ THIẾT BỊ CNC HÀ NỘI</v>
      </c>
      <c r="F826" t="str">
        <f>IFERROR(VLOOKUP(Table1[[#This Row],[Tên đối tượng]],'DANH MỤC ĐỐI TƯỢNG'!A:E,5,0),"")</f>
        <v>Lô 32/D21 khu đô thị mới Cầu Giấy, phường Dịch Vọng Hậu, quận Cầu Giấy, thành phố Hà Nội</v>
      </c>
      <c r="G826">
        <f>_xlfn.IFNA(VLOOKUP(Table1[[#This Row],[Tên đối tượng]],'DANH MỤC ĐỐI TƯỢNG'!A:F,6,0),"")</f>
        <v>0</v>
      </c>
      <c r="H826" t="str">
        <f>_xlfn.IFNA(VLOOKUP(Table1[[#This Row],[Tên đối tượng]],'DANH MỤC ĐỐI TƯỢNG'!A:I,9,0),"")</f>
        <v>Ngân hàng TMCP Ngoại thương Việt nam - Chi nhánh Thăng Long</v>
      </c>
      <c r="I826" t="str">
        <f>_xlfn.IFNA(VLOOKUP(Table1[[#This Row],[Tên đối tượng]],'DANH MỤC ĐỐI TƯỢNG'!A:J,10,0),"")</f>
        <v>0491000001228</v>
      </c>
    </row>
    <row r="827" spans="1:9" x14ac:dyDescent="0.3">
      <c r="A827">
        <v>824</v>
      </c>
      <c r="B827" t="s">
        <v>1615</v>
      </c>
      <c r="C827" t="s">
        <v>1616</v>
      </c>
      <c r="D827" t="str">
        <f t="shared" si="24"/>
        <v>824. V10603</v>
      </c>
      <c r="E827" s="5" t="str">
        <f t="shared" ca="1" si="25"/>
        <v>CÔNG TY TNHH GIẢI PHÁP NĂNG LƯỢNG THIÊN TRƯỜNG</v>
      </c>
      <c r="F827" t="str">
        <f>IFERROR(VLOOKUP(Table1[[#This Row],[Tên đối tượng]],'DANH MỤC ĐỐI TƯỢNG'!A:E,5,0),"")</f>
        <v>29/3 đường 15, khu phố 3, phường Hiệp Bình Phước, thành phố Thủ Đức, thành phố Hồ Chí Minh,Việt Nam</v>
      </c>
      <c r="G827">
        <f>_xlfn.IFNA(VLOOKUP(Table1[[#This Row],[Tên đối tượng]],'DANH MỤC ĐỐI TƯỢNG'!A:F,6,0),"")</f>
        <v>0</v>
      </c>
      <c r="H827" t="str">
        <f>_xlfn.IFNA(VLOOKUP(Table1[[#This Row],[Tên đối tượng]],'DANH MỤC ĐỐI TƯỢNG'!A:I,9,0),"")</f>
        <v>Vietinbank-chi nhánh 3 TP HCM</v>
      </c>
      <c r="I827" t="str">
        <f>_xlfn.IFNA(VLOOKUP(Table1[[#This Row],[Tên đối tượng]],'DANH MỤC ĐỐI TƯỢNG'!A:J,10,0),"")</f>
        <v>119002866917</v>
      </c>
    </row>
    <row r="828" spans="1:9" x14ac:dyDescent="0.3">
      <c r="A828">
        <v>825</v>
      </c>
      <c r="B828" t="s">
        <v>1617</v>
      </c>
      <c r="C828" t="s">
        <v>1618</v>
      </c>
      <c r="D828" t="str">
        <f t="shared" si="24"/>
        <v>825. V10608</v>
      </c>
      <c r="E828" s="5" t="str">
        <f t="shared" ca="1" si="25"/>
        <v>Công ty Cổ phần đầu tư phát triển và xuất nhập khẩu Hưng Phúc</v>
      </c>
      <c r="F828" t="str">
        <f>IFERROR(VLOOKUP(Table1[[#This Row],[Tên đối tượng]],'DANH MỤC ĐỐI TƯỢNG'!A:E,5,0),"")</f>
        <v>Km số 8, cao tốc Bắc Thăng Long-Nội Bài, thị trấn Quang Minh, huyện Mê Linh, thành phố Hà Nội</v>
      </c>
      <c r="G828">
        <f>_xlfn.IFNA(VLOOKUP(Table1[[#This Row],[Tên đối tượng]],'DANH MỤC ĐỐI TƯỢNG'!A:F,6,0),"")</f>
        <v>0</v>
      </c>
      <c r="H828" t="str">
        <f>_xlfn.IFNA(VLOOKUP(Table1[[#This Row],[Tên đối tượng]],'DANH MỤC ĐỐI TƯỢNG'!A:I,9,0),"")</f>
        <v>Ngân hàng TMCP đầu tư và phát triển Việt Nam-CN Phúc Yên</v>
      </c>
      <c r="I828" t="str">
        <f>_xlfn.IFNA(VLOOKUP(Table1[[#This Row],[Tên đối tượng]],'DANH MỤC ĐỐI TƯỢNG'!A:J,10,0),"")</f>
        <v>42610000337172</v>
      </c>
    </row>
    <row r="829" spans="1:9" x14ac:dyDescent="0.3">
      <c r="A829">
        <v>826</v>
      </c>
      <c r="B829" t="s">
        <v>1619</v>
      </c>
      <c r="C829" t="s">
        <v>1620</v>
      </c>
      <c r="D829" t="str">
        <f t="shared" si="24"/>
        <v>826. V10610</v>
      </c>
      <c r="E829" s="5" t="str">
        <f t="shared" ca="1" si="25"/>
        <v>Công Ty TNHH Thương Mại và Giải Pháp Tự Động Hóa Việt Nam</v>
      </c>
      <c r="F829" t="str">
        <f>IFERROR(VLOOKUP(Table1[[#This Row],[Tên đối tượng]],'DANH MỤC ĐỐI TƯỢNG'!A:E,5,0),"")</f>
        <v>P801-trung tâm giao dịch CNTT &amp; TT Hà Nội, K1 Hào Nam, phường Cát Linh, quận Đống Đa, thành phố Hà Nội, Việt Nam</v>
      </c>
      <c r="G829">
        <f>_xlfn.IFNA(VLOOKUP(Table1[[#This Row],[Tên đối tượng]],'DANH MỤC ĐỐI TƯỢNG'!A:F,6,0),"")</f>
        <v>0</v>
      </c>
      <c r="H829" t="str">
        <f>_xlfn.IFNA(VLOOKUP(Table1[[#This Row],[Tên đối tượng]],'DANH MỤC ĐỐI TƯỢNG'!A:I,9,0),"")</f>
        <v>Ngân hàng TMCP Việt Nam thịnh vượng-chi nhánh Kinh Đô</v>
      </c>
      <c r="I829" t="str">
        <f>_xlfn.IFNA(VLOOKUP(Table1[[#This Row],[Tên đối tượng]],'DANH MỤC ĐỐI TƯỢNG'!A:J,10,0),"")</f>
        <v>108634154</v>
      </c>
    </row>
    <row r="830" spans="1:9" x14ac:dyDescent="0.3">
      <c r="A830">
        <v>827</v>
      </c>
      <c r="B830" t="s">
        <v>1621</v>
      </c>
      <c r="C830" t="s">
        <v>1622</v>
      </c>
      <c r="D830" t="str">
        <f t="shared" si="24"/>
        <v>827. V10624</v>
      </c>
      <c r="E830" s="5" t="str">
        <f t="shared" ca="1" si="25"/>
        <v>Công ty TNHH Taishun Việt Nam</v>
      </c>
      <c r="F830" t="str">
        <f>IFERROR(VLOOKUP(Table1[[#This Row],[Tên đối tượng]],'DANH MỤC ĐỐI TƯỢNG'!A:E,5,0),"")</f>
        <v>Số nhà 28, phố Nguyễn Trường Tộ, phường Trúc Bạch, quận Ba Đình, thành phố Hà Nội, Việt Nam</v>
      </c>
      <c r="G830">
        <f>_xlfn.IFNA(VLOOKUP(Table1[[#This Row],[Tên đối tượng]],'DANH MỤC ĐỐI TƯỢNG'!A:F,6,0),"")</f>
        <v>0</v>
      </c>
      <c r="H830" t="str">
        <f>_xlfn.IFNA(VLOOKUP(Table1[[#This Row],[Tên đối tượng]],'DANH MỤC ĐỐI TƯỢNG'!A:I,9,0),"")</f>
        <v>Ngân hàng TMCP Ngoại thương Việt Nam-Chi nhánh Sở giao dịch</v>
      </c>
      <c r="I830" t="str">
        <f>_xlfn.IFNA(VLOOKUP(Table1[[#This Row],[Tên đối tượng]],'DANH MỤC ĐỐI TƯỢNG'!A:J,10,0),"")</f>
        <v>0011004116761</v>
      </c>
    </row>
    <row r="831" spans="1:9" x14ac:dyDescent="0.3">
      <c r="A831">
        <v>828</v>
      </c>
      <c r="B831" t="s">
        <v>1623</v>
      </c>
      <c r="C831" t="s">
        <v>1624</v>
      </c>
      <c r="D831" t="str">
        <f t="shared" si="24"/>
        <v>828. V10621</v>
      </c>
      <c r="E831" s="5" t="str">
        <f t="shared" ca="1" si="25"/>
        <v>CÔNG TY TNHH NAKASHIMA VIỆT NAM</v>
      </c>
      <c r="F831" t="str">
        <f>IFERROR(VLOOKUP(Table1[[#This Row],[Tên đối tượng]],'DANH MỤC ĐỐI TƯỢNG'!A:E,5,0),"")</f>
        <v>Lô CN2.2B, khu công nghiệp Đình Vũ,thuộc khu kinh tế Đình Vũ-Cát Hải,Phường Đông Hải 2, Quận Hải An, Hải Phòng, Việt Nam</v>
      </c>
      <c r="G831">
        <f>_xlfn.IFNA(VLOOKUP(Table1[[#This Row],[Tên đối tượng]],'DANH MỤC ĐỐI TƯỢNG'!A:F,6,0),"")</f>
        <v>0</v>
      </c>
      <c r="H831" t="str">
        <f>_xlfn.IFNA(VLOOKUP(Table1[[#This Row],[Tên đối tượng]],'DANH MỤC ĐỐI TƯỢNG'!A:I,9,0),"")</f>
        <v>Ngân hàng TMCP Kỹ thương Việt Nam-Chi nhánh Hải Phòng</v>
      </c>
      <c r="I831" t="str">
        <f>_xlfn.IFNA(VLOOKUP(Table1[[#This Row],[Tên đối tượng]],'DANH MỤC ĐỐI TƯỢNG'!A:J,10,0),"")</f>
        <v>10923668222586</v>
      </c>
    </row>
    <row r="832" spans="1:9" x14ac:dyDescent="0.3">
      <c r="A832">
        <v>829</v>
      </c>
      <c r="B832" t="s">
        <v>1625</v>
      </c>
      <c r="C832" t="s">
        <v>1626</v>
      </c>
      <c r="D832" t="str">
        <f t="shared" si="24"/>
        <v>829. V20200</v>
      </c>
      <c r="E832" s="5" t="str">
        <f t="shared" ca="1" si="25"/>
        <v>Torishima Service Solutions Asia Pte. Ltd.</v>
      </c>
      <c r="F832" t="str">
        <f>IFERROR(VLOOKUP(Table1[[#This Row],[Tên đối tượng]],'DANH MỤC ĐỐI TƯỢNG'!A:E,5,0),"")</f>
        <v>60 Benoi Road #01-07, Singapore 629906</v>
      </c>
      <c r="G832">
        <f>_xlfn.IFNA(VLOOKUP(Table1[[#This Row],[Tên đối tượng]],'DANH MỤC ĐỐI TƯỢNG'!A:F,6,0),"")</f>
        <v>0</v>
      </c>
      <c r="H832" t="str">
        <f>_xlfn.IFNA(VLOOKUP(Table1[[#This Row],[Tên đối tượng]],'DANH MỤC ĐỐI TƯỢNG'!A:I,9,0),"")</f>
        <v>Sumitomo Mitsui Banking Corporation-Singapore branch</v>
      </c>
      <c r="I832" t="str">
        <f>_xlfn.IFNA(VLOOKUP(Table1[[#This Row],[Tên đối tượng]],'DANH MỤC ĐỐI TƯỢNG'!A:J,10,0),"")</f>
        <v>10410701</v>
      </c>
    </row>
    <row r="833" spans="1:9" x14ac:dyDescent="0.3">
      <c r="A833">
        <v>830</v>
      </c>
      <c r="B833" t="s">
        <v>1627</v>
      </c>
      <c r="C833" t="s">
        <v>1628</v>
      </c>
      <c r="D833" t="str">
        <f t="shared" si="24"/>
        <v>830. V10619</v>
      </c>
      <c r="E833" s="5" t="str">
        <f t="shared" ca="1" si="25"/>
        <v>Công ty TNHH Bureau Veritas Certification (Việt Nam)</v>
      </c>
      <c r="F833" t="str">
        <f>IFERROR(VLOOKUP(Table1[[#This Row],[Tên đối tượng]],'DANH MỤC ĐỐI TƯỢNG'!A:E,5,0),"")</f>
        <v>364 Đường Cộng Hòa, P13, Quận Tân Bình, TP Hồ Chí Minh, Việt Nam</v>
      </c>
      <c r="G833">
        <f>_xlfn.IFNA(VLOOKUP(Table1[[#This Row],[Tên đối tượng]],'DANH MỤC ĐỐI TƯỢNG'!A:F,6,0),"")</f>
        <v>0</v>
      </c>
      <c r="H833" t="str">
        <f>_xlfn.IFNA(VLOOKUP(Table1[[#This Row],[Tên đối tượng]],'DANH MỤC ĐỐI TƯỢNG'!A:I,9,0),"")</f>
        <v>Ngân hàng TNHH một Thành viên HSBC (Việt Nam)</v>
      </c>
      <c r="I833" t="str">
        <f>_xlfn.IFNA(VLOOKUP(Table1[[#This Row],[Tên đối tượng]],'DANH MỤC ĐỐI TƯỢNG'!A:J,10,0),"")</f>
        <v>001-072776-001</v>
      </c>
    </row>
    <row r="834" spans="1:9" x14ac:dyDescent="0.3">
      <c r="A834">
        <v>831</v>
      </c>
      <c r="B834">
        <v>100104</v>
      </c>
      <c r="C834" t="s">
        <v>1629</v>
      </c>
      <c r="D834" t="str">
        <f t="shared" si="24"/>
        <v>831. 100104</v>
      </c>
      <c r="E834" s="5" t="str">
        <f t="shared" ca="1" si="25"/>
        <v>Bridgestone Americas, Inc.</v>
      </c>
      <c r="F834" t="str">
        <f>IFERROR(VLOOKUP(Table1[[#This Row],[Tên đối tượng]],'DANH MỤC ĐỐI TƯỢNG'!A:E,5,0),"")</f>
        <v>200 4th Ave. S. Nashville, TN 37201, USA</v>
      </c>
      <c r="G834">
        <f>_xlfn.IFNA(VLOOKUP(Table1[[#This Row],[Tên đối tượng]],'DANH MỤC ĐỐI TƯỢNG'!A:F,6,0),"")</f>
        <v>0</v>
      </c>
      <c r="H834" t="str">
        <f>_xlfn.IFNA(VLOOKUP(Table1[[#This Row],[Tên đối tượng]],'DANH MỤC ĐỐI TƯỢNG'!A:I,9,0),"")</f>
        <v>JP Morgan Chase, N.A</v>
      </c>
      <c r="I834" t="str">
        <f>_xlfn.IFNA(VLOOKUP(Table1[[#This Row],[Tên đối tượng]],'DANH MỤC ĐỐI TƯỢNG'!A:J,10,0),"")</f>
        <v>1101534</v>
      </c>
    </row>
    <row r="835" spans="1:9" x14ac:dyDescent="0.3">
      <c r="A835">
        <v>832</v>
      </c>
      <c r="B835" t="s">
        <v>1630</v>
      </c>
      <c r="C835" t="s">
        <v>1631</v>
      </c>
      <c r="D835" t="str">
        <f t="shared" si="24"/>
        <v>832. V10623</v>
      </c>
      <c r="E835" s="5" t="str">
        <f t="shared" ca="1" si="25"/>
        <v>Công ty TNHH Công Nghệ Bách Khoa Phú Thọ</v>
      </c>
      <c r="F835" t="str">
        <f>IFERROR(VLOOKUP(Table1[[#This Row],[Tên đối tượng]],'DANH MỤC ĐỐI TƯỢNG'!A:E,5,0),"")</f>
        <v>276/29/13 Mã Lò, khu phố 6, phường Bình Trị Đông A, quận Bình Tân, thành phố Hồ Chí Minh, Việt Nam</v>
      </c>
      <c r="G835">
        <f>_xlfn.IFNA(VLOOKUP(Table1[[#This Row],[Tên đối tượng]],'DANH MỤC ĐỐI TƯỢNG'!A:F,6,0),"")</f>
        <v>0</v>
      </c>
      <c r="H835" t="str">
        <f>_xlfn.IFNA(VLOOKUP(Table1[[#This Row],[Tên đối tượng]],'DANH MỤC ĐỐI TƯỢNG'!A:I,9,0),"")</f>
        <v>Ngân hàng TMCP Á Châu (ACB)-PGD Gò Cát</v>
      </c>
      <c r="I835" t="str">
        <f>_xlfn.IFNA(VLOOKUP(Table1[[#This Row],[Tên đối tượng]],'DANH MỤC ĐỐI TƯỢNG'!A:J,10,0),"")</f>
        <v>12112216</v>
      </c>
    </row>
    <row r="836" spans="1:9" x14ac:dyDescent="0.3">
      <c r="A836">
        <v>833</v>
      </c>
      <c r="B836" t="s">
        <v>1632</v>
      </c>
      <c r="C836" t="s">
        <v>1633</v>
      </c>
      <c r="D836" t="str">
        <f t="shared" si="24"/>
        <v>833. V10606</v>
      </c>
      <c r="E836" s="5" t="str">
        <f t="shared" ca="1" si="25"/>
        <v>CHI NHÁNH CÔNG TY CỔ PHẦN TƯ VẤN EY VIỆT NAM TẠI THÀNH PHỐ HỒ CHÍ MINH</v>
      </c>
      <c r="F836" t="str">
        <f>IFERROR(VLOOKUP(Table1[[#This Row],[Tên đối tượng]],'DANH MỤC ĐỐI TƯỢNG'!A:E,5,0),"")</f>
        <v>Số 2, Đường Hải Triều, Phường Bến Nghé, Quận 1, Thành phố Hồ Chí Minh</v>
      </c>
      <c r="G836">
        <f>_xlfn.IFNA(VLOOKUP(Table1[[#This Row],[Tên đối tượng]],'DANH MỤC ĐỐI TƯỢNG'!A:F,6,0),"")</f>
        <v>0</v>
      </c>
      <c r="H836" t="str">
        <f>_xlfn.IFNA(VLOOKUP(Table1[[#This Row],[Tên đối tượng]],'DANH MỤC ĐỐI TƯỢNG'!A:I,9,0),"")</f>
        <v>Ngân hàng TNHH một Thành viên HSBC (Việt Nam)</v>
      </c>
      <c r="I836" t="str">
        <f>_xlfn.IFNA(VLOOKUP(Table1[[#This Row],[Tên đối tượng]],'DANH MỤC ĐỐI TƯỢNG'!A:J,10,0),"")</f>
        <v>001-024363-001 (VND)</v>
      </c>
    </row>
    <row r="837" spans="1:9" x14ac:dyDescent="0.3">
      <c r="A837">
        <v>834</v>
      </c>
      <c r="B837" t="s">
        <v>1634</v>
      </c>
      <c r="C837" t="s">
        <v>1635</v>
      </c>
      <c r="D837" t="str">
        <f t="shared" ref="D837:D900" si="26">A837&amp;". "&amp;B837</f>
        <v>834. V10617</v>
      </c>
      <c r="E837" s="5" t="str">
        <f t="shared" ref="E837:E900" ca="1" si="27">IF(B837&lt;&gt;"",HYPERLINK($A$2&amp;D837,C837),"")</f>
        <v>Công ty TNHH SM-CYCLO (VIỆT NAM)</v>
      </c>
      <c r="F837" t="str">
        <f>IFERROR(VLOOKUP(Table1[[#This Row],[Tên đối tượng]],'DANH MỤC ĐỐI TƯỢNG'!A:E,5,0),"")</f>
        <v>Nhà xưởng 2B, Lô K1-2-5, đường số 2-3-5A Khu công nghiệp Lê Minh Xuân, Xã Lê Minh Xuân, Huyện Bình Chánh, Thành phố Hồ Chí Minh</v>
      </c>
      <c r="G837">
        <f>_xlfn.IFNA(VLOOKUP(Table1[[#This Row],[Tên đối tượng]],'DANH MỤC ĐỐI TƯỢNG'!A:F,6,0),"")</f>
        <v>0</v>
      </c>
      <c r="H837" t="str">
        <f>_xlfn.IFNA(VLOOKUP(Table1[[#This Row],[Tên đối tượng]],'DANH MỤC ĐỐI TƯỢNG'!A:I,9,0),"")</f>
        <v>Ngân hàng Sumitomo Mitsui Banking Corporation-Chi nhánh TP. Hồ Chí Minh</v>
      </c>
      <c r="I837" t="str">
        <f>_xlfn.IFNA(VLOOKUP(Table1[[#This Row],[Tên đối tượng]],'DANH MỤC ĐỐI TƯỢNG'!A:J,10,0),"")</f>
        <v>10074901 (USD)/ 10074902 (VND)</v>
      </c>
    </row>
    <row r="838" spans="1:9" x14ac:dyDescent="0.3">
      <c r="A838">
        <v>835</v>
      </c>
      <c r="B838" t="s">
        <v>1636</v>
      </c>
      <c r="C838" t="s">
        <v>1637</v>
      </c>
      <c r="D838" t="str">
        <f t="shared" si="26"/>
        <v>835. V10628</v>
      </c>
      <c r="E838" s="5" t="str">
        <f t="shared" ca="1" si="27"/>
        <v>Công ty TNHH Fujimoto Sangyo Việt Nam</v>
      </c>
      <c r="F838" t="str">
        <f>IFERROR(VLOOKUP(Table1[[#This Row],[Tên đối tượng]],'DANH MỤC ĐỐI TƯỢNG'!A:E,5,0),"")</f>
        <v>Xưởng F1-12b, Lô D6, Khu công nghiệp Hiệp Phước (giai đoạn 2), xã Hiệp Phước, huyện Nhà Bè, thành phố Hồ Chí Minh, Việt Nam</v>
      </c>
      <c r="G838">
        <f>_xlfn.IFNA(VLOOKUP(Table1[[#This Row],[Tên đối tượng]],'DANH MỤC ĐỐI TƯỢNG'!A:F,6,0),"")</f>
        <v>0</v>
      </c>
      <c r="H838" t="str">
        <f>_xlfn.IFNA(VLOOKUP(Table1[[#This Row],[Tên đối tượng]],'DANH MỤC ĐỐI TƯỢNG'!A:I,9,0),"")</f>
        <v>Ngân hàng Sumitomo Mitsui Banking Corporation-Chi nhánh thành phố Hồ Chí Minh</v>
      </c>
      <c r="I838" t="str">
        <f>_xlfn.IFNA(VLOOKUP(Table1[[#This Row],[Tên đối tượng]],'DANH MỤC ĐỐI TƯỢNG'!A:J,10,0),"")</f>
        <v>10100501</v>
      </c>
    </row>
    <row r="839" spans="1:9" x14ac:dyDescent="0.3">
      <c r="A839">
        <v>836</v>
      </c>
      <c r="B839" t="s">
        <v>1638</v>
      </c>
      <c r="C839" t="s">
        <v>1639</v>
      </c>
      <c r="D839" t="str">
        <f t="shared" si="26"/>
        <v>836. V10627</v>
      </c>
      <c r="E839" s="5" t="str">
        <f t="shared" ca="1" si="27"/>
        <v>CÔNG TY CỔ PHẦN VÒNG BI PECOM</v>
      </c>
      <c r="F839" t="str">
        <f>IFERROR(VLOOKUP(Table1[[#This Row],[Tên đối tượng]],'DANH MỤC ĐỐI TƯỢNG'!A:E,5,0),"")</f>
        <v>Số 286, đường Quang Trung, phường Quang Trung, quận Hà Đông, thành phố Hà Nội</v>
      </c>
      <c r="G839">
        <f>_xlfn.IFNA(VLOOKUP(Table1[[#This Row],[Tên đối tượng]],'DANH MỤC ĐỐI TƯỢNG'!A:F,6,0),"")</f>
        <v>0</v>
      </c>
      <c r="H839" t="str">
        <f>_xlfn.IFNA(VLOOKUP(Table1[[#This Row],[Tên đối tượng]],'DANH MỤC ĐỐI TƯỢNG'!A:I,9,0),"")</f>
        <v>Ngân hàng TMCP công thương Việt Nam-Chi nhánh Thành An</v>
      </c>
      <c r="I839" t="str">
        <f>_xlfn.IFNA(VLOOKUP(Table1[[#This Row],[Tên đối tượng]],'DANH MỤC ĐỐI TƯỢNG'!A:J,10,0),"")</f>
        <v>115002870730</v>
      </c>
    </row>
    <row r="840" spans="1:9" x14ac:dyDescent="0.3">
      <c r="A840">
        <v>837</v>
      </c>
      <c r="B840" t="s">
        <v>1640</v>
      </c>
      <c r="C840" t="s">
        <v>1641</v>
      </c>
      <c r="D840" t="str">
        <f t="shared" si="26"/>
        <v>837. V10535</v>
      </c>
      <c r="E840" s="5" t="str">
        <f t="shared" ca="1" si="27"/>
        <v>Công ty TNHH tư vấn và đầu tư Gia Minh</v>
      </c>
      <c r="F840" t="str">
        <f>IFERROR(VLOOKUP(Table1[[#This Row],[Tên đối tượng]],'DANH MỤC ĐỐI TƯỢNG'!A:E,5,0),"")</f>
        <v>số 269 đường Văn Cao, phường Đằng Lâm,quận Hải An,thành phố Hải Phòng</v>
      </c>
      <c r="G840">
        <f>_xlfn.IFNA(VLOOKUP(Table1[[#This Row],[Tên đối tượng]],'DANH MỤC ĐỐI TƯỢNG'!A:F,6,0),"")</f>
        <v>0</v>
      </c>
      <c r="H840" t="str">
        <f>_xlfn.IFNA(VLOOKUP(Table1[[#This Row],[Tên đối tượng]],'DANH MỤC ĐỐI TƯỢNG'!A:I,9,0),"")</f>
        <v>Ngân hàng thương mại cổ phần Kỹ thương Việt Nam (Techcombank)-CN Hải Phòng</v>
      </c>
      <c r="I840" t="str">
        <f>_xlfn.IFNA(VLOOKUP(Table1[[#This Row],[Tên đối tượng]],'DANH MỤC ĐỐI TƯỢNG'!A:J,10,0),"")</f>
        <v>140.225.68998.010</v>
      </c>
    </row>
    <row r="841" spans="1:9" x14ac:dyDescent="0.3">
      <c r="A841">
        <v>838</v>
      </c>
      <c r="B841" t="s">
        <v>1642</v>
      </c>
      <c r="C841" t="s">
        <v>1643</v>
      </c>
      <c r="D841" t="str">
        <f t="shared" si="26"/>
        <v>838. V10633</v>
      </c>
      <c r="E841" s="5" t="str">
        <f t="shared" ca="1" si="27"/>
        <v>CÔNG TY TNHH KỸ THUẬT KENTA VIỆT NAM</v>
      </c>
      <c r="F841" t="str">
        <f>IFERROR(VLOOKUP(Table1[[#This Row],[Tên đối tượng]],'DANH MỤC ĐỐI TƯỢNG'!A:E,5,0),"")</f>
        <v>Số 632, Thôn Bến, Xã Phụng Công, Huyện Văn Giang, Tỉnh Hưng Yên, Việt Nam</v>
      </c>
      <c r="G841">
        <f>_xlfn.IFNA(VLOOKUP(Table1[[#This Row],[Tên đối tượng]],'DANH MỤC ĐỐI TƯỢNG'!A:F,6,0),"")</f>
        <v>0</v>
      </c>
      <c r="H841" t="str">
        <f>_xlfn.IFNA(VLOOKUP(Table1[[#This Row],[Tên đối tượng]],'DANH MỤC ĐỐI TƯỢNG'!A:I,9,0),"")</f>
        <v>Ngân hàng TMCP Công thương Việt Nam-Chi nhánh Bắc Hưng Yên</v>
      </c>
      <c r="I841" t="str">
        <f>_xlfn.IFNA(VLOOKUP(Table1[[#This Row],[Tên đối tượng]],'DANH MỤC ĐỐI TƯỢNG'!A:J,10,0),"")</f>
        <v>114002628031</v>
      </c>
    </row>
    <row r="842" spans="1:9" x14ac:dyDescent="0.3">
      <c r="A842">
        <v>839</v>
      </c>
      <c r="B842" t="s">
        <v>1644</v>
      </c>
      <c r="C842" t="s">
        <v>1645</v>
      </c>
      <c r="D842" t="str">
        <f t="shared" si="26"/>
        <v>839. V10634</v>
      </c>
      <c r="E842" s="5" t="str">
        <f t="shared" ca="1" si="27"/>
        <v>Công ty TNHH Chế tạo cơ điện &amp; thương mại Anh Dũng</v>
      </c>
      <c r="F842" t="str">
        <f>IFERROR(VLOOKUP(Table1[[#This Row],[Tên đối tượng]],'DANH MỤC ĐỐI TƯỢNG'!A:E,5,0),"")</f>
        <v>Xóm Chợ,Thôn Vĩnh Khê (tại nhà ông Nguyễn Hữu Thuyết), Xã An Đồng,Huyện An DươngThành phố Hải Phòng, Việt Nam</v>
      </c>
      <c r="G842">
        <f>_xlfn.IFNA(VLOOKUP(Table1[[#This Row],[Tên đối tượng]],'DANH MỤC ĐỐI TƯỢNG'!A:F,6,0),"")</f>
        <v>0</v>
      </c>
      <c r="H842" t="str">
        <f>_xlfn.IFNA(VLOOKUP(Table1[[#This Row],[Tên đối tượng]],'DANH MỤC ĐỐI TƯỢNG'!A:I,9,0),"")</f>
        <v>Ngân hàng Techcombank-Chi nhánh Văn Cao, Hải Phòng</v>
      </c>
      <c r="I842" t="str">
        <f>_xlfn.IFNA(VLOOKUP(Table1[[#This Row],[Tên đối tượng]],'DANH MỤC ĐỐI TƯỢNG'!A:J,10,0),"")</f>
        <v>19035962343014</v>
      </c>
    </row>
    <row r="843" spans="1:9" x14ac:dyDescent="0.3">
      <c r="A843">
        <v>840</v>
      </c>
      <c r="B843" t="s">
        <v>1646</v>
      </c>
      <c r="C843" t="s">
        <v>1647</v>
      </c>
      <c r="D843" t="str">
        <f t="shared" si="26"/>
        <v>840. V10629</v>
      </c>
      <c r="E843" s="5" t="str">
        <f t="shared" ca="1" si="27"/>
        <v>Trung tâm kiểm soát bệnh tật thành phố Hải Phòng</v>
      </c>
      <c r="F843" t="str">
        <f>IFERROR(VLOOKUP(Table1[[#This Row],[Tên đối tượng]],'DANH MỤC ĐỐI TƯỢNG'!A:E,5,0),"")</f>
        <v>Số 21 Lê Đại Hành,phường Hoàng Văn Thụquận Hồng Bàng,Thành phố Hải Phòng</v>
      </c>
      <c r="G843">
        <f>_xlfn.IFNA(VLOOKUP(Table1[[#This Row],[Tên đối tượng]],'DANH MỤC ĐỐI TƯỢNG'!A:F,6,0),"")</f>
        <v>0</v>
      </c>
      <c r="H843" t="str">
        <f>_xlfn.IFNA(VLOOKUP(Table1[[#This Row],[Tên đối tượng]],'DANH MỤC ĐỐI TƯỢNG'!A:I,9,0),"")</f>
        <v>Kho bạc nhà nước Hải Phòng</v>
      </c>
      <c r="I843" t="str">
        <f>_xlfn.IFNA(VLOOKUP(Table1[[#This Row],[Tên đối tượng]],'DANH MỤC ĐỐI TƯỢNG'!A:J,10,0),"")</f>
        <v>3716.2.1131063.00000</v>
      </c>
    </row>
    <row r="844" spans="1:9" x14ac:dyDescent="0.3">
      <c r="A844">
        <v>841</v>
      </c>
      <c r="B844" t="s">
        <v>1648</v>
      </c>
      <c r="C844" t="s">
        <v>1649</v>
      </c>
      <c r="D844" t="str">
        <f t="shared" si="26"/>
        <v>841. V10630</v>
      </c>
      <c r="E844" s="5" t="str">
        <f t="shared" ca="1" si="27"/>
        <v>CÔNG TY TNHH AMANO VIỆT NAM</v>
      </c>
      <c r="F844" t="str">
        <f>IFERROR(VLOOKUP(Table1[[#This Row],[Tên đối tượng]],'DANH MỤC ĐỐI TƯỢNG'!A:E,5,0),"")</f>
        <v>Số 20 Nguyễn Đăng Giai,Phường Thảo Điền,Thành phố Thủ Đức,Thành phố Hồ Chí Minh, Việt Nam</v>
      </c>
      <c r="G844">
        <f>_xlfn.IFNA(VLOOKUP(Table1[[#This Row],[Tên đối tượng]],'DANH MỤC ĐỐI TƯỢNG'!A:F,6,0),"")</f>
        <v>0</v>
      </c>
      <c r="H844" t="str">
        <f>_xlfn.IFNA(VLOOKUP(Table1[[#This Row],[Tên đối tượng]],'DANH MỤC ĐỐI TƯỢNG'!A:I,9,0),"")</f>
        <v>Mizuho Bank, Ltd-Chi nhánh thành phố Hồ Chí Minh</v>
      </c>
      <c r="I844" t="str">
        <f>_xlfn.IFNA(VLOOKUP(Table1[[#This Row],[Tên đối tượng]],'DANH MỤC ĐỐI TƯỢNG'!A:J,10,0),"")</f>
        <v>H15-796-524988</v>
      </c>
    </row>
    <row r="845" spans="1:9" x14ac:dyDescent="0.3">
      <c r="A845">
        <v>842</v>
      </c>
      <c r="B845" t="s">
        <v>1650</v>
      </c>
      <c r="C845" t="s">
        <v>1651</v>
      </c>
      <c r="D845" t="str">
        <f t="shared" si="26"/>
        <v>842. V10631</v>
      </c>
      <c r="E845" s="5" t="str">
        <f t="shared" ca="1" si="27"/>
        <v>CÔNG TY TNHH VẬT TƯ KỸ THUẬT A&amp;M VIỆT NAM</v>
      </c>
      <c r="F845" t="str">
        <f>IFERROR(VLOOKUP(Table1[[#This Row],[Tên đối tượng]],'DANH MỤC ĐỐI TƯỢNG'!A:E,5,0),"")</f>
        <v>Cụm 6,xã Tân Lập,huyện Đan Phượng,thành phố Hà Nội, Việt Nam</v>
      </c>
      <c r="G845">
        <f>_xlfn.IFNA(VLOOKUP(Table1[[#This Row],[Tên đối tượng]],'DANH MỤC ĐỐI TƯỢNG'!A:F,6,0),"")</f>
        <v>0</v>
      </c>
      <c r="H845" t="str">
        <f>_xlfn.IFNA(VLOOKUP(Table1[[#This Row],[Tên đối tượng]],'DANH MỤC ĐỐI TƯỢNG'!A:I,9,0),"")</f>
        <v>Ngân hàng TMCP Á Châu (ACB)-Chi nhánh Hà Nội</v>
      </c>
      <c r="I845" t="str">
        <f>_xlfn.IFNA(VLOOKUP(Table1[[#This Row],[Tên đối tượng]],'DANH MỤC ĐỐI TƯỢNG'!A:J,10,0),"")</f>
        <v>8388388338</v>
      </c>
    </row>
    <row r="846" spans="1:9" x14ac:dyDescent="0.3">
      <c r="A846">
        <v>843</v>
      </c>
      <c r="B846" t="s">
        <v>1652</v>
      </c>
      <c r="C846" t="s">
        <v>1653</v>
      </c>
      <c r="D846" t="str">
        <f t="shared" si="26"/>
        <v>843. V10632</v>
      </c>
      <c r="E846" s="5" t="str">
        <f t="shared" ca="1" si="27"/>
        <v>CÔNG TY CỔ PHẦN THIẾT BỊ QUANG MINH</v>
      </c>
      <c r="F846" t="str">
        <f>IFERROR(VLOOKUP(Table1[[#This Row],[Tên đối tượng]],'DANH MỤC ĐỐI TƯỢNG'!A:E,5,0),"")</f>
        <v>127 Huy Cận, Khu Dân Cư Gia Hòa, Phường Phước Long B, thành phố Thủ Đức, thành phố Hồ Chí Minh, Việt Nam</v>
      </c>
      <c r="G846">
        <f>_xlfn.IFNA(VLOOKUP(Table1[[#This Row],[Tên đối tượng]],'DANH MỤC ĐỐI TƯỢNG'!A:F,6,0),"")</f>
        <v>0</v>
      </c>
      <c r="H846" t="str">
        <f>_xlfn.IFNA(VLOOKUP(Table1[[#This Row],[Tên đối tượng]],'DANH MỤC ĐỐI TƯỢNG'!A:I,9,0),"")</f>
        <v>Ngân hàng TMCP Kỹ thương Việt Nam-Chi nhánh Gia Định</v>
      </c>
      <c r="I846" t="str">
        <f>_xlfn.IFNA(VLOOKUP(Table1[[#This Row],[Tên đối tượng]],'DANH MỤC ĐỐI TƯỢNG'!A:J,10,0),"")</f>
        <v>10221403323017</v>
      </c>
    </row>
    <row r="847" spans="1:9" x14ac:dyDescent="0.3">
      <c r="A847">
        <v>844</v>
      </c>
      <c r="B847" t="s">
        <v>1654</v>
      </c>
      <c r="C847" t="s">
        <v>1655</v>
      </c>
      <c r="D847" t="str">
        <f t="shared" si="26"/>
        <v>844. V10635</v>
      </c>
      <c r="E847" s="5" t="str">
        <f t="shared" ca="1" si="27"/>
        <v>CÔNG TY TNHH DỊCH VỤ TRANE VIỆT NAM</v>
      </c>
      <c r="F847" t="str">
        <f>IFERROR(VLOOKUP(Table1[[#This Row],[Tên đối tượng]],'DANH MỤC ĐỐI TƯỢNG'!A:E,5,0),"")</f>
        <v>Phòng 901-903, Tầng 9, Tòa nhà Văn phòng CentrePoint,số 106, Đường Nguyễn Văn Trỗi, Phường 08, Quận Phú Nhuận,Thành phố Hồ Chí M</v>
      </c>
      <c r="G847">
        <f>_xlfn.IFNA(VLOOKUP(Table1[[#This Row],[Tên đối tượng]],'DANH MỤC ĐỐI TƯỢNG'!A:F,6,0),"")</f>
        <v>0</v>
      </c>
      <c r="H847" t="str">
        <f>_xlfn.IFNA(VLOOKUP(Table1[[#This Row],[Tên đối tượng]],'DANH MỤC ĐỐI TƯỢNG'!A:I,9,0),"")</f>
        <v>Ngân hàng Citibank-Chi nhánh thành phố Hồ Chí Minh</v>
      </c>
      <c r="I847" t="str">
        <f>_xlfn.IFNA(VLOOKUP(Table1[[#This Row],[Tên đối tượng]],'DANH MỤC ĐỐI TƯỢNG'!A:J,10,0),"")</f>
        <v>0302484015</v>
      </c>
    </row>
    <row r="848" spans="1:9" x14ac:dyDescent="0.3">
      <c r="A848">
        <v>845</v>
      </c>
      <c r="B848" t="s">
        <v>1656</v>
      </c>
      <c r="C848" t="s">
        <v>1657</v>
      </c>
      <c r="D848" t="str">
        <f t="shared" si="26"/>
        <v>845. V10636</v>
      </c>
      <c r="E848" s="5" t="str">
        <f t="shared" ca="1" si="27"/>
        <v>CÔNG TY TNHH MTV AZ</v>
      </c>
      <c r="F848" t="str">
        <f>IFERROR(VLOOKUP(Table1[[#This Row],[Tên đối tượng]],'DANH MỤC ĐỐI TƯỢNG'!A:E,5,0),"")</f>
        <v>Số 23 lô 100 đường Bình Kiều 2,phường Đông Hải 2Quận Hải AnThành phố Hải Phòng</v>
      </c>
      <c r="G848">
        <f>_xlfn.IFNA(VLOOKUP(Table1[[#This Row],[Tên đối tượng]],'DANH MỤC ĐỐI TƯỢNG'!A:F,6,0),"")</f>
        <v>0</v>
      </c>
      <c r="H848" t="str">
        <f>_xlfn.IFNA(VLOOKUP(Table1[[#This Row],[Tên đối tượng]],'DANH MỤC ĐỐI TƯỢNG'!A:I,9,0),"")</f>
        <v>Ngân hàng Techcombank-Chi nhánh Hải Phòng</v>
      </c>
      <c r="I848" t="str">
        <f>_xlfn.IFNA(VLOOKUP(Table1[[#This Row],[Tên đối tượng]],'DANH MỤC ĐỐI TƯỢNG'!A:J,10,0),"")</f>
        <v>19135663036010</v>
      </c>
    </row>
    <row r="849" spans="1:9" x14ac:dyDescent="0.3">
      <c r="A849">
        <v>846</v>
      </c>
      <c r="B849" t="s">
        <v>1658</v>
      </c>
      <c r="C849" t="s">
        <v>1659</v>
      </c>
      <c r="D849" t="str">
        <f t="shared" si="26"/>
        <v>846. V10637</v>
      </c>
      <c r="E849" s="5" t="str">
        <f t="shared" ca="1" si="27"/>
        <v>CÔNG TY TNHH EXTENDMAX VIỆT NAM</v>
      </c>
      <c r="F849" t="str">
        <f>IFERROR(VLOOKUP(Table1[[#This Row],[Tên đối tượng]],'DANH MỤC ĐỐI TƯỢNG'!A:E,5,0),"")</f>
        <v>P.903 tầng 9, Tháp A,tòa nhà tổ hợp Sky City Tower, 88 Láng Hạ, Phường Láng Hạ, Quận Đống Đa,thành phố Hà Nội</v>
      </c>
      <c r="G849">
        <f>_xlfn.IFNA(VLOOKUP(Table1[[#This Row],[Tên đối tượng]],'DANH MỤC ĐỐI TƯỢNG'!A:F,6,0),"")</f>
        <v>0</v>
      </c>
      <c r="H849">
        <f>_xlfn.IFNA(VLOOKUP(Table1[[#This Row],[Tên đối tượng]],'DANH MỤC ĐỐI TƯỢNG'!A:I,9,0),"")</f>
        <v>0</v>
      </c>
      <c r="I849">
        <f>_xlfn.IFNA(VLOOKUP(Table1[[#This Row],[Tên đối tượng]],'DANH MỤC ĐỐI TƯỢNG'!A:J,10,0),"")</f>
        <v>0</v>
      </c>
    </row>
    <row r="850" spans="1:9" x14ac:dyDescent="0.3">
      <c r="A850">
        <v>847</v>
      </c>
      <c r="B850" t="s">
        <v>1660</v>
      </c>
      <c r="C850" t="s">
        <v>1661</v>
      </c>
      <c r="D850" t="str">
        <f t="shared" si="26"/>
        <v>847. V10638</v>
      </c>
      <c r="E850" s="5" t="str">
        <f t="shared" ca="1" si="27"/>
        <v>CÔNG TY TNHH THƯƠNG MẠI VÀ DỊCH VỤ QUẢNG CÁO PUKA</v>
      </c>
      <c r="F850" t="str">
        <f>IFERROR(VLOOKUP(Table1[[#This Row],[Tên đối tượng]],'DANH MỤC ĐỐI TƯỢNG'!A:E,5,0),"")</f>
        <v>205/58 Đào Sư Tích, Xã Phước Kiến, Huyện Nhà Bè, Thành phố Hồ Chí Minh,</v>
      </c>
      <c r="G850">
        <f>_xlfn.IFNA(VLOOKUP(Table1[[#This Row],[Tên đối tượng]],'DANH MỤC ĐỐI TƯỢNG'!A:F,6,0),"")</f>
        <v>0</v>
      </c>
      <c r="H850" t="str">
        <f>_xlfn.IFNA(VLOOKUP(Table1[[#This Row],[Tên đối tượng]],'DANH MỤC ĐỐI TƯỢNG'!A:I,9,0),"")</f>
        <v>Ngân hàng TMCP Ngoại thương Việt Nam-Chi nhánh Nam Sài Gòn</v>
      </c>
      <c r="I850" t="str">
        <f>_xlfn.IFNA(VLOOKUP(Table1[[#This Row],[Tên đối tượng]],'DANH MỤC ĐỐI TƯỢNG'!A:J,10,0),"")</f>
        <v>0181003625485</v>
      </c>
    </row>
    <row r="851" spans="1:9" x14ac:dyDescent="0.3">
      <c r="A851">
        <v>848</v>
      </c>
      <c r="B851" t="s">
        <v>1662</v>
      </c>
      <c r="C851" t="s">
        <v>1663</v>
      </c>
      <c r="D851" t="str">
        <f t="shared" si="26"/>
        <v>848. V10639</v>
      </c>
      <c r="E851" s="5" t="str">
        <f t="shared" ca="1" si="27"/>
        <v>CÔNG TY TNHH PHẠM LINH HƯƠNG</v>
      </c>
      <c r="F851" t="str">
        <f>IFERROR(VLOOKUP(Table1[[#This Row],[Tên đối tượng]],'DANH MỤC ĐỐI TƯỢNG'!A:E,5,0),"")</f>
        <v>Số 32C/10/1041 Tôn Đức Thắng, Phường Sở Dầu, Quận Hồng Bàng Thành phố Hải Phòng, Việt Nam</v>
      </c>
      <c r="G851" t="str">
        <f>_xlfn.IFNA(VLOOKUP(Table1[[#This Row],[Tên đối tượng]],'DANH MỤC ĐỐI TƯỢNG'!A:F,6,0),"")</f>
        <v>0202115839</v>
      </c>
      <c r="H851" t="str">
        <f>_xlfn.IFNA(VLOOKUP(Table1[[#This Row],[Tên đối tượng]],'DANH MỤC ĐỐI TƯỢNG'!A:I,9,0),"")</f>
        <v>Ngân hàng TMCP Việt Nam Thịnh Vượng (VPBank) - CN Quang Trung</v>
      </c>
      <c r="I851" t="str">
        <f>_xlfn.IFNA(VLOOKUP(Table1[[#This Row],[Tên đối tượng]],'DANH MỤC ĐỐI TƯỢNG'!A:J,10,0),"")</f>
        <v>324778519</v>
      </c>
    </row>
    <row r="852" spans="1:9" x14ac:dyDescent="0.3">
      <c r="A852">
        <v>849</v>
      </c>
      <c r="B852" t="s">
        <v>1664</v>
      </c>
      <c r="C852" t="s">
        <v>1665</v>
      </c>
      <c r="D852" t="str">
        <f t="shared" si="26"/>
        <v>849. V10640</v>
      </c>
      <c r="E852" s="5" t="str">
        <f t="shared" ca="1" si="27"/>
        <v>CÔNG TY TNHH TƯ VẤN &amp; ĐÀO TẠO ISO SOLUTIONS</v>
      </c>
      <c r="F852" t="str">
        <f>IFERROR(VLOOKUP(Table1[[#This Row],[Tên đối tượng]],'DANH MỤC ĐỐI TƯỢNG'!A:E,5,0),"")</f>
        <v>5A/304 Đường Chợ Hàng, Phường Dư Hàng Kênh, Quận Lê Chân, Thành phố Hải Phòng, Việt Nam</v>
      </c>
      <c r="G852">
        <f>_xlfn.IFNA(VLOOKUP(Table1[[#This Row],[Tên đối tượng]],'DANH MỤC ĐỐI TƯỢNG'!A:F,6,0),"")</f>
        <v>0</v>
      </c>
      <c r="H852" t="str">
        <f>_xlfn.IFNA(VLOOKUP(Table1[[#This Row],[Tên đối tượng]],'DANH MỤC ĐỐI TƯỢNG'!A:I,9,0),"")</f>
        <v>Ngân hàng TMCP Kỹ thương Việt Nam-Chi nhánh Nam Hải Phòng</v>
      </c>
      <c r="I852" t="str">
        <f>_xlfn.IFNA(VLOOKUP(Table1[[#This Row],[Tên đối tượng]],'DANH MỤC ĐỐI TƯỢNG'!A:J,10,0),"")</f>
        <v>19133758899099</v>
      </c>
    </row>
    <row r="853" spans="1:9" x14ac:dyDescent="0.3">
      <c r="A853">
        <v>850</v>
      </c>
      <c r="B853" t="s">
        <v>1666</v>
      </c>
      <c r="C853" t="s">
        <v>1667</v>
      </c>
      <c r="D853" t="str">
        <f t="shared" si="26"/>
        <v>850. V10642</v>
      </c>
      <c r="E853" s="5" t="str">
        <f t="shared" ca="1" si="27"/>
        <v>Công ty TNHH Thương Mại và Dịch Vụ Tăng Minh Phát</v>
      </c>
      <c r="F853" t="str">
        <f>IFERROR(VLOOKUP(Table1[[#This Row],[Tên đối tượng]],'DANH MỤC ĐỐI TƯỢNG'!A:E,5,0),"")</f>
        <v>119 Quốc Hương,Phường Thảo Điền,thành phố Thủ Đức,thành phố Hồ Chí Minh, Việt Nam</v>
      </c>
      <c r="G853">
        <f>_xlfn.IFNA(VLOOKUP(Table1[[#This Row],[Tên đối tượng]],'DANH MỤC ĐỐI TƯỢNG'!A:F,6,0),"")</f>
        <v>0</v>
      </c>
      <c r="H853" t="str">
        <f>_xlfn.IFNA(VLOOKUP(Table1[[#This Row],[Tên đối tượng]],'DANH MỤC ĐỐI TƯỢNG'!A:I,9,0),"")</f>
        <v>Ngân hàng TMCP Ngoại Thương Việt Nam (Vietcombank)-Chi nhánh Đông Sài Gòn</v>
      </c>
      <c r="I853" t="str">
        <f>_xlfn.IFNA(VLOOKUP(Table1[[#This Row],[Tên đối tượng]],'DANH MỤC ĐỐI TƯỢNG'!A:J,10,0),"")</f>
        <v>0531002531143</v>
      </c>
    </row>
    <row r="854" spans="1:9" x14ac:dyDescent="0.3">
      <c r="A854">
        <v>851</v>
      </c>
      <c r="B854" t="s">
        <v>1668</v>
      </c>
      <c r="C854" t="s">
        <v>1669</v>
      </c>
      <c r="D854" t="str">
        <f t="shared" si="26"/>
        <v>851. V10643</v>
      </c>
      <c r="E854" s="5" t="str">
        <f t="shared" ca="1" si="27"/>
        <v>Công ty TNHH Kuehne + Nagel</v>
      </c>
      <c r="F854" t="str">
        <f>IFERROR(VLOOKUP(Table1[[#This Row],[Tên đối tượng]],'DANH MỤC ĐỐI TƯỢNG'!A:E,5,0),"")</f>
        <v>Tòa nhà Vincom Center, số 72, đường Lê Thánh Tôn, phường Bến Nghé, Quận 1, Thành phố Hồ Chí Minh</v>
      </c>
      <c r="G854">
        <f>_xlfn.IFNA(VLOOKUP(Table1[[#This Row],[Tên đối tượng]],'DANH MỤC ĐỐI TƯỢNG'!A:F,6,0),"")</f>
        <v>0</v>
      </c>
      <c r="H854" t="str">
        <f>_xlfn.IFNA(VLOOKUP(Table1[[#This Row],[Tên đối tượng]],'DANH MỤC ĐỐI TƯỢNG'!A:I,9,0),"")</f>
        <v>Ngân hàng TNHH MTV Standard Chartered (Việt Nam_</v>
      </c>
      <c r="I854" t="str">
        <f>_xlfn.IFNA(VLOOKUP(Table1[[#This Row],[Tên đối tượng]],'DANH MỤC ĐỐI TƯỢNG'!A:J,10,0),"")</f>
        <v>90191941501</v>
      </c>
    </row>
    <row r="855" spans="1:9" x14ac:dyDescent="0.3">
      <c r="A855">
        <v>852</v>
      </c>
      <c r="B855" t="s">
        <v>1670</v>
      </c>
      <c r="C855" t="s">
        <v>1671</v>
      </c>
      <c r="D855" t="str">
        <f t="shared" si="26"/>
        <v>852. V20201</v>
      </c>
      <c r="E855" s="5" t="str">
        <f t="shared" ca="1" si="27"/>
        <v>TSRC Corporation</v>
      </c>
      <c r="F855" t="str">
        <f>IFERROR(VLOOKUP(Table1[[#This Row],[Tên đối tượng]],'DANH MỤC ĐỐI TƯỢNG'!A:E,5,0),"")</f>
        <v>No.2 Singgong Rd. Dashe Dist., Kaohsiung City 815, Taiwan R.O.C</v>
      </c>
      <c r="G855">
        <f>_xlfn.IFNA(VLOOKUP(Table1[[#This Row],[Tên đối tượng]],'DANH MỤC ĐỐI TƯỢNG'!A:F,6,0),"")</f>
        <v>0</v>
      </c>
      <c r="H855" t="str">
        <f>_xlfn.IFNA(VLOOKUP(Table1[[#This Row],[Tên đối tượng]],'DANH MỤC ĐỐI TƯỢNG'!A:I,9,0),"")</f>
        <v>Mega International Commercial Bank Co., LTD-Nan Tze Branch</v>
      </c>
      <c r="I855" t="str">
        <f>_xlfn.IFNA(VLOOKUP(Table1[[#This Row],[Tên đối tượng]],'DANH MỤC ĐỐI TƯỢNG'!A:J,10,0),"")</f>
        <v>00305084526</v>
      </c>
    </row>
    <row r="856" spans="1:9" x14ac:dyDescent="0.3">
      <c r="A856">
        <v>853</v>
      </c>
      <c r="B856" t="s">
        <v>1672</v>
      </c>
      <c r="C856" t="s">
        <v>1673</v>
      </c>
      <c r="D856" t="str">
        <f t="shared" si="26"/>
        <v>853. V20202</v>
      </c>
      <c r="E856" s="5" t="str">
        <f t="shared" ca="1" si="27"/>
        <v>UBE Elastomer Co. Ltd</v>
      </c>
      <c r="F856" t="str">
        <f>IFERROR(VLOOKUP(Table1[[#This Row],[Tên đối tượng]],'DANH MỤC ĐỐI TƯỢNG'!A:E,5,0),"")</f>
        <v>Seavans North Building 1-2-1 Shibaura, Minato-ku, Tokyo 105-6791 Japan</v>
      </c>
      <c r="G856">
        <f>_xlfn.IFNA(VLOOKUP(Table1[[#This Row],[Tên đối tượng]],'DANH MỤC ĐỐI TƯỢNG'!A:F,6,0),"")</f>
        <v>0</v>
      </c>
      <c r="H856" t="str">
        <f>_xlfn.IFNA(VLOOKUP(Table1[[#This Row],[Tên đối tượng]],'DANH MỤC ĐỐI TƯỢNG'!A:I,9,0),"")</f>
        <v>MUFG BANK, LTD-Tokyo main office</v>
      </c>
      <c r="I856" t="str">
        <f>_xlfn.IFNA(VLOOKUP(Table1[[#This Row],[Tên đối tượng]],'DANH MỤC ĐỐI TƯỢNG'!A:J,10,0),"")</f>
        <v>321-1403471</v>
      </c>
    </row>
    <row r="857" spans="1:9" x14ac:dyDescent="0.3">
      <c r="A857">
        <v>854</v>
      </c>
      <c r="B857" t="s">
        <v>1674</v>
      </c>
      <c r="C857" t="s">
        <v>1675</v>
      </c>
      <c r="D857" t="str">
        <f t="shared" si="26"/>
        <v>854. V20203</v>
      </c>
      <c r="E857" s="5" t="str">
        <f t="shared" ca="1" si="27"/>
        <v>Flexsys Netherlands B.V.</v>
      </c>
      <c r="F857" t="str">
        <f>IFERROR(VLOOKUP(Table1[[#This Row],[Tên đối tượng]],'DANH MỤC ĐỐI TƯỢNG'!A:E,5,0),"")</f>
        <v>Weena-zuid 130 Begane grond, 3012NC Rotterdam, Netherlands</v>
      </c>
      <c r="G857">
        <f>_xlfn.IFNA(VLOOKUP(Table1[[#This Row],[Tên đối tượng]],'DANH MỤC ĐỐI TƯỢNG'!A:F,6,0),"")</f>
        <v>0</v>
      </c>
      <c r="H857" t="str">
        <f>_xlfn.IFNA(VLOOKUP(Table1[[#This Row],[Tên đối tượng]],'DANH MỤC ĐỐI TƯỢNG'!A:I,9,0),"")</f>
        <v>J.P.Morgan Bank Luxembourg S.A-Amsterdam Branch</v>
      </c>
      <c r="I857" t="str">
        <f>_xlfn.IFNA(VLOOKUP(Table1[[#This Row],[Tên đối tượng]],'DANH MỤC ĐỐI TƯỢNG'!A:J,10,0),"")</f>
        <v>NL24CHAS0626001855</v>
      </c>
    </row>
    <row r="858" spans="1:9" x14ac:dyDescent="0.3">
      <c r="A858">
        <v>855</v>
      </c>
      <c r="B858" t="s">
        <v>1676</v>
      </c>
      <c r="C858" t="s">
        <v>1677</v>
      </c>
      <c r="D858" t="str">
        <f t="shared" si="26"/>
        <v>855. V20204</v>
      </c>
      <c r="E858" s="5" t="str">
        <f t="shared" ca="1" si="27"/>
        <v>Crowell and Moring LLP</v>
      </c>
      <c r="F858" t="str">
        <f>IFERROR(VLOOKUP(Table1[[#This Row],[Tên đối tượng]],'DANH MỤC ĐỐI TƯỢNG'!A:E,5,0),"")</f>
        <v>1001 Pennsylvania  Ave Washington, DC 20004</v>
      </c>
      <c r="G858">
        <f>_xlfn.IFNA(VLOOKUP(Table1[[#This Row],[Tên đối tượng]],'DANH MỤC ĐỐI TƯỢNG'!A:F,6,0),"")</f>
        <v>0</v>
      </c>
      <c r="H858">
        <f>_xlfn.IFNA(VLOOKUP(Table1[[#This Row],[Tên đối tượng]],'DANH MỤC ĐỐI TƯỢNG'!A:I,9,0),"")</f>
        <v>0</v>
      </c>
      <c r="I858">
        <f>_xlfn.IFNA(VLOOKUP(Table1[[#This Row],[Tên đối tượng]],'DANH MỤC ĐỐI TƯỢNG'!A:J,10,0),"")</f>
        <v>0</v>
      </c>
    </row>
    <row r="859" spans="1:9" x14ac:dyDescent="0.3">
      <c r="A859">
        <v>856</v>
      </c>
      <c r="B859" t="s">
        <v>1678</v>
      </c>
      <c r="C859" t="s">
        <v>1679</v>
      </c>
      <c r="D859" t="str">
        <f t="shared" si="26"/>
        <v>856. V20205</v>
      </c>
      <c r="E859" s="5" t="str">
        <f t="shared" ca="1" si="27"/>
        <v>Tianjin Jiurong Industry Tech Co., Ltd</v>
      </c>
      <c r="F859" t="str">
        <f>IFERROR(VLOOKUP(Table1[[#This Row],[Tên đối tượng]],'DANH MỤC ĐỐI TƯỢNG'!A:E,5,0),"")</f>
        <v>No.12, Anfu Road, Zhangjiawo Xiqing Dist, Tianjin 300380, P.R China</v>
      </c>
      <c r="G859">
        <f>_xlfn.IFNA(VLOOKUP(Table1[[#This Row],[Tên đối tượng]],'DANH MỤC ĐỐI TƯỢNG'!A:F,6,0),"")</f>
        <v>0</v>
      </c>
      <c r="H859" t="str">
        <f>_xlfn.IFNA(VLOOKUP(Table1[[#This Row],[Tên đối tượng]],'DANH MỤC ĐỐI TƯỢNG'!A:I,9,0),"")</f>
        <v>BANK OF CHINA TIANJIN NANKAI-SUB-BRANCH SHI YING LU RETAIL BANKING OFFICE</v>
      </c>
      <c r="I859" t="str">
        <f>_xlfn.IFNA(VLOOKUP(Table1[[#This Row],[Tên đối tượng]],'DANH MỤC ĐỐI TƯỢNG'!A:J,10,0),"")</f>
        <v>272685768876</v>
      </c>
    </row>
    <row r="860" spans="1:9" x14ac:dyDescent="0.3">
      <c r="A860">
        <v>857</v>
      </c>
      <c r="B860" t="s">
        <v>1680</v>
      </c>
      <c r="C860" t="s">
        <v>1681</v>
      </c>
      <c r="D860" t="str">
        <f t="shared" si="26"/>
        <v>857. V20206</v>
      </c>
      <c r="E860" s="5" t="str">
        <f t="shared" ca="1" si="27"/>
        <v>Bureau Veritas Certification (Thailand) Ltd</v>
      </c>
      <c r="F860" t="str">
        <f>IFERROR(VLOOKUP(Table1[[#This Row],[Tên đối tượng]],'DANH MỤC ĐỐI TƯỢNG'!A:E,5,0),"")</f>
        <v>16th Floor, Bangkok Tower, 2170 New Petchburi Rd, Bangkapi, Huaykwang, Bangkok 10310, Thailand</v>
      </c>
      <c r="G860">
        <f>_xlfn.IFNA(VLOOKUP(Table1[[#This Row],[Tên đối tượng]],'DANH MỤC ĐỐI TƯỢNG'!A:F,6,0),"")</f>
        <v>0</v>
      </c>
      <c r="H860" t="str">
        <f>_xlfn.IFNA(VLOOKUP(Table1[[#This Row],[Tên đối tượng]],'DANH MỤC ĐỐI TƯỢNG'!A:I,9,0),"")</f>
        <v>Krungthai Bank Public Company Limited-</v>
      </c>
      <c r="I860" t="str">
        <f>_xlfn.IFNA(VLOOKUP(Table1[[#This Row],[Tên đối tượng]],'DANH MỤC ĐỐI TƯỢNG'!A:J,10,0),"")</f>
        <v>041-0-14512-2</v>
      </c>
    </row>
    <row r="861" spans="1:9" x14ac:dyDescent="0.3">
      <c r="A861">
        <v>858</v>
      </c>
      <c r="B861" t="s">
        <v>1682</v>
      </c>
      <c r="C861" t="s">
        <v>1683</v>
      </c>
      <c r="D861" t="str">
        <f t="shared" si="26"/>
        <v>858. V20197</v>
      </c>
      <c r="E861" s="5" t="str">
        <f t="shared" ca="1" si="27"/>
        <v>WASINO TRADING CORPORATION</v>
      </c>
      <c r="F861" t="str">
        <f>IFERROR(VLOOKUP(Table1[[#This Row],[Tên đối tượng]],'DANH MỤC ĐỐI TƯỢNG'!A:E,5,0),"")</f>
        <v>2-1-20 Toei-cho, Anjyo, Aichi.446-0007, Japan</v>
      </c>
      <c r="G861">
        <f>_xlfn.IFNA(VLOOKUP(Table1[[#This Row],[Tên đối tượng]],'DANH MỤC ĐỐI TƯỢNG'!A:F,6,0),"")</f>
        <v>0</v>
      </c>
      <c r="H861">
        <f>_xlfn.IFNA(VLOOKUP(Table1[[#This Row],[Tên đối tượng]],'DANH MỤC ĐỐI TƯỢNG'!A:I,9,0),"")</f>
        <v>0</v>
      </c>
      <c r="I861">
        <f>_xlfn.IFNA(VLOOKUP(Table1[[#This Row],[Tên đối tượng]],'DANH MỤC ĐỐI TƯỢNG'!A:J,10,0),"")</f>
        <v>0</v>
      </c>
    </row>
    <row r="862" spans="1:9" x14ac:dyDescent="0.3">
      <c r="A862">
        <v>859</v>
      </c>
      <c r="B862" t="s">
        <v>1684</v>
      </c>
      <c r="C862" t="s">
        <v>1685</v>
      </c>
      <c r="D862" t="str">
        <f t="shared" si="26"/>
        <v>859. V10644</v>
      </c>
      <c r="E862" s="5" t="str">
        <f t="shared" ca="1" si="27"/>
        <v>Công ty cổ phần Fiingroup</v>
      </c>
      <c r="F862" t="str">
        <f>IFERROR(VLOOKUP(Table1[[#This Row],[Tên đối tượng]],'DANH MỤC ĐỐI TƯỢNG'!A:E,5,0),"")</f>
        <v>Tầng 10, Tòa nhà Peakview Tower, 36 Hoàng Cầu, Phường Ô Chợ Dừa, Quận Đống Đa, Thành phố Hà Nội, Việt Nam</v>
      </c>
      <c r="G862">
        <f>_xlfn.IFNA(VLOOKUP(Table1[[#This Row],[Tên đối tượng]],'DANH MỤC ĐỐI TƯỢNG'!A:F,6,0),"")</f>
        <v>0</v>
      </c>
      <c r="H862" t="str">
        <f>_xlfn.IFNA(VLOOKUP(Table1[[#This Row],[Tên đối tượng]],'DANH MỤC ĐỐI TƯỢNG'!A:I,9,0),"")</f>
        <v>Ngân hàng Techcombank-Chi nhánh Ba Đình</v>
      </c>
      <c r="I862" t="str">
        <f>_xlfn.IFNA(VLOOKUP(Table1[[#This Row],[Tên đối tượng]],'DANH MỤC ĐỐI TƯỢNG'!A:J,10,0),"")</f>
        <v>11520809247010</v>
      </c>
    </row>
    <row r="863" spans="1:9" x14ac:dyDescent="0.3">
      <c r="A863">
        <v>860</v>
      </c>
      <c r="B863" t="s">
        <v>1686</v>
      </c>
      <c r="C863" t="s">
        <v>1687</v>
      </c>
      <c r="D863" t="str">
        <f t="shared" si="26"/>
        <v>860. V20207</v>
      </c>
      <c r="E863" s="5" t="str">
        <f t="shared" ca="1" si="27"/>
        <v>Monsoon Carbon Pte Ltd</v>
      </c>
      <c r="F863" t="str">
        <f>IFERROR(VLOOKUP(Table1[[#This Row],[Tên đối tượng]],'DANH MỤC ĐỐI TƯỢNG'!A:E,5,0),"")</f>
        <v>10 Kallang Avenue # 14-10 Aperia, Singapore 339510</v>
      </c>
      <c r="G863">
        <f>_xlfn.IFNA(VLOOKUP(Table1[[#This Row],[Tên đối tượng]],'DANH MỤC ĐỐI TƯỢNG'!A:F,6,0),"")</f>
        <v>0</v>
      </c>
      <c r="H863" t="str">
        <f>_xlfn.IFNA(VLOOKUP(Table1[[#This Row],[Tên đối tượng]],'DANH MỤC ĐỐI TƯỢNG'!A:I,9,0),"")</f>
        <v>UNITED OVERSEAS BANK</v>
      </c>
      <c r="I863" t="str">
        <f>_xlfn.IFNA(VLOOKUP(Table1[[#This Row],[Tên đối tượng]],'DANH MỤC ĐỐI TƯỢNG'!A:J,10,0),"")</f>
        <v>348-900-830-9</v>
      </c>
    </row>
    <row r="864" spans="1:9" x14ac:dyDescent="0.3">
      <c r="A864">
        <v>861</v>
      </c>
      <c r="B864" t="s">
        <v>1688</v>
      </c>
      <c r="C864" t="s">
        <v>1689</v>
      </c>
      <c r="D864" t="str">
        <f t="shared" si="26"/>
        <v>861. V20208</v>
      </c>
      <c r="E864" s="5" t="str">
        <f t="shared" ca="1" si="27"/>
        <v>Jufan Industrial Co., Ltd</v>
      </c>
      <c r="F864" t="str">
        <f>IFERROR(VLOOKUP(Table1[[#This Row],[Tên đối tượng]],'DANH MỤC ĐỐI TƯỢNG'!A:E,5,0),"")</f>
        <v>No.118 Yongkehuan R1, Yongkang Dist, Tainan City 71041, Taiwan</v>
      </c>
      <c r="G864">
        <f>_xlfn.IFNA(VLOOKUP(Table1[[#This Row],[Tên đối tượng]],'DANH MỤC ĐỐI TƯỢNG'!A:F,6,0),"")</f>
        <v>0</v>
      </c>
      <c r="H864" t="str">
        <f>_xlfn.IFNA(VLOOKUP(Table1[[#This Row],[Tên đối tượng]],'DANH MỤC ĐỐI TƯỢNG'!A:I,9,0),"")</f>
        <v>Mega International Commercial Bank Co., LTD-Yung Kang Branch</v>
      </c>
      <c r="I864" t="str">
        <f>_xlfn.IFNA(VLOOKUP(Table1[[#This Row],[Tên đối tượng]],'DANH MỤC ĐỐI TƯỢNG'!A:J,10,0),"")</f>
        <v>050-53-02985-2</v>
      </c>
    </row>
    <row r="865" spans="1:9" x14ac:dyDescent="0.3">
      <c r="A865">
        <v>862</v>
      </c>
      <c r="B865" t="s">
        <v>1690</v>
      </c>
      <c r="C865" t="s">
        <v>1691</v>
      </c>
      <c r="D865" t="str">
        <f t="shared" si="26"/>
        <v>862. V10645</v>
      </c>
      <c r="E865" s="5" t="str">
        <f t="shared" ca="1" si="27"/>
        <v>Công ty TNHH vận chuyển người bệnh đất cảng</v>
      </c>
      <c r="F865" t="str">
        <f>IFERROR(VLOOKUP(Table1[[#This Row],[Tên đối tượng]],'DANH MỤC ĐỐI TƯỢNG'!A:E,5,0),"")</f>
        <v>Số 165 Hoàng Minh Thảo, Phường Trần Nguyên Hãn, Quận Lê Chân, Thành phố Hải Phòng, Việt Nam</v>
      </c>
      <c r="G865">
        <f>_xlfn.IFNA(VLOOKUP(Table1[[#This Row],[Tên đối tượng]],'DANH MỤC ĐỐI TƯỢNG'!A:F,6,0),"")</f>
        <v>0</v>
      </c>
      <c r="H865" t="str">
        <f>_xlfn.IFNA(VLOOKUP(Table1[[#This Row],[Tên đối tượng]],'DANH MỤC ĐỐI TƯỢNG'!A:I,9,0),"")</f>
        <v>Ngân hàng TMCP Phương Đông-Chi nhánh Hải Phòng</v>
      </c>
      <c r="I865" t="str">
        <f>_xlfn.IFNA(VLOOKUP(Table1[[#This Row],[Tên đối tượng]],'DANH MỤC ĐỐI TƯỢNG'!A:J,10,0),"")</f>
        <v>0144100000690006</v>
      </c>
    </row>
    <row r="866" spans="1:9" x14ac:dyDescent="0.3">
      <c r="A866">
        <v>863</v>
      </c>
      <c r="B866">
        <v>105900</v>
      </c>
      <c r="C866" t="s">
        <v>1692</v>
      </c>
      <c r="D866" t="str">
        <f t="shared" si="26"/>
        <v>863. 105900</v>
      </c>
      <c r="E866" s="5" t="str">
        <f t="shared" ca="1" si="27"/>
        <v>Bridgestone Carbon Black (Thailand) Co.,Ltd</v>
      </c>
      <c r="F866" t="str">
        <f>IFERROR(VLOOKUP(Table1[[#This Row],[Tên đối tượng]],'DANH MỤC ĐỐI TƯỢNG'!A:E,5,0),"")</f>
        <v/>
      </c>
      <c r="G866" t="str">
        <f>_xlfn.IFNA(VLOOKUP(Table1[[#This Row],[Tên đối tượng]],'DANH MỤC ĐỐI TƯỢNG'!A:F,6,0),"")</f>
        <v/>
      </c>
      <c r="H866" t="str">
        <f>_xlfn.IFNA(VLOOKUP(Table1[[#This Row],[Tên đối tượng]],'DANH MỤC ĐỐI TƯỢNG'!A:I,9,0),"")</f>
        <v/>
      </c>
      <c r="I866" t="str">
        <f>_xlfn.IFNA(VLOOKUP(Table1[[#This Row],[Tên đối tượng]],'DANH MỤC ĐỐI TƯỢNG'!A:J,10,0),"")</f>
        <v/>
      </c>
    </row>
    <row r="867" spans="1:9" x14ac:dyDescent="0.3">
      <c r="A867">
        <v>864</v>
      </c>
      <c r="B867" t="s">
        <v>1693</v>
      </c>
      <c r="C867" t="s">
        <v>1694</v>
      </c>
      <c r="D867" t="str">
        <f t="shared" si="26"/>
        <v>864. V20209</v>
      </c>
      <c r="E867" s="5" t="str">
        <f t="shared" ca="1" si="27"/>
        <v>Amstrong Rubber and Chemical Products Co., Ltd</v>
      </c>
      <c r="F867" t="str">
        <f>IFERROR(VLOOKUP(Table1[[#This Row],[Tên đối tượng]],'DANH MỤC ĐỐI TƯỢNG'!A:E,5,0),"")</f>
        <v>103/3 Moo 5 Tambol Bangsamak,Amphur Bangpakong,Chachoengsao 24130 Thailand</v>
      </c>
      <c r="G867">
        <f>_xlfn.IFNA(VLOOKUP(Table1[[#This Row],[Tên đối tượng]],'DANH MỤC ĐỐI TƯỢNG'!A:F,6,0),"")</f>
        <v>0</v>
      </c>
      <c r="H867" t="str">
        <f>_xlfn.IFNA(VLOOKUP(Table1[[#This Row],[Tên đối tượng]],'DANH MỤC ĐỐI TƯỢNG'!A:I,9,0),"")</f>
        <v>CIMB THAI BANK PUBLIC COMPANY LIMITED-MEGA BANGNA</v>
      </c>
      <c r="I867" t="str">
        <f>_xlfn.IFNA(VLOOKUP(Table1[[#This Row],[Tên đối tượng]],'DANH MỤC ĐỐI TƯỢNG'!A:J,10,0),"")</f>
        <v>70-0314274-4</v>
      </c>
    </row>
    <row r="868" spans="1:9" x14ac:dyDescent="0.3">
      <c r="A868">
        <v>865</v>
      </c>
      <c r="B868" t="s">
        <v>1695</v>
      </c>
      <c r="C868" t="s">
        <v>1696</v>
      </c>
      <c r="D868" t="str">
        <f t="shared" si="26"/>
        <v>865. V10651</v>
      </c>
      <c r="E868" s="5" t="str">
        <f t="shared" ca="1" si="27"/>
        <v>Công ty TNHH Nguyễn Hoàng Huynh</v>
      </c>
      <c r="F868" t="str">
        <f>IFERROR(VLOOKUP(Table1[[#This Row],[Tên đối tượng]],'DANH MỤC ĐỐI TƯỢNG'!A:E,5,0),"")</f>
        <v>6 Đường số 1,  Kdc Cityland, phường 7, quận Gò Vấp, Thành phố Hồ Chí Minh</v>
      </c>
      <c r="G868">
        <f>_xlfn.IFNA(VLOOKUP(Table1[[#This Row],[Tên đối tượng]],'DANH MỤC ĐỐI TƯỢNG'!A:F,6,0),"")</f>
        <v>0</v>
      </c>
      <c r="H868" t="str">
        <f>_xlfn.IFNA(VLOOKUP(Table1[[#This Row],[Tên đối tượng]],'DANH MỤC ĐỐI TƯỢNG'!A:I,9,0),"")</f>
        <v>Ngân hàng Ngoại thương Việt Nam (Vietcombank)-Chi nhánh TP. Hồ Chí Minh</v>
      </c>
      <c r="I868" t="str">
        <f>_xlfn.IFNA(VLOOKUP(Table1[[#This Row],[Tên đối tượng]],'DANH MỤC ĐỐI TƯỢNG'!A:J,10,0),"")</f>
        <v>0071004085568</v>
      </c>
    </row>
    <row r="869" spans="1:9" x14ac:dyDescent="0.3">
      <c r="A869">
        <v>866</v>
      </c>
      <c r="B869" t="s">
        <v>1697</v>
      </c>
      <c r="C869" t="s">
        <v>1698</v>
      </c>
      <c r="D869" t="str">
        <f t="shared" si="26"/>
        <v>866. V10652</v>
      </c>
      <c r="E869" s="5" t="str">
        <f t="shared" ca="1" si="27"/>
        <v>Công ty TNHH Đầu Tư và Phát Triển Thương Mại Quốc Tế AG</v>
      </c>
      <c r="F869" t="str">
        <f>IFERROR(VLOOKUP(Table1[[#This Row],[Tên đối tượng]],'DANH MỤC ĐỐI TƯỢNG'!A:E,5,0),"")</f>
        <v>Số 38, tổ 38, Khu đô thị Bắc Linh Đàm, Phường Đại Kim,Quận Hoàng Mai,Thành phố Hà Nội, Việt Nam</v>
      </c>
      <c r="G869">
        <f>_xlfn.IFNA(VLOOKUP(Table1[[#This Row],[Tên đối tượng]],'DANH MỤC ĐỐI TƯỢNG'!A:F,6,0),"")</f>
        <v>0</v>
      </c>
      <c r="H869" t="str">
        <f>_xlfn.IFNA(VLOOKUP(Table1[[#This Row],[Tên đối tượng]],'DANH MỤC ĐỐI TƯỢNG'!A:I,9,0),"")</f>
        <v>Ngân hàng TMCP Đầu tư và Phát triển Việt Nam (BIDV)-Chi nhánh Hà Thành</v>
      </c>
      <c r="I869" t="str">
        <f>_xlfn.IFNA(VLOOKUP(Table1[[#This Row],[Tên đối tượng]],'DANH MỤC ĐỐI TƯỢNG'!A:J,10,0),"")</f>
        <v>12210000940159</v>
      </c>
    </row>
    <row r="870" spans="1:9" x14ac:dyDescent="0.3">
      <c r="A870">
        <v>867</v>
      </c>
      <c r="B870" t="s">
        <v>1699</v>
      </c>
      <c r="C870" t="s">
        <v>1700</v>
      </c>
      <c r="D870" t="str">
        <f t="shared" si="26"/>
        <v>867. V20211</v>
      </c>
      <c r="E870" s="5" t="str">
        <f t="shared" ca="1" si="27"/>
        <v>Qingdao Mesnac Machinery and Electric Engineering Co., Ltd</v>
      </c>
      <c r="F870" t="str">
        <f>IFERROR(VLOOKUP(Table1[[#This Row],[Tên đối tượng]],'DANH MỤC ĐỐI TƯỢNG'!A:E,5,0),"")</f>
        <v>No.43,Zhengzhou Road, QingdaoShandong 266045, China</v>
      </c>
      <c r="G870">
        <f>_xlfn.IFNA(VLOOKUP(Table1[[#This Row],[Tên đối tượng]],'DANH MỤC ĐỐI TƯỢNG'!A:F,6,0),"")</f>
        <v>0</v>
      </c>
      <c r="H870" t="str">
        <f>_xlfn.IFNA(VLOOKUP(Table1[[#This Row],[Tên đối tượng]],'DANH MỤC ĐỐI TƯỢNG'!A:I,9,0),"")</f>
        <v>Agricultural Bank of China-Qingdao Branch</v>
      </c>
      <c r="I870" t="str">
        <f>_xlfn.IFNA(VLOOKUP(Table1[[#This Row],[Tên đối tượng]],'DANH MỤC ĐỐI TƯỢNG'!A:J,10,0),"")</f>
        <v>38080114040002026</v>
      </c>
    </row>
    <row r="871" spans="1:9" x14ac:dyDescent="0.3">
      <c r="A871">
        <v>868</v>
      </c>
      <c r="B871" t="s">
        <v>1701</v>
      </c>
      <c r="C871" t="s">
        <v>1702</v>
      </c>
      <c r="D871" t="str">
        <f t="shared" si="26"/>
        <v>868. V10653</v>
      </c>
      <c r="E871" s="5" t="str">
        <f t="shared" ca="1" si="27"/>
        <v>Công ty cổ phần kinh doanh thiết bị đo lường</v>
      </c>
      <c r="F871" t="str">
        <f>IFERROR(VLOOKUP(Table1[[#This Row],[Tên đối tượng]],'DANH MỤC ĐỐI TƯỢNG'!A:E,5,0),"")</f>
        <v>Tầng 2, số 37 phố Nguyễn Sơn,phường Ngọc Lâm,quận Long Biên, thành phố Hà Nội, Việt Nam</v>
      </c>
      <c r="G871">
        <f>_xlfn.IFNA(VLOOKUP(Table1[[#This Row],[Tên đối tượng]],'DANH MỤC ĐỐI TƯỢNG'!A:F,6,0),"")</f>
        <v>0</v>
      </c>
      <c r="H871" t="str">
        <f>_xlfn.IFNA(VLOOKUP(Table1[[#This Row],[Tên đối tượng]],'DANH MỤC ĐỐI TƯỢNG'!A:I,9,0),"")</f>
        <v>Ngân hàng TMCP Sài Gòn Thương Tín-CN Đống Đa</v>
      </c>
      <c r="I871" t="str">
        <f>_xlfn.IFNA(VLOOKUP(Table1[[#This Row],[Tên đối tượng]],'DANH MỤC ĐỐI TƯỢNG'!A:J,10,0),"")</f>
        <v>020031680639</v>
      </c>
    </row>
    <row r="872" spans="1:9" x14ac:dyDescent="0.3">
      <c r="A872">
        <v>869</v>
      </c>
      <c r="B872" t="s">
        <v>1703</v>
      </c>
      <c r="C872" t="s">
        <v>1704</v>
      </c>
      <c r="D872" t="str">
        <f t="shared" si="26"/>
        <v>869. V20212</v>
      </c>
      <c r="E872" s="5" t="str">
        <f t="shared" ca="1" si="27"/>
        <v>Eidensha Co., Ltd</v>
      </c>
      <c r="F872" t="str">
        <f>IFERROR(VLOOKUP(Table1[[#This Row],[Tên đối tượng]],'DANH MỤC ĐỐI TƯỢNG'!A:E,5,0),"")</f>
        <v>2348-8, Minamitsuru,Tsubukuhonmachi,Kurume,Fukuoka, Japan 830-0047</v>
      </c>
      <c r="G872">
        <f>_xlfn.IFNA(VLOOKUP(Table1[[#This Row],[Tên đối tượng]],'DANH MỤC ĐỐI TƯỢNG'!A:F,6,0),"")</f>
        <v>0</v>
      </c>
      <c r="H872" t="str">
        <f>_xlfn.IFNA(VLOOKUP(Table1[[#This Row],[Tên đối tượng]],'DANH MỤC ĐỐI TƯỢNG'!A:I,9,0),"")</f>
        <v>MUFG Bank, Ltd-Kurume Branch</v>
      </c>
      <c r="I872" t="str">
        <f>_xlfn.IFNA(VLOOKUP(Table1[[#This Row],[Tên đối tượng]],'DANH MỤC ĐỐI TƯỢNG'!A:J,10,0),"")</f>
        <v>0225511</v>
      </c>
    </row>
    <row r="873" spans="1:9" x14ac:dyDescent="0.3">
      <c r="A873">
        <v>870</v>
      </c>
      <c r="B873" t="s">
        <v>1705</v>
      </c>
      <c r="C873" t="s">
        <v>1706</v>
      </c>
      <c r="D873" t="str">
        <f t="shared" si="26"/>
        <v>870. V10654</v>
      </c>
      <c r="E873" s="5" t="str">
        <f t="shared" ca="1" si="27"/>
        <v>Công ty TNHH Phan Hà Anh</v>
      </c>
      <c r="F873" t="str">
        <f>IFERROR(VLOOKUP(Table1[[#This Row],[Tên đối tượng]],'DANH MỤC ĐỐI TƯỢNG'!A:E,5,0),"")</f>
        <v>Số 45 Bến Láng,  Phường Đằng Lâm, Quận Hải Anh, Thành phố Hải Phòng, Việt Nam</v>
      </c>
      <c r="G873">
        <f>_xlfn.IFNA(VLOOKUP(Table1[[#This Row],[Tên đối tượng]],'DANH MỤC ĐỐI TƯỢNG'!A:F,6,0),"")</f>
        <v>0</v>
      </c>
      <c r="H873" t="str">
        <f>_xlfn.IFNA(VLOOKUP(Table1[[#This Row],[Tên đối tượng]],'DANH MỤC ĐỐI TƯỢNG'!A:I,9,0),"")</f>
        <v>Ngân hàng thương mại cổ phần Á Châu-Chi nhánh Hải Phòng</v>
      </c>
      <c r="I873" t="str">
        <f>_xlfn.IFNA(VLOOKUP(Table1[[#This Row],[Tên đối tượng]],'DANH MỤC ĐỐI TƯỢNG'!A:J,10,0),"")</f>
        <v>787686888</v>
      </c>
    </row>
    <row r="874" spans="1:9" x14ac:dyDescent="0.3">
      <c r="A874">
        <v>871</v>
      </c>
      <c r="B874" t="s">
        <v>1707</v>
      </c>
      <c r="C874" t="s">
        <v>1708</v>
      </c>
      <c r="D874" t="str">
        <f t="shared" si="26"/>
        <v>871. V10655</v>
      </c>
      <c r="E874" s="5" t="str">
        <f t="shared" ca="1" si="27"/>
        <v>Công ty TNHH thương mại vận tải xuất nhập khẩu Tuấn Đạt</v>
      </c>
      <c r="F874" t="str">
        <f>IFERROR(VLOOKUP(Table1[[#This Row],[Tên đối tượng]],'DANH MỤC ĐỐI TƯỢNG'!A:E,5,0),"")</f>
        <v>Số 18 lô 3C KĐTM ngã Năm sân bay Cát Bi,phường Đông Khê,quận Ngô Quyền, thành phố Hải Phòng</v>
      </c>
      <c r="G874">
        <f>_xlfn.IFNA(VLOOKUP(Table1[[#This Row],[Tên đối tượng]],'DANH MỤC ĐỐI TƯỢNG'!A:F,6,0),"")</f>
        <v>0</v>
      </c>
      <c r="H874" t="str">
        <f>_xlfn.IFNA(VLOOKUP(Table1[[#This Row],[Tên đối tượng]],'DANH MỤC ĐỐI TƯỢNG'!A:I,9,0),"")</f>
        <v>Ngân hàng TMCP Việt Nam Thịnh Vượng</v>
      </c>
      <c r="I874" t="str">
        <f>_xlfn.IFNA(VLOOKUP(Table1[[#This Row],[Tên đối tượng]],'DANH MỤC ĐỐI TƯỢNG'!A:J,10,0),"")</f>
        <v>51062183</v>
      </c>
    </row>
    <row r="875" spans="1:9" x14ac:dyDescent="0.3">
      <c r="A875">
        <v>872</v>
      </c>
      <c r="B875" t="s">
        <v>1709</v>
      </c>
      <c r="C875" t="s">
        <v>1710</v>
      </c>
      <c r="D875" t="str">
        <f t="shared" si="26"/>
        <v>872. V20213</v>
      </c>
      <c r="E875" s="5" t="str">
        <f t="shared" ca="1" si="27"/>
        <v>Jagro Singapore Pte. Ltd</v>
      </c>
      <c r="F875" t="str">
        <f>IFERROR(VLOOKUP(Table1[[#This Row],[Tên đối tượng]],'DANH MỤC ĐỐI TƯỢNG'!A:E,5,0),"")</f>
        <v>300 Tampines Avenue 5,Tampines Junction#09 02 Singapore 529653</v>
      </c>
      <c r="G875">
        <f>_xlfn.IFNA(VLOOKUP(Table1[[#This Row],[Tên đối tượng]],'DANH MỤC ĐỐI TƯỢNG'!A:F,6,0),"")</f>
        <v>0</v>
      </c>
      <c r="H875" t="str">
        <f>_xlfn.IFNA(VLOOKUP(Table1[[#This Row],[Tên đối tượng]],'DANH MỤC ĐỐI TƯỢNG'!A:I,9,0),"")</f>
        <v>Mizuho Bank, Ltd-Singapore</v>
      </c>
      <c r="I875" t="str">
        <f>_xlfn.IFNA(VLOOKUP(Table1[[#This Row],[Tên đối tượng]],'DANH MỤC ĐỐI TƯỢNG'!A:J,10,0),"")</f>
        <v>H10-849-416083</v>
      </c>
    </row>
    <row r="876" spans="1:9" x14ac:dyDescent="0.3">
      <c r="A876">
        <v>873</v>
      </c>
      <c r="B876" t="s">
        <v>1711</v>
      </c>
      <c r="C876" t="s">
        <v>1712</v>
      </c>
      <c r="D876" t="str">
        <f t="shared" si="26"/>
        <v>873. V10656</v>
      </c>
      <c r="E876" s="5" t="str">
        <f t="shared" ca="1" si="27"/>
        <v>Công ty cổ phần quản lý chuỗi cung ứng Jupiter Hải Phòng Việt Nam- Chi nhánh Đình Vũ</v>
      </c>
      <c r="F876" t="str">
        <f>IFERROR(VLOOKUP(Table1[[#This Row],[Tên đối tượng]],'DANH MỤC ĐỐI TƯỢNG'!A:E,5,0),"")</f>
        <v/>
      </c>
      <c r="G876" t="str">
        <f>_xlfn.IFNA(VLOOKUP(Table1[[#This Row],[Tên đối tượng]],'DANH MỤC ĐỐI TƯỢNG'!A:F,6,0),"")</f>
        <v/>
      </c>
      <c r="H876" t="str">
        <f>_xlfn.IFNA(VLOOKUP(Table1[[#This Row],[Tên đối tượng]],'DANH MỤC ĐỐI TƯỢNG'!A:I,9,0),"")</f>
        <v/>
      </c>
      <c r="I876" t="str">
        <f>_xlfn.IFNA(VLOOKUP(Table1[[#This Row],[Tên đối tượng]],'DANH MỤC ĐỐI TƯỢNG'!A:J,10,0),"")</f>
        <v/>
      </c>
    </row>
    <row r="877" spans="1:9" x14ac:dyDescent="0.3">
      <c r="A877">
        <v>874</v>
      </c>
      <c r="B877" t="s">
        <v>1713</v>
      </c>
      <c r="C877" t="s">
        <v>1714</v>
      </c>
      <c r="D877" t="str">
        <f t="shared" si="26"/>
        <v>874. V10657</v>
      </c>
      <c r="E877" s="5" t="str">
        <f t="shared" ca="1" si="27"/>
        <v>Hộ kinh doanh Phạm Xuân Tiến</v>
      </c>
      <c r="F877" t="str">
        <f>IFERROR(VLOOKUP(Table1[[#This Row],[Tên đối tượng]],'DANH MỤC ĐỐI TƯỢNG'!A:E,5,0),"")</f>
        <v>Số 32C/10/1041 Tôn Đức Thắng,Phường Sở Dầu,Quận Hồng Bàng,Thành phố Hải Phòng, Việt Nam</v>
      </c>
      <c r="G877">
        <f>_xlfn.IFNA(VLOOKUP(Table1[[#This Row],[Tên đối tượng]],'DANH MỤC ĐỐI TƯỢNG'!A:F,6,0),"")</f>
        <v>0</v>
      </c>
      <c r="H877" t="str">
        <f>_xlfn.IFNA(VLOOKUP(Table1[[#This Row],[Tên đối tượng]],'DANH MỤC ĐỐI TƯỢNG'!A:I,9,0),"")</f>
        <v>Ngân hàng TMCP Quân Đội-PGD Thượng Lý</v>
      </c>
      <c r="I877" t="str">
        <f>_xlfn.IFNA(VLOOKUP(Table1[[#This Row],[Tên đối tượng]],'DANH MỤC ĐỐI TƯỢNG'!A:J,10,0),"")</f>
        <v>190720136666</v>
      </c>
    </row>
    <row r="878" spans="1:9" x14ac:dyDescent="0.3">
      <c r="A878">
        <v>875</v>
      </c>
      <c r="B878" t="s">
        <v>1715</v>
      </c>
      <c r="C878" t="s">
        <v>1716</v>
      </c>
      <c r="D878" t="str">
        <f t="shared" si="26"/>
        <v>875. V10646</v>
      </c>
      <c r="E878" s="5" t="str">
        <f t="shared" ca="1" si="27"/>
        <v>Công ty TNHH dịch vụ IKAO</v>
      </c>
      <c r="F878" t="str">
        <f>IFERROR(VLOOKUP(Table1[[#This Row],[Tên đối tượng]],'DANH MỤC ĐỐI TƯỢNG'!A:E,5,0),"")</f>
        <v>Số 30 ngõ 91 đường Trần Duy Hưng, Phường Trung Hòa, Quận Cầu Giấy, Thành phố Hà Nội, Việt Nam</v>
      </c>
      <c r="G878">
        <f>_xlfn.IFNA(VLOOKUP(Table1[[#This Row],[Tên đối tượng]],'DANH MỤC ĐỐI TƯỢNG'!A:F,6,0),"")</f>
        <v>0</v>
      </c>
      <c r="H878" t="str">
        <f>_xlfn.IFNA(VLOOKUP(Table1[[#This Row],[Tên đối tượng]],'DANH MỤC ĐỐI TƯỢNG'!A:I,9,0),"")</f>
        <v>Ngân hàng thương mại cổ phần quân đội-CN Đống Đa</v>
      </c>
      <c r="I878" t="str">
        <f>_xlfn.IFNA(VLOOKUP(Table1[[#This Row],[Tên đối tượng]],'DANH MỤC ĐỐI TƯỢNG'!A:J,10,0),"")</f>
        <v>7010101010111</v>
      </c>
    </row>
    <row r="879" spans="1:9" x14ac:dyDescent="0.3">
      <c r="A879">
        <v>876</v>
      </c>
      <c r="B879" t="s">
        <v>1717</v>
      </c>
      <c r="C879" t="s">
        <v>1718</v>
      </c>
      <c r="D879" t="str">
        <f t="shared" si="26"/>
        <v>876. V20170</v>
      </c>
      <c r="E879" s="5" t="str">
        <f ca="1">IF(B879&lt;&gt;"",HYPERLINK($A$2&amp;D879,C879),"")</f>
        <v>KATSURA ROLLER MFG CO.,LTD</v>
      </c>
      <c r="F879" t="str">
        <f>IFERROR(VLOOKUP(Table1[[#This Row],[Tên đối tượng]],'DANH MỤC ĐỐI TƯỢNG'!A:E,5,0),"")</f>
        <v>1-4-10, Tokiwamachi, Chuo-ku, Osaka, 540-0028, Japan</v>
      </c>
      <c r="G879">
        <f>_xlfn.IFNA(VLOOKUP(Table1[[#This Row],[Tên đối tượng]],'DANH MỤC ĐỐI TƯỢNG'!A:F,6,0),"")</f>
        <v>0</v>
      </c>
      <c r="H879" t="str">
        <f>_xlfn.IFNA(VLOOKUP(Table1[[#This Row],[Tên đối tượng]],'DANH MỤC ĐỐI TƯỢNG'!A:I,9,0),"")</f>
        <v>MUFG BANK, LTD  - KAWARAMACHI BRANCH</v>
      </c>
      <c r="I879" t="str">
        <f>_xlfn.IFNA(VLOOKUP(Table1[[#This Row],[Tên đối tượng]],'DANH MỤC ĐỐI TƯỢNG'!A:J,10,0),"")</f>
        <v>0183464</v>
      </c>
    </row>
    <row r="880" spans="1:9" x14ac:dyDescent="0.3">
      <c r="A880">
        <v>877</v>
      </c>
      <c r="B880" t="s">
        <v>1719</v>
      </c>
      <c r="C880" t="s">
        <v>1720</v>
      </c>
      <c r="D880" t="str">
        <f t="shared" si="26"/>
        <v>877. V10649</v>
      </c>
      <c r="E880" s="5" t="str">
        <f ca="1">IF(B880&lt;&gt;"",HYPERLINK($A$2&amp;D880,C880),"")</f>
        <v xml:space="preserve">Công ty cổ phần tư vấn xây dựng đô thị và phát triển công nghiệp </v>
      </c>
      <c r="F880" t="str">
        <f>IFERROR(VLOOKUP(Table1[[#This Row],[Tên đối tượng]],'DANH MỤC ĐỐI TƯỢNG'!A:E,5,0),"")</f>
        <v/>
      </c>
      <c r="G880" t="str">
        <f>_xlfn.IFNA(VLOOKUP(Table1[[#This Row],[Tên đối tượng]],'DANH MỤC ĐỐI TƯỢNG'!A:F,6,0),"")</f>
        <v/>
      </c>
      <c r="H880" t="str">
        <f>_xlfn.IFNA(VLOOKUP(Table1[[#This Row],[Tên đối tượng]],'DANH MỤC ĐỐI TƯỢNG'!A:I,9,0),"")</f>
        <v/>
      </c>
      <c r="I880" t="str">
        <f>_xlfn.IFNA(VLOOKUP(Table1[[#This Row],[Tên đối tượng]],'DANH MỤC ĐỐI TƯỢNG'!A:J,10,0),"")</f>
        <v/>
      </c>
    </row>
    <row r="881" spans="1:9" x14ac:dyDescent="0.3">
      <c r="A881">
        <v>878</v>
      </c>
      <c r="B881" t="s">
        <v>1721</v>
      </c>
      <c r="C881" t="s">
        <v>1722</v>
      </c>
      <c r="D881" t="str">
        <f t="shared" si="26"/>
        <v>878. V10660</v>
      </c>
      <c r="E881" s="5" t="str">
        <f t="shared" ca="1" si="27"/>
        <v>Công ty Cổ phần chứng số an toàn</v>
      </c>
      <c r="F881" t="str">
        <f>IFERROR(VLOOKUP(Table1[[#This Row],[Tên đối tượng]],'DANH MỤC ĐỐI TƯỢNG'!A:E,5,0),"")</f>
        <v>X-04.77 Tòa nhà North Towers Sunrise City,số 27 Nguyễn Hữu Thọ, phường Tân Hưng,quận 7,Thành phố Hồ Chí Minh, Việt Nam</v>
      </c>
      <c r="G881">
        <f>_xlfn.IFNA(VLOOKUP(Table1[[#This Row],[Tên đối tượng]],'DANH MỤC ĐỐI TƯỢNG'!A:F,6,0),"")</f>
        <v>0</v>
      </c>
      <c r="H881" t="str">
        <f>_xlfn.IFNA(VLOOKUP(Table1[[#This Row],[Tên đối tượng]],'DANH MỤC ĐỐI TƯỢNG'!A:I,9,0),"")</f>
        <v>Ngân hàng TMCP Đông Á-Chi nhánh Đinh Tiên Hoàng-PGD Lê Văn Sỹ</v>
      </c>
      <c r="I881" t="str">
        <f>_xlfn.IFNA(VLOOKUP(Table1[[#This Row],[Tên đối tượng]],'DANH MỤC ĐỐI TƯỢNG'!A:J,10,0),"")</f>
        <v>006081540001</v>
      </c>
    </row>
    <row r="882" spans="1:9" x14ac:dyDescent="0.3">
      <c r="A882">
        <v>879</v>
      </c>
      <c r="B882" t="s">
        <v>1723</v>
      </c>
      <c r="C882" t="s">
        <v>1724</v>
      </c>
      <c r="D882" t="str">
        <f t="shared" si="26"/>
        <v>879. V10650</v>
      </c>
      <c r="E882" s="5" t="str">
        <f t="shared" ca="1" si="27"/>
        <v>Công ty cổ phần dịch vụ và ứng dụng tự động A2S</v>
      </c>
      <c r="F882" t="str">
        <f>IFERROR(VLOOKUP(Table1[[#This Row],[Tên đối tượng]],'DANH MỤC ĐỐI TƯỢNG'!A:E,5,0),"")</f>
        <v>Nhà số 6A, hẻm 135/73/3, đường Đội Cấn,Phường Ngọc Hà, Quận Ba Đình, Thành phố Hà Nội, Việt Nam</v>
      </c>
      <c r="G882">
        <f>_xlfn.IFNA(VLOOKUP(Table1[[#This Row],[Tên đối tượng]],'DANH MỤC ĐỐI TƯỢNG'!A:F,6,0),"")</f>
        <v>0</v>
      </c>
      <c r="H882" t="str">
        <f>_xlfn.IFNA(VLOOKUP(Table1[[#This Row],[Tên đối tượng]],'DANH MỤC ĐỐI TƯỢNG'!A:I,9,0),"")</f>
        <v>Ngân hàng TMCP Hàng Hải Việt Nam-Chi nhánh Nam Hà Nội</v>
      </c>
      <c r="I882" t="str">
        <f>_xlfn.IFNA(VLOOKUP(Table1[[#This Row],[Tên đối tượng]],'DANH MỤC ĐỐI TƯỢNG'!A:J,10,0),"")</f>
        <v>03501013220034</v>
      </c>
    </row>
    <row r="883" spans="1:9" x14ac:dyDescent="0.3">
      <c r="A883">
        <v>880</v>
      </c>
      <c r="B883" t="s">
        <v>1725</v>
      </c>
      <c r="C883" t="s">
        <v>1726</v>
      </c>
      <c r="D883" t="str">
        <f t="shared" si="26"/>
        <v>880. V10658</v>
      </c>
      <c r="E883" s="5" t="str">
        <f t="shared" ca="1" si="27"/>
        <v>Công ty TNHH Thương Mại và Dịch Vụ LLAMA Quốc Tế</v>
      </c>
      <c r="F883" t="str">
        <f>IFERROR(VLOOKUP(Table1[[#This Row],[Tên đối tượng]],'DANH MỤC ĐỐI TƯỢNG'!A:E,5,0),"")</f>
        <v>Số nhà 103, phố Phan Văn Trường, Phường Dịch Vọng HậuQuận Cầu Giấy, Thành phố Hà Nội, Việt Nam</v>
      </c>
      <c r="G883">
        <f>_xlfn.IFNA(VLOOKUP(Table1[[#This Row],[Tên đối tượng]],'DANH MỤC ĐỐI TƯỢNG'!A:F,6,0),"")</f>
        <v>0</v>
      </c>
      <c r="H883" t="str">
        <f>_xlfn.IFNA(VLOOKUP(Table1[[#This Row],[Tên đối tượng]],'DANH MỤC ĐỐI TƯỢNG'!A:I,9,0),"")</f>
        <v>Ngân hàng TMCP Quân Đội-Chi nhánh Trần Duy Hưng-PGD Xuân Thủy</v>
      </c>
      <c r="I883" t="str">
        <f>_xlfn.IFNA(VLOOKUP(Table1[[#This Row],[Tên đối tượng]],'DANH MỤC ĐỐI TƯỢNG'!A:J,10,0),"")</f>
        <v>0186967899999</v>
      </c>
    </row>
    <row r="884" spans="1:9" x14ac:dyDescent="0.3">
      <c r="A884">
        <v>881</v>
      </c>
      <c r="B884" t="s">
        <v>1727</v>
      </c>
      <c r="C884" t="s">
        <v>1728</v>
      </c>
      <c r="D884" t="str">
        <f t="shared" si="26"/>
        <v>881. V10659</v>
      </c>
      <c r="E884" s="5" t="str">
        <f t="shared" ca="1" si="27"/>
        <v>Công ty Cổ phần MPK Việt Nam</v>
      </c>
      <c r="F884" t="str">
        <f>IFERROR(VLOOKUP(Table1[[#This Row],[Tên đối tượng]],'DANH MỤC ĐỐI TƯỢNG'!A:E,5,0),"")</f>
        <v>Tầng 7, Tòa nhà Sannam, số 78 Phố Duy TânPhường Dịch Vọng HậuQuận Cầu Giấy,Thành phố Hà Nội, Việt Nam</v>
      </c>
      <c r="G884">
        <f>_xlfn.IFNA(VLOOKUP(Table1[[#This Row],[Tên đối tượng]],'DANH MỤC ĐỐI TƯỢNG'!A:F,6,0),"")</f>
        <v>0</v>
      </c>
      <c r="H884" t="str">
        <f>_xlfn.IFNA(VLOOKUP(Table1[[#This Row],[Tên đối tượng]],'DANH MỤC ĐỐI TƯỢNG'!A:I,9,0),"")</f>
        <v>Vietcombank-Chi nhánh Thăng Long</v>
      </c>
      <c r="I884" t="str">
        <f>_xlfn.IFNA(VLOOKUP(Table1[[#This Row],[Tên đối tượng]],'DANH MỤC ĐỐI TƯỢNG'!A:J,10,0),"")</f>
        <v>0491 007 66 88 99</v>
      </c>
    </row>
    <row r="885" spans="1:9" x14ac:dyDescent="0.3">
      <c r="A885">
        <v>882</v>
      </c>
      <c r="B885" t="s">
        <v>1729</v>
      </c>
      <c r="C885" t="s">
        <v>1730</v>
      </c>
      <c r="D885" t="str">
        <f t="shared" si="26"/>
        <v>882. V20210</v>
      </c>
      <c r="E885" s="5" t="str">
        <f t="shared" ca="1" si="27"/>
        <v>Evonik (SEA) Pte. Ltd</v>
      </c>
      <c r="F885" t="str">
        <f>IFERROR(VLOOKUP(Table1[[#This Row],[Tên đối tượng]],'DANH MỤC ĐỐI TƯỢNG'!A:E,5,0),"")</f>
        <v>3 International Business Park #07-18,Nordic European Centre Singapore 609927</v>
      </c>
      <c r="G885">
        <f>_xlfn.IFNA(VLOOKUP(Table1[[#This Row],[Tên đối tượng]],'DANH MỤC ĐỐI TƯỢNG'!A:F,6,0),"")</f>
        <v>0</v>
      </c>
      <c r="H885" t="str">
        <f>_xlfn.IFNA(VLOOKUP(Table1[[#This Row],[Tên đối tượng]],'DANH MỤC ĐỐI TƯỢNG'!A:I,9,0),"")</f>
        <v>J.P.Morgan AG Frankfurt am Main</v>
      </c>
      <c r="I885" t="str">
        <f>_xlfn.IFNA(VLOOKUP(Table1[[#This Row],[Tên đối tượng]],'DANH MỤC ĐỐI TƯỢNG'!A:J,10,0),"")</f>
        <v>DE04 5011 0800 6161 4036 10</v>
      </c>
    </row>
    <row r="886" spans="1:9" x14ac:dyDescent="0.3">
      <c r="A886">
        <v>883</v>
      </c>
      <c r="B886" t="s">
        <v>1731</v>
      </c>
      <c r="C886" t="s">
        <v>1732</v>
      </c>
      <c r="D886" t="str">
        <f t="shared" si="26"/>
        <v>883. V10661</v>
      </c>
      <c r="E886" s="5" t="str">
        <f t="shared" ca="1" si="27"/>
        <v>Công ty Cổ phần Đầu Tư &amp; Công nghệ Push</v>
      </c>
      <c r="F886" t="str">
        <f>IFERROR(VLOOKUP(Table1[[#This Row],[Tên đối tượng]],'DANH MỤC ĐỐI TƯỢNG'!A:E,5,0),"")</f>
        <v>Số 47/384 đường Lạch Tray, Phường Đằng Giang,Quận Ngô Quyền,Thành phố Hải Phòng, Việt Nam</v>
      </c>
      <c r="G886">
        <f>_xlfn.IFNA(VLOOKUP(Table1[[#This Row],[Tên đối tượng]],'DANH MỤC ĐỐI TƯỢNG'!A:F,6,0),"")</f>
        <v>0</v>
      </c>
      <c r="H886" t="str">
        <f>_xlfn.IFNA(VLOOKUP(Table1[[#This Row],[Tên đối tượng]],'DANH MỤC ĐỐI TƯỢNG'!A:I,9,0),"")</f>
        <v>Ngân hàng ACB-Chi nhánh Hải Phòng</v>
      </c>
      <c r="I886" t="str">
        <f>_xlfn.IFNA(VLOOKUP(Table1[[#This Row],[Tên đối tượng]],'DANH MỤC ĐỐI TƯỢNG'!A:J,10,0),"")</f>
        <v>224658</v>
      </c>
    </row>
    <row r="887" spans="1:9" x14ac:dyDescent="0.3">
      <c r="A887">
        <v>884</v>
      </c>
      <c r="B887" t="s">
        <v>1733</v>
      </c>
      <c r="C887" t="s">
        <v>1734</v>
      </c>
      <c r="D887" t="str">
        <f t="shared" si="26"/>
        <v>884. V20214</v>
      </c>
      <c r="E887" s="5" t="str">
        <f t="shared" ca="1" si="27"/>
        <v>Exel Rubber Private Limited</v>
      </c>
      <c r="F887" t="str">
        <f>IFERROR(VLOOKUP(Table1[[#This Row],[Tên đối tượng]],'DANH MỤC ĐỐI TƯỢNG'!A:E,5,0),"")</f>
        <v>107/A,108/A,109/A &amp; 109/4, Cheriyal Sangareddy Mandal, Medak, Telangana,Hyderabad, India</v>
      </c>
      <c r="G887">
        <f>_xlfn.IFNA(VLOOKUP(Table1[[#This Row],[Tên đối tượng]],'DANH MỤC ĐỐI TƯỢNG'!A:F,6,0),"")</f>
        <v>0</v>
      </c>
      <c r="H887" t="str">
        <f>_xlfn.IFNA(VLOOKUP(Table1[[#This Row],[Tên đối tượng]],'DANH MỤC ĐỐI TƯỢNG'!A:I,9,0),"")</f>
        <v>State bank of India-Commercial Branch, Koti</v>
      </c>
      <c r="I887" t="str">
        <f>_xlfn.IFNA(VLOOKUP(Table1[[#This Row],[Tên đối tượng]],'DANH MỤC ĐỐI TƯỢNG'!A:J,10,0),"")</f>
        <v>31709132364</v>
      </c>
    </row>
    <row r="888" spans="1:9" x14ac:dyDescent="0.3">
      <c r="A888">
        <v>885</v>
      </c>
      <c r="B888" t="s">
        <v>1735</v>
      </c>
      <c r="C888" t="s">
        <v>1736</v>
      </c>
      <c r="D888" t="str">
        <f t="shared" si="26"/>
        <v>885. V10662</v>
      </c>
      <c r="E888" s="5" t="str">
        <f t="shared" ca="1" si="27"/>
        <v>Công ty TNHH Kỹ Thuật Nhật Phát</v>
      </c>
      <c r="F888" t="str">
        <f>IFERROR(VLOOKUP(Table1[[#This Row],[Tên đối tượng]],'DANH MỤC ĐỐI TƯỢNG'!A:E,5,0),"")</f>
        <v>Số 5.12 Khu Officetel Tòa nhà Garden Gate,Số 8 đường Hoàng Minh Giám,Phường 9, Quận Phú Nhuận,Thành phố Hồ Chí Minh, Việt Nam</v>
      </c>
      <c r="G888">
        <f>_xlfn.IFNA(VLOOKUP(Table1[[#This Row],[Tên đối tượng]],'DANH MỤC ĐỐI TƯỢNG'!A:F,6,0),"")</f>
        <v>0</v>
      </c>
      <c r="H888" t="str">
        <f>_xlfn.IFNA(VLOOKUP(Table1[[#This Row],[Tên đối tượng]],'DANH MỤC ĐỐI TƯỢNG'!A:I,9,0),"")</f>
        <v>Ngân hàng ACB-CN Cộng Hòa-HCM</v>
      </c>
      <c r="I888" t="str">
        <f>_xlfn.IFNA(VLOOKUP(Table1[[#This Row],[Tên đối tượng]],'DANH MỤC ĐỐI TƯỢNG'!A:J,10,0),"")</f>
        <v>139853969</v>
      </c>
    </row>
    <row r="889" spans="1:9" x14ac:dyDescent="0.3">
      <c r="A889">
        <v>886</v>
      </c>
      <c r="B889" t="s">
        <v>1737</v>
      </c>
      <c r="C889" t="s">
        <v>1738</v>
      </c>
      <c r="D889" t="str">
        <f t="shared" si="26"/>
        <v>886. V10663</v>
      </c>
      <c r="E889" s="5" t="str">
        <f t="shared" ca="1" si="27"/>
        <v>Công ty trách nhiệm hữu hạn H &amp; H</v>
      </c>
      <c r="F889" t="str">
        <f>IFERROR(VLOOKUP(Table1[[#This Row],[Tên đối tượng]],'DANH MỤC ĐỐI TƯỢNG'!A:E,5,0),"")</f>
        <v>368 Lạch Tray,phường Đằng Giang,quận Ngô Quyền, thành phố Hải Phòng, Việt Nam</v>
      </c>
      <c r="G889">
        <f>_xlfn.IFNA(VLOOKUP(Table1[[#This Row],[Tên đối tượng]],'DANH MỤC ĐỐI TƯỢNG'!A:F,6,0),"")</f>
        <v>0</v>
      </c>
      <c r="H889" t="str">
        <f>_xlfn.IFNA(VLOOKUP(Table1[[#This Row],[Tên đối tượng]],'DANH MỤC ĐỐI TƯỢNG'!A:I,9,0),"")</f>
        <v>Ngân hàng TMCP Ngoại thương Việt Nam-Chi nhánh Hải Phòng</v>
      </c>
      <c r="I889" t="str">
        <f>_xlfn.IFNA(VLOOKUP(Table1[[#This Row],[Tên đối tượng]],'DANH MỤC ĐỐI TƯỢNG'!A:J,10,0),"")</f>
        <v>0031009426868</v>
      </c>
    </row>
    <row r="890" spans="1:9" x14ac:dyDescent="0.3">
      <c r="A890">
        <v>887</v>
      </c>
      <c r="B890" t="s">
        <v>1739</v>
      </c>
      <c r="C890" t="s">
        <v>1740</v>
      </c>
      <c r="D890" t="str">
        <f t="shared" si="26"/>
        <v>887. V10647</v>
      </c>
      <c r="E890" s="5" t="str">
        <f t="shared" ca="1" si="27"/>
        <v>Công ty cổ phần đầu tư thương mại Tường Vi</v>
      </c>
      <c r="F890" t="str">
        <f>IFERROR(VLOOKUP(Table1[[#This Row],[Tên đối tượng]],'DANH MỤC ĐỐI TƯỢNG'!A:E,5,0),"")</f>
        <v>Số 7/41 đường Nam Hải, Phường Nam Hải, Quận Hải An, thành phố Hải Phòng, Việt Nam</v>
      </c>
      <c r="G890">
        <f>_xlfn.IFNA(VLOOKUP(Table1[[#This Row],[Tên đối tượng]],'DANH MỤC ĐỐI TƯỢNG'!A:F,6,0),"")</f>
        <v>0</v>
      </c>
      <c r="H890" t="str">
        <f>_xlfn.IFNA(VLOOKUP(Table1[[#This Row],[Tên đối tượng]],'DANH MỤC ĐỐI TƯỢNG'!A:I,9,0),"")</f>
        <v>Ngân hàng TMCP Công Thương Việt Nam-Chi nhánh Lê Chân</v>
      </c>
      <c r="I890" t="str">
        <f>_xlfn.IFNA(VLOOKUP(Table1[[#This Row],[Tên đối tượng]],'DANH MỤC ĐỐI TƯỢNG'!A:J,10,0),"")</f>
        <v>110000192157</v>
      </c>
    </row>
    <row r="891" spans="1:9" x14ac:dyDescent="0.3">
      <c r="A891">
        <v>888</v>
      </c>
      <c r="B891" t="s">
        <v>1741</v>
      </c>
      <c r="C891" t="s">
        <v>1742</v>
      </c>
      <c r="D891" t="str">
        <f t="shared" si="26"/>
        <v>888. V10664</v>
      </c>
      <c r="E891" s="5" t="str">
        <f t="shared" ca="1" si="27"/>
        <v>Công ty TNHH dịch vụ kỹ thuật tiêu chuẩn thông dụng</v>
      </c>
      <c r="F891" t="str">
        <f>IFERROR(VLOOKUP(Table1[[#This Row],[Tên đối tượng]],'DANH MỤC ĐỐI TƯỢNG'!A:E,5,0),"")</f>
        <v>Ô số 30 lô L2, khu nhà ở Nam sông Lạch Tray,phường Anh Dũngquận Dương Kinh,thành phố Hải Phòng, Việt Nam</v>
      </c>
      <c r="G891">
        <f>_xlfn.IFNA(VLOOKUP(Table1[[#This Row],[Tên đối tượng]],'DANH MỤC ĐỐI TƯỢNG'!A:F,6,0),"")</f>
        <v>0</v>
      </c>
      <c r="H891" t="str">
        <f>_xlfn.IFNA(VLOOKUP(Table1[[#This Row],[Tên đối tượng]],'DANH MỤC ĐỐI TƯỢNG'!A:I,9,0),"")</f>
        <v>Ngân hàng TMCP Ngoại thương Việt Nam-Chi nhánh Hải Phòng</v>
      </c>
      <c r="I891" t="str">
        <f>_xlfn.IFNA(VLOOKUP(Table1[[#This Row],[Tên đối tượng]],'DANH MỤC ĐỐI TƯỢNG'!A:J,10,0),"")</f>
        <v>0031000342886</v>
      </c>
    </row>
    <row r="892" spans="1:9" x14ac:dyDescent="0.3">
      <c r="A892">
        <v>889</v>
      </c>
      <c r="B892" t="s">
        <v>1743</v>
      </c>
      <c r="C892" t="s">
        <v>1744</v>
      </c>
      <c r="D892" t="str">
        <f t="shared" si="26"/>
        <v>889. V10665</v>
      </c>
      <c r="E892" s="5" t="str">
        <f t="shared" ca="1" si="27"/>
        <v>Công ty TNHH Kỹ Thuật Hùng Vương</v>
      </c>
      <c r="F892" t="str">
        <f>IFERROR(VLOOKUP(Table1[[#This Row],[Tên đối tượng]],'DANH MỤC ĐỐI TƯỢNG'!A:E,5,0),"")</f>
        <v>Phòng 206 Nhà 5T2, Tập thể Khí tượng Thủy Văn,Phường Láng Thượng, Quận Đống Đa,Thành phố Hà Nội, Việt Nam</v>
      </c>
      <c r="G892">
        <f>_xlfn.IFNA(VLOOKUP(Table1[[#This Row],[Tên đối tượng]],'DANH MỤC ĐỐI TƯỢNG'!A:F,6,0),"")</f>
        <v>0</v>
      </c>
      <c r="H892" t="str">
        <f>_xlfn.IFNA(VLOOKUP(Table1[[#This Row],[Tên đối tượng]],'DANH MỤC ĐỐI TƯỢNG'!A:I,9,0),"")</f>
        <v>Ngân hàng TMCP Hàng Hải Việt Nam-Chi nhánh Nam Hà Nội</v>
      </c>
      <c r="I892" t="str">
        <f>_xlfn.IFNA(VLOOKUP(Table1[[#This Row],[Tên đối tượng]],'DANH MỤC ĐỐI TƯỢNG'!A:J,10,0),"")</f>
        <v>03401010583922</v>
      </c>
    </row>
    <row r="893" spans="1:9" x14ac:dyDescent="0.3">
      <c r="A893">
        <v>890</v>
      </c>
      <c r="B893" t="s">
        <v>1745</v>
      </c>
      <c r="C893" t="s">
        <v>1746</v>
      </c>
      <c r="D893" t="str">
        <f t="shared" si="26"/>
        <v>890. V10666</v>
      </c>
      <c r="E893" s="5" t="str">
        <f t="shared" ca="1" si="27"/>
        <v>Công ty TNHH NACS Engineering Việt Nam</v>
      </c>
      <c r="F893" t="str">
        <f>IFERROR(VLOOKUP(Table1[[#This Row],[Tên đối tượng]],'DANH MỤC ĐỐI TƯỢNG'!A:E,5,0),"")</f>
        <v>TT2.17 Khu Đô Thị Mới Cổ Nhuế, Phường Cổ Nhuế 1, Quận Bắc Từ Liêm, Thành phố Hà Nội, Việt Nam</v>
      </c>
      <c r="G893">
        <f>_xlfn.IFNA(VLOOKUP(Table1[[#This Row],[Tên đối tượng]],'DANH MỤC ĐỐI TƯỢNG'!A:F,6,0),"")</f>
        <v>0</v>
      </c>
      <c r="H893" t="str">
        <f>_xlfn.IFNA(VLOOKUP(Table1[[#This Row],[Tên đối tượng]],'DANH MỤC ĐỐI TƯỢNG'!A:I,9,0),"")</f>
        <v>Ngân hàng Sumitomo Mitsui Banking Corporation</v>
      </c>
      <c r="I893" t="str">
        <f>_xlfn.IFNA(VLOOKUP(Table1[[#This Row],[Tên đối tượng]],'DANH MỤC ĐỐI TƯỢNG'!A:J,10,0),"")</f>
        <v>10086501</v>
      </c>
    </row>
    <row r="894" spans="1:9" x14ac:dyDescent="0.3">
      <c r="A894">
        <v>891</v>
      </c>
      <c r="B894" t="s">
        <v>1747</v>
      </c>
      <c r="C894" t="s">
        <v>1748</v>
      </c>
      <c r="D894" t="str">
        <f t="shared" si="26"/>
        <v>891. V20215</v>
      </c>
      <c r="E894" s="5" t="str">
        <f t="shared" ca="1" si="27"/>
        <v>G M Root Asia Limited</v>
      </c>
      <c r="F894" t="str">
        <f>IFERROR(VLOOKUP(Table1[[#This Row],[Tên đối tượng]],'DANH MỤC ĐỐI TƯỢNG'!A:E,5,0),"")</f>
        <v/>
      </c>
      <c r="G894" t="str">
        <f>_xlfn.IFNA(VLOOKUP(Table1[[#This Row],[Tên đối tượng]],'DANH MỤC ĐỐI TƯỢNG'!A:F,6,0),"")</f>
        <v/>
      </c>
      <c r="H894" t="str">
        <f>_xlfn.IFNA(VLOOKUP(Table1[[#This Row],[Tên đối tượng]],'DANH MỤC ĐỐI TƯỢNG'!A:I,9,0),"")</f>
        <v/>
      </c>
      <c r="I894" t="str">
        <f>_xlfn.IFNA(VLOOKUP(Table1[[#This Row],[Tên đối tượng]],'DANH MỤC ĐỐI TƯỢNG'!A:J,10,0),"")</f>
        <v/>
      </c>
    </row>
    <row r="895" spans="1:9" x14ac:dyDescent="0.3">
      <c r="A895">
        <v>892</v>
      </c>
      <c r="B895" t="s">
        <v>1749</v>
      </c>
      <c r="C895" t="s">
        <v>1750</v>
      </c>
      <c r="D895" t="str">
        <f t="shared" si="26"/>
        <v>892. V10667</v>
      </c>
      <c r="E895" s="5" t="str">
        <f t="shared" ca="1" si="27"/>
        <v>Công ty cổ phần Thí nghiệm Khảo sát và Xây dựng Bạch Đằng</v>
      </c>
      <c r="F895" t="str">
        <f>IFERROR(VLOOKUP(Table1[[#This Row],[Tên đối tượng]],'DANH MỤC ĐỐI TƯỢNG'!A:E,5,0),"")</f>
        <v>Số 268 Trần Nguyên Hãn, phường Niệm Nghĩa, quận Lê Chân, thành phố Hải Phòng, Việt Nam</v>
      </c>
      <c r="G895">
        <f>_xlfn.IFNA(VLOOKUP(Table1[[#This Row],[Tên đối tượng]],'DANH MỤC ĐỐI TƯỢNG'!A:F,6,0),"")</f>
        <v>0</v>
      </c>
      <c r="H895" t="str">
        <f>_xlfn.IFNA(VLOOKUP(Table1[[#This Row],[Tên đối tượng]],'DANH MỤC ĐỐI TƯỢNG'!A:I,9,0),"")</f>
        <v>Ngân hàng TMCP Xuất nhập khẩu Hải Phòng</v>
      </c>
      <c r="I895" t="str">
        <f>_xlfn.IFNA(VLOOKUP(Table1[[#This Row],[Tên đối tượng]],'DANH MỤC ĐỐI TƯỢNG'!A:J,10,0),"")</f>
        <v>160314851009154</v>
      </c>
    </row>
    <row r="896" spans="1:9" x14ac:dyDescent="0.3">
      <c r="A896">
        <v>893</v>
      </c>
      <c r="B896" t="s">
        <v>1751</v>
      </c>
      <c r="C896" t="s">
        <v>1752</v>
      </c>
      <c r="D896" t="str">
        <f t="shared" si="26"/>
        <v>893. V10669</v>
      </c>
      <c r="E896" s="5" t="str">
        <f t="shared" ca="1" si="27"/>
        <v>Công ty TNHH Ocean Network Express (Việt Nam)</v>
      </c>
      <c r="F896" t="str">
        <f>IFERROR(VLOOKUP(Table1[[#This Row],[Tên đối tượng]],'DANH MỤC ĐỐI TƯỢNG'!A:E,5,0),"")</f>
        <v>Tầng 3, mPlaza Saigon, số 39, Lê Duẩn, P.Bến Nghé, Q1, TP.HCM</v>
      </c>
      <c r="G896">
        <f>_xlfn.IFNA(VLOOKUP(Table1[[#This Row],[Tên đối tượng]],'DANH MỤC ĐỐI TƯỢNG'!A:F,6,0),"")</f>
        <v>0</v>
      </c>
      <c r="H896" t="str">
        <f>_xlfn.IFNA(VLOOKUP(Table1[[#This Row],[Tên đối tượng]],'DANH MỤC ĐỐI TƯỢNG'!A:I,9,0),"")</f>
        <v>HSBC bank (Vietnam) LTD</v>
      </c>
      <c r="I896" t="str">
        <f>_xlfn.IFNA(VLOOKUP(Table1[[#This Row],[Tên đối tượng]],'DANH MỤC ĐỐI TƯỢNG'!A:J,10,0),"")</f>
        <v>1040799004</v>
      </c>
    </row>
    <row r="897" spans="1:9" x14ac:dyDescent="0.3">
      <c r="A897">
        <v>894</v>
      </c>
      <c r="B897" t="s">
        <v>1753</v>
      </c>
      <c r="C897" t="s">
        <v>1754</v>
      </c>
      <c r="D897" t="str">
        <f t="shared" si="26"/>
        <v>894. V10670</v>
      </c>
      <c r="E897" s="5" t="str">
        <f t="shared" ca="1" si="27"/>
        <v>Công ty TNHH Vina Foam Việt Nam</v>
      </c>
      <c r="F897" t="str">
        <f>IFERROR(VLOOKUP(Table1[[#This Row],[Tên đối tượng]],'DANH MỤC ĐỐI TƯỢNG'!A:E,5,0),"")</f>
        <v>Lô IN9.2, đường số 4, khu công nghiệp Cẩm Điền-Lương Điền, Xã Cẩm Điền, Huyện Cẩm Giàng, Tỉnh Hải Dương, Việt Nam</v>
      </c>
      <c r="G897">
        <f>_xlfn.IFNA(VLOOKUP(Table1[[#This Row],[Tên đối tượng]],'DANH MỤC ĐỐI TƯỢNG'!A:F,6,0),"")</f>
        <v>0</v>
      </c>
      <c r="H897" t="str">
        <f>_xlfn.IFNA(VLOOKUP(Table1[[#This Row],[Tên đối tượng]],'DANH MỤC ĐỐI TƯỢNG'!A:I,9,0),"")</f>
        <v>Ngân hàng TMCP Quân Đội-Chi nhánh Trần Duy Hưng</v>
      </c>
      <c r="I897" t="str">
        <f>_xlfn.IFNA(VLOOKUP(Table1[[#This Row],[Tên đối tượng]],'DANH MỤC ĐỐI TƯỢNG'!A:J,10,0),"")</f>
        <v>0621101053002</v>
      </c>
    </row>
    <row r="898" spans="1:9" x14ac:dyDescent="0.3">
      <c r="A898">
        <v>895</v>
      </c>
      <c r="B898">
        <v>314400</v>
      </c>
      <c r="C898" t="s">
        <v>1755</v>
      </c>
      <c r="D898" t="str">
        <f t="shared" si="26"/>
        <v>895. 314400</v>
      </c>
      <c r="E898" s="5" t="str">
        <f t="shared" ca="1" si="27"/>
        <v>Bridgestone Chemical Products Malaysia Sdn Bhd</v>
      </c>
      <c r="F898" t="str">
        <f>IFERROR(VLOOKUP(Table1[[#This Row],[Tên đối tượng]],'DANH MỤC ĐỐI TƯỢNG'!A:E,5,0),"")</f>
        <v/>
      </c>
      <c r="G898" t="str">
        <f>_xlfn.IFNA(VLOOKUP(Table1[[#This Row],[Tên đối tượng]],'DANH MỤC ĐỐI TƯỢNG'!A:F,6,0),"")</f>
        <v/>
      </c>
      <c r="H898" t="str">
        <f>_xlfn.IFNA(VLOOKUP(Table1[[#This Row],[Tên đối tượng]],'DANH MỤC ĐỐI TƯỢNG'!A:I,9,0),"")</f>
        <v/>
      </c>
      <c r="I898" t="str">
        <f>_xlfn.IFNA(VLOOKUP(Table1[[#This Row],[Tên đối tượng]],'DANH MỤC ĐỐI TƯỢNG'!A:J,10,0),"")</f>
        <v/>
      </c>
    </row>
    <row r="899" spans="1:9" x14ac:dyDescent="0.3">
      <c r="A899">
        <v>896</v>
      </c>
      <c r="B899" t="s">
        <v>1756</v>
      </c>
      <c r="C899" t="s">
        <v>1757</v>
      </c>
      <c r="D899" t="str">
        <f t="shared" si="26"/>
        <v>896. V20217</v>
      </c>
      <c r="E899" s="5" t="str">
        <f t="shared" ca="1" si="27"/>
        <v>Bridgestone Tatabánya Kft.</v>
      </c>
      <c r="F899" t="str">
        <f>IFERROR(VLOOKUP(Table1[[#This Row],[Tên đối tượng]],'DANH MỤC ĐỐI TƯỢNG'!A:E,5,0),"")</f>
        <v>Környe, Kőhíd út 1,  2851 Hungary</v>
      </c>
      <c r="G899">
        <f>_xlfn.IFNA(VLOOKUP(Table1[[#This Row],[Tên đối tượng]],'DANH MỤC ĐỐI TƯỢNG'!A:F,6,0),"")</f>
        <v>0</v>
      </c>
      <c r="H899" t="str">
        <f>_xlfn.IFNA(VLOOKUP(Table1[[#This Row],[Tên đối tượng]],'DANH MỤC ĐỐI TƯỢNG'!A:I,9,0),"")</f>
        <v>J.P.Morgan SE-Luxembourg Branch</v>
      </c>
      <c r="I899" t="str">
        <f>_xlfn.IFNA(VLOOKUP(Table1[[#This Row],[Tên đối tượng]],'DANH MỤC ĐỐI TƯỢNG'!A:J,10,0),"")</f>
        <v>LU440670006550209490</v>
      </c>
    </row>
    <row r="900" spans="1:9" x14ac:dyDescent="0.3">
      <c r="A900">
        <v>897</v>
      </c>
      <c r="B900" t="s">
        <v>1758</v>
      </c>
      <c r="C900" t="s">
        <v>1759</v>
      </c>
      <c r="D900" t="str">
        <f t="shared" si="26"/>
        <v>897. V10672</v>
      </c>
      <c r="E900" s="5" t="str">
        <f t="shared" ca="1" si="27"/>
        <v>Kintetsu World Express (Vietnam) - Hanoi Branch</v>
      </c>
      <c r="F900" t="str">
        <f>IFERROR(VLOOKUP(Table1[[#This Row],[Tên đối tượng]],'DANH MỤC ĐỐI TƯỢNG'!A:E,5,0),"")</f>
        <v/>
      </c>
      <c r="G900" t="str">
        <f>_xlfn.IFNA(VLOOKUP(Table1[[#This Row],[Tên đối tượng]],'DANH MỤC ĐỐI TƯỢNG'!A:F,6,0),"")</f>
        <v/>
      </c>
      <c r="H900" t="str">
        <f>_xlfn.IFNA(VLOOKUP(Table1[[#This Row],[Tên đối tượng]],'DANH MỤC ĐỐI TƯỢNG'!A:I,9,0),"")</f>
        <v/>
      </c>
      <c r="I900" t="str">
        <f>_xlfn.IFNA(VLOOKUP(Table1[[#This Row],[Tên đối tượng]],'DANH MỤC ĐỐI TƯỢNG'!A:J,10,0),"")</f>
        <v/>
      </c>
    </row>
    <row r="901" spans="1:9" x14ac:dyDescent="0.3">
      <c r="A901">
        <v>898</v>
      </c>
      <c r="B901" t="s">
        <v>1760</v>
      </c>
      <c r="C901" t="s">
        <v>1761</v>
      </c>
      <c r="D901" t="str">
        <f t="shared" ref="D901:D964" si="28">A901&amp;". "&amp;B901</f>
        <v>898. V10673</v>
      </c>
      <c r="E901" s="5" t="str">
        <f t="shared" ref="E901:E964" ca="1" si="29">IF(B901&lt;&gt;"",HYPERLINK($A$2&amp;D901,C901),"")</f>
        <v>Công ty TNHH Thương Mại Dịch Vụ Greentech</v>
      </c>
      <c r="F901" t="str">
        <f>IFERROR(VLOOKUP(Table1[[#This Row],[Tên đối tượng]],'DANH MỤC ĐỐI TƯỢNG'!A:E,5,0),"")</f>
        <v>33 Đường DC5 Phường Sơn Kỳ, Quận Tân Phú, Thành phố Hồ Chí Minh, Việt Nam</v>
      </c>
      <c r="G901">
        <f>_xlfn.IFNA(VLOOKUP(Table1[[#This Row],[Tên đối tượng]],'DANH MỤC ĐỐI TƯỢNG'!A:F,6,0),"")</f>
        <v>0</v>
      </c>
      <c r="H901" t="str">
        <f>_xlfn.IFNA(VLOOKUP(Table1[[#This Row],[Tên đối tượng]],'DANH MỤC ĐỐI TƯỢNG'!A:I,9,0),"")</f>
        <v>Ngân hàng Thương Mại Cổ phần Kỹ Thương Việt Nam-Chi nhánh thành phố Hồ Chí Minh</v>
      </c>
      <c r="I901" t="str">
        <f>_xlfn.IFNA(VLOOKUP(Table1[[#This Row],[Tên đối tượng]],'DANH MỤC ĐỐI TƯỢNG'!A:J,10,0),"")</f>
        <v>19129842251048</v>
      </c>
    </row>
    <row r="902" spans="1:9" x14ac:dyDescent="0.3">
      <c r="A902">
        <v>899</v>
      </c>
      <c r="B902" t="s">
        <v>1762</v>
      </c>
      <c r="C902" t="s">
        <v>1763</v>
      </c>
      <c r="D902" t="str">
        <f t="shared" si="28"/>
        <v>899. V10671</v>
      </c>
      <c r="E902" s="5" t="str">
        <f t="shared" ca="1" si="29"/>
        <v>Công ty TNHH Bureau Veritas Việt Nam</v>
      </c>
      <c r="F902" t="str">
        <f>IFERROR(VLOOKUP(Table1[[#This Row],[Tên đối tượng]],'DANH MỤC ĐỐI TƯỢNG'!A:E,5,0),"")</f>
        <v>364 Đường Cộng Hòa, Phường 13, Quận Tân Bình, Thành phố Hồ Chí Minh, Việt Nam</v>
      </c>
      <c r="G902">
        <f>_xlfn.IFNA(VLOOKUP(Table1[[#This Row],[Tên đối tượng]],'DANH MỤC ĐỐI TƯỢNG'!A:F,6,0),"")</f>
        <v>0</v>
      </c>
      <c r="H902" t="str">
        <f>_xlfn.IFNA(VLOOKUP(Table1[[#This Row],[Tên đối tượng]],'DANH MỤC ĐỐI TƯỢNG'!A:I,9,0),"")</f>
        <v>Ngân hàng TNHH Một thành viên HSBC (Việt Nam)</v>
      </c>
      <c r="I902" t="str">
        <f>_xlfn.IFNA(VLOOKUP(Table1[[#This Row],[Tên đối tượng]],'DANH MỤC ĐỐI TƯỢNG'!A:J,10,0),"")</f>
        <v>001-071604-001</v>
      </c>
    </row>
    <row r="903" spans="1:9" x14ac:dyDescent="0.3">
      <c r="A903">
        <v>900</v>
      </c>
      <c r="B903" t="s">
        <v>1764</v>
      </c>
      <c r="C903" t="s">
        <v>1765</v>
      </c>
      <c r="D903" t="str">
        <f t="shared" si="28"/>
        <v>900. V10668</v>
      </c>
      <c r="E903" s="5" t="str">
        <f t="shared" ca="1" si="29"/>
        <v>Công ty TNHH Nguồn Nhân Lực SK Việt Nam</v>
      </c>
      <c r="F903" t="str">
        <f>IFERROR(VLOOKUP(Table1[[#This Row],[Tên đối tượng]],'DANH MỤC ĐỐI TƯỢNG'!A:E,5,0),"")</f>
        <v>Số 44/29 Phạm Văn Đồng,  Phường Thanh Bình, Thành phố Hải Dương, Tỉnh Hải Dương, Việt Nam</v>
      </c>
      <c r="G903">
        <f>_xlfn.IFNA(VLOOKUP(Table1[[#This Row],[Tên đối tượng]],'DANH MỤC ĐỐI TƯỢNG'!A:F,6,0),"")</f>
        <v>0</v>
      </c>
      <c r="H903" t="str">
        <f>_xlfn.IFNA(VLOOKUP(Table1[[#This Row],[Tên đối tượng]],'DANH MỤC ĐỐI TƯỢNG'!A:I,9,0),"")</f>
        <v>Ngân hàng TMCP Quân Đội-Chi nhánh Hải Dương</v>
      </c>
      <c r="I903" t="str">
        <f>_xlfn.IFNA(VLOOKUP(Table1[[#This Row],[Tên đối tượng]],'DANH MỤC ĐỐI TƯỢNG'!A:J,10,0),"")</f>
        <v>3338888798888</v>
      </c>
    </row>
    <row r="904" spans="1:9" x14ac:dyDescent="0.3">
      <c r="A904">
        <v>901</v>
      </c>
      <c r="B904" t="s">
        <v>1766</v>
      </c>
      <c r="C904" t="s">
        <v>1767</v>
      </c>
      <c r="D904" t="str">
        <f t="shared" si="28"/>
        <v>901. V20195</v>
      </c>
      <c r="E904" s="5" t="str">
        <f t="shared" ca="1" si="29"/>
        <v>Bekaert Toko Metal Fiber Co., Ltd</v>
      </c>
      <c r="F904" t="str">
        <f>IFERROR(VLOOKUP(Table1[[#This Row],[Tên đối tượng]],'DANH MỤC ĐỐI TƯỢNG'!A:E,5,0),"")</f>
        <v>5749, Shishikura, Kasumigaura-shi, Ibaraki, 300-0121 Japan</v>
      </c>
      <c r="G904">
        <f>_xlfn.IFNA(VLOOKUP(Table1[[#This Row],[Tên đối tượng]],'DANH MỤC ĐỐI TƯỢNG'!A:F,6,0),"")</f>
        <v>0</v>
      </c>
      <c r="H904" t="str">
        <f>_xlfn.IFNA(VLOOKUP(Table1[[#This Row],[Tên đối tượng]],'DANH MỤC ĐỐI TƯỢNG'!A:I,9,0),"")</f>
        <v>MUFG Bank, Ltd.</v>
      </c>
      <c r="I904" t="str">
        <f>_xlfn.IFNA(VLOOKUP(Table1[[#This Row],[Tên đối tượng]],'DANH MỤC ĐỐI TƯỢNG'!A:J,10,0),"")</f>
        <v>3980757</v>
      </c>
    </row>
    <row r="905" spans="1:9" x14ac:dyDescent="0.3">
      <c r="A905">
        <v>902</v>
      </c>
      <c r="B905" t="s">
        <v>1768</v>
      </c>
      <c r="C905" t="s">
        <v>1769</v>
      </c>
      <c r="D905" t="str">
        <f t="shared" si="28"/>
        <v>902. V10674</v>
      </c>
      <c r="E905" s="5" t="str">
        <f t="shared" ca="1" si="29"/>
        <v>CÔNG TY CỔ PHẦN PHÁT TRIỂN DỊCH VỤ ĐÁM MÂY CLOUDAZ</v>
      </c>
      <c r="F905" t="str">
        <f>IFERROR(VLOOKUP(Table1[[#This Row],[Tên đối tượng]],'DANH MỤC ĐỐI TƯỢNG'!A:E,5,0),"")</f>
        <v>Tầng 08, Tòa nhà Trường Thịnh,số 01 đường Phùng Chí Kiên,Phường Nghĩa Đô, Quận Cầu Giấy,Hà Nội, Việt Nam</v>
      </c>
      <c r="G905">
        <f>_xlfn.IFNA(VLOOKUP(Table1[[#This Row],[Tên đối tượng]],'DANH MỤC ĐỐI TƯỢNG'!A:F,6,0),"")</f>
        <v>0</v>
      </c>
      <c r="H905" t="str">
        <f>_xlfn.IFNA(VLOOKUP(Table1[[#This Row],[Tên đối tượng]],'DANH MỤC ĐỐI TƯỢNG'!A:I,9,0),"")</f>
        <v>Ngân hàng TMCP Hàng Hải Việt Nam (MSB)-Chi nhánh Đống Đa</v>
      </c>
      <c r="I905" t="str">
        <f>_xlfn.IFNA(VLOOKUP(Table1[[#This Row],[Tên đối tượng]],'DANH MỤC ĐỐI TƯỢNG'!A:J,10,0),"")</f>
        <v>03101010401988</v>
      </c>
    </row>
    <row r="906" spans="1:9" x14ac:dyDescent="0.3">
      <c r="A906">
        <v>903</v>
      </c>
      <c r="B906" t="s">
        <v>1770</v>
      </c>
      <c r="C906" t="s">
        <v>1771</v>
      </c>
      <c r="D906" t="str">
        <f t="shared" si="28"/>
        <v>903. V10675</v>
      </c>
      <c r="E906" s="5" t="str">
        <f t="shared" ca="1" si="29"/>
        <v>Công ty TNHH tự động hóa mặt trời</v>
      </c>
      <c r="F906" t="str">
        <f>IFERROR(VLOOKUP(Table1[[#This Row],[Tên đối tượng]],'DANH MỤC ĐỐI TƯỢNG'!A:E,5,0),"")</f>
        <v>30A Đường 419, Tổ 4, Ấp 6,xã Phước Vĩnh Anhuyện Củ Chi,thành phố Hồ Chí Minh, Việt Nam</v>
      </c>
      <c r="G906">
        <f>_xlfn.IFNA(VLOOKUP(Table1[[#This Row],[Tên đối tượng]],'DANH MỤC ĐỐI TƯỢNG'!A:F,6,0),"")</f>
        <v>0</v>
      </c>
      <c r="H906" t="str">
        <f>_xlfn.IFNA(VLOOKUP(Table1[[#This Row],[Tên đối tượng]],'DANH MỤC ĐỐI TƯỢNG'!A:I,9,0),"")</f>
        <v>Ngân hàng TMCP Á Châu-Chi nhánh Củ Chi</v>
      </c>
      <c r="I906" t="str">
        <f>_xlfn.IFNA(VLOOKUP(Table1[[#This Row],[Tên đối tượng]],'DANH MỤC ĐỐI TƯỢNG'!A:J,10,0),"")</f>
        <v>108962479</v>
      </c>
    </row>
    <row r="907" spans="1:9" x14ac:dyDescent="0.3">
      <c r="A907">
        <v>904</v>
      </c>
      <c r="B907" t="s">
        <v>1772</v>
      </c>
      <c r="C907" t="s">
        <v>1773</v>
      </c>
      <c r="D907" t="str">
        <f t="shared" si="28"/>
        <v>904. V10676</v>
      </c>
      <c r="E907" s="5" t="str">
        <f t="shared" ca="1" si="29"/>
        <v>Công ty cổ phần thiết bị Minh Khang</v>
      </c>
      <c r="F907" t="str">
        <f>IFERROR(VLOOKUP(Table1[[#This Row],[Tên đối tượng]],'DANH MỤC ĐỐI TƯỢNG'!A:E,5,0),"")</f>
        <v>Tầng 2, Tòa nhà Topaz Center,Số 4 Trịnh Đình Thảo,Phường Hòa Thạnh, Quận Tân Phú, thành phố Hồ Chí Minh, Việt Nam</v>
      </c>
      <c r="G907">
        <f>_xlfn.IFNA(VLOOKUP(Table1[[#This Row],[Tên đối tượng]],'DANH MỤC ĐỐI TƯỢNG'!A:F,6,0),"")</f>
        <v>0</v>
      </c>
      <c r="H907" t="str">
        <f>_xlfn.IFNA(VLOOKUP(Table1[[#This Row],[Tên đối tượng]],'DANH MỤC ĐỐI TƯỢNG'!A:I,9,0),"")</f>
        <v>Ngân hàng TMCP Á Châu-PGD Nguyễn Sơn</v>
      </c>
      <c r="I907" t="str">
        <f>_xlfn.IFNA(VLOOKUP(Table1[[#This Row],[Tên đối tượng]],'DANH MỤC ĐỐI TƯỢNG'!A:J,10,0),"")</f>
        <v>217004209</v>
      </c>
    </row>
    <row r="908" spans="1:9" x14ac:dyDescent="0.3">
      <c r="A908">
        <v>905</v>
      </c>
      <c r="B908" t="s">
        <v>1774</v>
      </c>
      <c r="C908" t="s">
        <v>1775</v>
      </c>
      <c r="D908" t="str">
        <f t="shared" si="28"/>
        <v>905. V10677</v>
      </c>
      <c r="E908" s="5" t="str">
        <f t="shared" ca="1" si="29"/>
        <v>Công ty TNHH Hoa Ý</v>
      </c>
      <c r="F908" t="str">
        <f>IFERROR(VLOOKUP(Table1[[#This Row],[Tên đối tượng]],'DANH MỤC ĐỐI TƯỢNG'!A:E,5,0),"")</f>
        <v>406/63 Cộng Hòa,Phường 13, Quận Tân Bình,Thành phố Hồ Chí Minh, Việt Nam</v>
      </c>
      <c r="G908">
        <f>_xlfn.IFNA(VLOOKUP(Table1[[#This Row],[Tên đối tượng]],'DANH MỤC ĐỐI TƯỢNG'!A:F,6,0),"")</f>
        <v>0</v>
      </c>
      <c r="H908" t="str">
        <f>_xlfn.IFNA(VLOOKUP(Table1[[#This Row],[Tên đối tượng]],'DANH MỤC ĐỐI TƯỢNG'!A:I,9,0),"")</f>
        <v>Ngân hàng TMCP Kỹ thương Việt Nam-Chị nhánh Tân Bình</v>
      </c>
      <c r="I908" t="str">
        <f>_xlfn.IFNA(VLOOKUP(Table1[[#This Row],[Tên đối tượng]],'DANH MỤC ĐỐI TƯỢNG'!A:J,10,0),"")</f>
        <v>10620100624016</v>
      </c>
    </row>
    <row r="909" spans="1:9" x14ac:dyDescent="0.3">
      <c r="A909">
        <v>906</v>
      </c>
      <c r="B909" t="s">
        <v>1776</v>
      </c>
      <c r="C909" t="s">
        <v>1777</v>
      </c>
      <c r="D909" t="str">
        <f t="shared" si="28"/>
        <v>906. V20218</v>
      </c>
      <c r="E909" s="5" t="str">
        <f t="shared" ca="1" si="29"/>
        <v>KYOKUTO BOEKI KAISHA, LTD</v>
      </c>
      <c r="F909" t="str">
        <f>IFERROR(VLOOKUP(Table1[[#This Row],[Tên đối tượng]],'DANH MỤC ĐỐI TƯỢNG'!A:E,5,0),"")</f>
        <v>Shin-Otemachi-Bldg., 2-1,Otemachi 2-Chome Chiyoda-kuTokyo 100-0004 Japan</v>
      </c>
      <c r="G909">
        <f>_xlfn.IFNA(VLOOKUP(Table1[[#This Row],[Tên đối tượng]],'DANH MỤC ĐỐI TƯỢNG'!A:F,6,0),"")</f>
        <v>0</v>
      </c>
      <c r="H909" t="str">
        <f>_xlfn.IFNA(VLOOKUP(Table1[[#This Row],[Tên đối tượng]],'DANH MỤC ĐỐI TƯỢNG'!A:I,9,0),"")</f>
        <v>MUFG Bank, Ltd-Shin-Marunouchi Branch</v>
      </c>
      <c r="I909" t="str">
        <f>_xlfn.IFNA(VLOOKUP(Table1[[#This Row],[Tên đối tượng]],'DANH MỤC ĐỐI TƯỢNG'!A:J,10,0),"")</f>
        <v>0011037</v>
      </c>
    </row>
    <row r="910" spans="1:9" x14ac:dyDescent="0.3">
      <c r="A910">
        <v>907</v>
      </c>
      <c r="B910" t="s">
        <v>1778</v>
      </c>
      <c r="C910" t="s">
        <v>1779</v>
      </c>
      <c r="D910" t="str">
        <f t="shared" si="28"/>
        <v>907. V10679</v>
      </c>
      <c r="E910" s="5" t="str">
        <f t="shared" ca="1" si="29"/>
        <v>Công ty TNHH Việt Jungle</v>
      </c>
      <c r="F910" t="str">
        <f>IFERROR(VLOOKUP(Table1[[#This Row],[Tên đối tượng]],'DANH MỤC ĐỐI TƯỢNG'!A:E,5,0),"")</f>
        <v>Nhà A11-Viện Laser,Nhà A11-Viện Laser,phường Ô Chợ Dừa, quận Đống Đa, Hà Nội, Việt Nam</v>
      </c>
      <c r="G910">
        <f>_xlfn.IFNA(VLOOKUP(Table1[[#This Row],[Tên đối tượng]],'DANH MỤC ĐỐI TƯỢNG'!A:F,6,0),"")</f>
        <v>0</v>
      </c>
      <c r="H910" t="str">
        <f>_xlfn.IFNA(VLOOKUP(Table1[[#This Row],[Tên đối tượng]],'DANH MỤC ĐỐI TƯỢNG'!A:I,9,0),"")</f>
        <v>Ngân hàng thương mại cổ phần ngoại thương Việt Nam-Chi nhánh Thành Công</v>
      </c>
      <c r="I910" t="str">
        <f>_xlfn.IFNA(VLOOKUP(Table1[[#This Row],[Tên đối tượng]],'DANH MỤC ĐỐI TƯỢNG'!A:J,10,0),"")</f>
        <v>0451000441984</v>
      </c>
    </row>
    <row r="911" spans="1:9" x14ac:dyDescent="0.3">
      <c r="A911">
        <v>908</v>
      </c>
      <c r="B911" t="s">
        <v>1780</v>
      </c>
      <c r="C911" t="s">
        <v>1781</v>
      </c>
      <c r="D911" t="str">
        <f t="shared" si="28"/>
        <v>908. V10678</v>
      </c>
      <c r="E911" s="5" t="str">
        <f t="shared" ca="1" si="29"/>
        <v>Công ty cổ phần công nghệ Quỳnh</v>
      </c>
      <c r="F911" t="str">
        <f>IFERROR(VLOOKUP(Table1[[#This Row],[Tên đối tượng]],'DANH MỤC ĐỐI TƯỢNG'!A:E,5,0),"")</f>
        <v>09 Đường 65,Phường Tân Phong,Quận 7, Thành phố Hồ Chí Minh, Việt Nam</v>
      </c>
      <c r="G911">
        <f>_xlfn.IFNA(VLOOKUP(Table1[[#This Row],[Tên đối tượng]],'DANH MỤC ĐỐI TƯỢNG'!A:F,6,0),"")</f>
        <v>0</v>
      </c>
      <c r="H911" t="str">
        <f>_xlfn.IFNA(VLOOKUP(Table1[[#This Row],[Tên đối tượng]],'DANH MỤC ĐỐI TƯỢNG'!A:I,9,0),"")</f>
        <v>Ngân hàng TMCP Á Châu-Chi nhánh Tân Thuận</v>
      </c>
      <c r="I911" t="str">
        <f>_xlfn.IFNA(VLOOKUP(Table1[[#This Row],[Tên đối tượng]],'DANH MỤC ĐỐI TƯỢNG'!A:J,10,0),"")</f>
        <v>114992279</v>
      </c>
    </row>
    <row r="912" spans="1:9" x14ac:dyDescent="0.3">
      <c r="A912">
        <v>909</v>
      </c>
      <c r="B912" t="s">
        <v>1782</v>
      </c>
      <c r="C912" t="s">
        <v>1783</v>
      </c>
      <c r="D912" t="str">
        <f t="shared" si="28"/>
        <v>909. V4074C0</v>
      </c>
      <c r="E912" s="5" t="str">
        <f t="shared" ca="1" si="29"/>
        <v>Công ty TNHH Nhất Ly</v>
      </c>
      <c r="F912" t="str">
        <f>IFERROR(VLOOKUP(Table1[[#This Row],[Tên đối tượng]],'DANH MỤC ĐỐI TƯỢNG'!A:E,5,0),"")</f>
        <v>Số 2B Bạch Đằng, phường Hạ Lý, quận Hồng Bàng, TP Hải Phòng</v>
      </c>
      <c r="G912" t="str">
        <f>_xlfn.IFNA(VLOOKUP(Table1[[#This Row],[Tên đối tượng]],'DANH MỤC ĐỐI TƯỢNG'!A:F,6,0),"")</f>
        <v>0200519875</v>
      </c>
      <c r="H912" t="str">
        <f>_xlfn.IFNA(VLOOKUP(Table1[[#This Row],[Tên đối tượng]],'DANH MỤC ĐỐI TƯỢNG'!A:I,9,0),"")</f>
        <v>Ngân hàng ACB - CN Hải Phòng</v>
      </c>
      <c r="I912" t="str">
        <f>_xlfn.IFNA(VLOOKUP(Table1[[#This Row],[Tên đối tượng]],'DANH MỤC ĐỐI TƯỢNG'!A:J,10,0),"")</f>
        <v>233 561 59</v>
      </c>
    </row>
    <row r="913" spans="1:9" x14ac:dyDescent="0.3">
      <c r="A913">
        <v>910</v>
      </c>
      <c r="B913" t="s">
        <v>1784</v>
      </c>
      <c r="C913" t="s">
        <v>1785</v>
      </c>
      <c r="D913" t="str">
        <f t="shared" si="28"/>
        <v>910. V20220</v>
      </c>
      <c r="E913" s="5" t="str">
        <f t="shared" ca="1" si="29"/>
        <v>NB Ventures, Inc.</v>
      </c>
      <c r="F913" t="str">
        <f>IFERROR(VLOOKUP(Table1[[#This Row],[Tên đối tượng]],'DANH MỤC ĐỐI TƯỢNG'!A:E,5,0),"")</f>
        <v>3rd Floor,100 Walnut Avenue,Clark, NJ 07066, United States</v>
      </c>
      <c r="G913">
        <f>_xlfn.IFNA(VLOOKUP(Table1[[#This Row],[Tên đối tượng]],'DANH MỤC ĐỐI TƯỢNG'!A:F,6,0),"")</f>
        <v>0</v>
      </c>
      <c r="H913" t="str">
        <f>_xlfn.IFNA(VLOOKUP(Table1[[#This Row],[Tên đối tượng]],'DANH MỤC ĐỐI TƯỢNG'!A:I,9,0),"")</f>
        <v>Citibank, N.A.</v>
      </c>
      <c r="I913" t="str">
        <f>_xlfn.IFNA(VLOOKUP(Table1[[#This Row],[Tên đối tượng]],'DANH MỤC ĐỐI TƯỢNG'!A:J,10,0),"")</f>
        <v>38258322</v>
      </c>
    </row>
    <row r="914" spans="1:9" x14ac:dyDescent="0.3">
      <c r="A914">
        <v>911</v>
      </c>
      <c r="B914" t="s">
        <v>1786</v>
      </c>
      <c r="C914" t="s">
        <v>1787</v>
      </c>
      <c r="D914" t="str">
        <f t="shared" si="28"/>
        <v>911. V10687</v>
      </c>
      <c r="E914" s="5" t="str">
        <f t="shared" ca="1" si="29"/>
        <v>Công ty TNHH Fuji Electric Việt Nam</v>
      </c>
      <c r="F914" t="str">
        <f>IFERROR(VLOOKUP(Table1[[#This Row],[Tên đối tượng]],'DANH MỤC ĐỐI TƯỢNG'!A:E,5,0),"")</f>
        <v>Tầng 3, Handico Tower, Đường Phạm Hùng, Phường Mễ Trì,Quận Nam Từ Liêm,Thành phố Hà Nội, Việt Nam</v>
      </c>
      <c r="G914">
        <f>_xlfn.IFNA(VLOOKUP(Table1[[#This Row],[Tên đối tượng]],'DANH MỤC ĐỐI TƯỢNG'!A:F,6,0),"")</f>
        <v>0</v>
      </c>
      <c r="H914" t="str">
        <f>_xlfn.IFNA(VLOOKUP(Table1[[#This Row],[Tên đối tượng]],'DANH MỤC ĐỐI TƯỢNG'!A:I,9,0),"")</f>
        <v>Ngân hàng TMCP Ngoại thương Việt Nam-Chi nhánh Chương Dương</v>
      </c>
      <c r="I914" t="str">
        <f>_xlfn.IFNA(VLOOKUP(Table1[[#This Row],[Tên đối tượng]],'DANH MỤC ĐỐI TƯỢNG'!A:J,10,0),"")</f>
        <v>0541000207568</v>
      </c>
    </row>
    <row r="915" spans="1:9" x14ac:dyDescent="0.3">
      <c r="A915">
        <v>912</v>
      </c>
      <c r="B915" t="s">
        <v>1788</v>
      </c>
      <c r="C915" t="s">
        <v>1789</v>
      </c>
      <c r="D915" t="str">
        <f t="shared" si="28"/>
        <v>912. V10684</v>
      </c>
      <c r="E915" s="5" t="str">
        <f t="shared" ca="1" si="29"/>
        <v>Công ty TNHH So Asia</v>
      </c>
      <c r="F915" t="str">
        <f>IFERROR(VLOOKUP(Table1[[#This Row],[Tên đối tượng]],'DANH MỤC ĐỐI TƯỢNG'!A:E,5,0),"")</f>
        <v>Tầng 10, số 70-72 phố Bà Triệu,phường Hàng Bài,Quận Hoàn Kiếm,Thành phố Hà Nội, Việt Nam</v>
      </c>
      <c r="G915">
        <f>_xlfn.IFNA(VLOOKUP(Table1[[#This Row],[Tên đối tượng]],'DANH MỤC ĐỐI TƯỢNG'!A:F,6,0),"")</f>
        <v>0</v>
      </c>
      <c r="H915" t="str">
        <f>_xlfn.IFNA(VLOOKUP(Table1[[#This Row],[Tên đối tượng]],'DANH MỤC ĐỐI TƯỢNG'!A:I,9,0),"")</f>
        <v>Ngân hàng thương mại cổ phần Kỹ thương Việt Nam-Chi nhánh Hà Thành</v>
      </c>
      <c r="I915" t="str">
        <f>_xlfn.IFNA(VLOOKUP(Table1[[#This Row],[Tên đối tượng]],'DANH MỤC ĐỐI TƯỢNG'!A:J,10,0),"")</f>
        <v>13821859411013</v>
      </c>
    </row>
    <row r="916" spans="1:9" x14ac:dyDescent="0.3">
      <c r="A916">
        <v>913</v>
      </c>
      <c r="B916" t="s">
        <v>1790</v>
      </c>
      <c r="C916" t="s">
        <v>1791</v>
      </c>
      <c r="D916" t="str">
        <f t="shared" si="28"/>
        <v>913. V10685</v>
      </c>
      <c r="E916" s="5" t="str">
        <f t="shared" ca="1" si="29"/>
        <v>Công ty TNHH Cảnh Quan Thiên Thanh</v>
      </c>
      <c r="F916" t="str">
        <f>IFERROR(VLOOKUP(Table1[[#This Row],[Tên đối tượng]],'DANH MỤC ĐỐI TƯỢNG'!A:E,5,0),"")</f>
        <v>Số 6B85-B3, Phường Cát Bi,Quận Hải An,Thành phố Hải Phòng, Việt Nam</v>
      </c>
      <c r="G916">
        <f>_xlfn.IFNA(VLOOKUP(Table1[[#This Row],[Tên đối tượng]],'DANH MỤC ĐỐI TƯỢNG'!A:F,6,0),"")</f>
        <v>0</v>
      </c>
      <c r="H916" t="str">
        <f>_xlfn.IFNA(VLOOKUP(Table1[[#This Row],[Tên đối tượng]],'DANH MỤC ĐỐI TƯỢNG'!A:I,9,0),"")</f>
        <v>Ngân Hàng Thương Mại Á Châu-Chi nhánh Duyên Hải- Hải Phòng</v>
      </c>
      <c r="I916" t="str">
        <f>_xlfn.IFNA(VLOOKUP(Table1[[#This Row],[Tên đối tượng]],'DANH MỤC ĐỐI TƯỢNG'!A:J,10,0),"")</f>
        <v>4255688688</v>
      </c>
    </row>
    <row r="917" spans="1:9" x14ac:dyDescent="0.3">
      <c r="A917">
        <v>914</v>
      </c>
      <c r="B917" t="s">
        <v>1792</v>
      </c>
      <c r="C917" t="s">
        <v>1793</v>
      </c>
      <c r="D917" t="str">
        <f t="shared" si="28"/>
        <v>914. V10680C</v>
      </c>
      <c r="E917" s="5" t="str">
        <f t="shared" ca="1" si="29"/>
        <v>Công ty TNHH kỹ thuật động lực Servo</v>
      </c>
      <c r="F917" t="str">
        <f>IFERROR(VLOOKUP(Table1[[#This Row],[Tên đối tượng]],'DANH MỤC ĐỐI TƯỢNG'!A:E,5,0),"")</f>
        <v>4/1B, đường Lương Định Của,phường An Khánh,thành phố Thủ Đức,thành phố Hồ Chí Minh, Việt Nam</v>
      </c>
      <c r="G917">
        <f>_xlfn.IFNA(VLOOKUP(Table1[[#This Row],[Tên đối tượng]],'DANH MỤC ĐỐI TƯỢNG'!A:F,6,0),"")</f>
        <v>0</v>
      </c>
      <c r="H917" t="str">
        <f>_xlfn.IFNA(VLOOKUP(Table1[[#This Row],[Tên đối tượng]],'DANH MỤC ĐỐI TƯỢNG'!A:I,9,0),"")</f>
        <v>Ngân hàng TNHH một thành viên Standard Chartered (Việt Nam)</v>
      </c>
      <c r="I917" t="str">
        <f>_xlfn.IFNA(VLOOKUP(Table1[[#This Row],[Tên đối tượng]],'DANH MỤC ĐỐI TƯỢNG'!A:J,10,0),"")</f>
        <v>99199432899</v>
      </c>
    </row>
    <row r="918" spans="1:9" x14ac:dyDescent="0.3">
      <c r="A918">
        <v>915</v>
      </c>
      <c r="B918" t="s">
        <v>1794</v>
      </c>
      <c r="C918" t="s">
        <v>1795</v>
      </c>
      <c r="D918" t="str">
        <f t="shared" si="28"/>
        <v>915. V10682C</v>
      </c>
      <c r="E918" s="5" t="str">
        <f t="shared" ca="1" si="29"/>
        <v>Công ty TNHH Thương Mại và Kỹ Thuật Phan Long</v>
      </c>
      <c r="F918" t="str">
        <f>IFERROR(VLOOKUP(Table1[[#This Row],[Tên đối tượng]],'DANH MỤC ĐỐI TƯỢNG'!A:E,5,0),"")</f>
        <v>157/11, Độc Lập,Phường Tân Qúy, Quận Tân Phú,Thành phố Hồ Chí Minh, Việt Nam</v>
      </c>
      <c r="G918">
        <f>_xlfn.IFNA(VLOOKUP(Table1[[#This Row],[Tên đối tượng]],'DANH MỤC ĐỐI TƯỢNG'!A:F,6,0),"")</f>
        <v>0</v>
      </c>
      <c r="H918" t="str">
        <f>_xlfn.IFNA(VLOOKUP(Table1[[#This Row],[Tên đối tượng]],'DANH MỤC ĐỐI TƯỢNG'!A:I,9,0),"")</f>
        <v>Ngân hàng TMCP Đông Á-Chi nhánh Quận 1 TP. Hồ Chí Minh</v>
      </c>
      <c r="I918" t="str">
        <f>_xlfn.IFNA(VLOOKUP(Table1[[#This Row],[Tên đối tượng]],'DANH MỤC ĐỐI TƯỢNG'!A:J,10,0),"")</f>
        <v>014329020001</v>
      </c>
    </row>
    <row r="919" spans="1:9" x14ac:dyDescent="0.3">
      <c r="A919">
        <v>916</v>
      </c>
      <c r="B919" t="s">
        <v>1796</v>
      </c>
      <c r="C919" t="s">
        <v>8827</v>
      </c>
      <c r="D919" t="str">
        <f t="shared" si="28"/>
        <v>916. V20222</v>
      </c>
      <c r="E919" s="5" t="str">
        <f t="shared" ca="1" si="29"/>
        <v>EY Corporate Advisors Pte. Ltd</v>
      </c>
      <c r="F919" t="str">
        <f>IFERROR(VLOOKUP(Table1[[#This Row],[Tên đối tượng]],'DANH MỤC ĐỐI TƯỢNG'!A:E,5,0),"")</f>
        <v>1 Raffles Quay #18-01, Singapore 048583</v>
      </c>
      <c r="G919">
        <f>_xlfn.IFNA(VLOOKUP(Table1[[#This Row],[Tên đối tượng]],'DANH MỤC ĐỐI TƯỢNG'!A:F,6,0),"")</f>
        <v>0</v>
      </c>
      <c r="H919" t="str">
        <f>_xlfn.IFNA(VLOOKUP(Table1[[#This Row],[Tên đối tượng]],'DANH MỤC ĐỐI TƯỢNG'!A:I,9,0),"")</f>
        <v>HSBC-Singapore-Collyer Quay</v>
      </c>
      <c r="I919" t="str">
        <f>_xlfn.IFNA(VLOOKUP(Table1[[#This Row],[Tên đối tượng]],'DANH MỤC ĐỐI TƯỢNG'!A:J,10,0),"")</f>
        <v>052-586096-001</v>
      </c>
    </row>
    <row r="920" spans="1:9" x14ac:dyDescent="0.3">
      <c r="A920">
        <v>917</v>
      </c>
      <c r="B920" t="s">
        <v>1798</v>
      </c>
      <c r="C920" t="s">
        <v>1799</v>
      </c>
      <c r="D920" t="str">
        <f t="shared" si="28"/>
        <v>917. V10686</v>
      </c>
      <c r="E920" s="5" t="str">
        <f t="shared" ca="1" si="29"/>
        <v>Công ty TNHH Hoa Sen Hải Dương</v>
      </c>
      <c r="F920" t="str">
        <f>IFERROR(VLOOKUP(Table1[[#This Row],[Tên đối tượng]],'DANH MỤC ĐỐI TƯỢNG'!A:E,5,0),"")</f>
        <v>Thôn Xuân Mang,Xã Tuấn Việt,Huyện Kim Thành,Tình Hải Dương, Việt Nam</v>
      </c>
      <c r="G920" t="str">
        <f>_xlfn.IFNA(VLOOKUP(Table1[[#This Row],[Tên đối tượng]],'DANH MỤC ĐỐI TƯỢNG'!A:F,6,0),"")</f>
        <v>0801003563</v>
      </c>
      <c r="H920" t="str">
        <f>_xlfn.IFNA(VLOOKUP(Table1[[#This Row],[Tên đối tượng]],'DANH MỤC ĐỐI TƯỢNG'!A:I,9,0),"")</f>
        <v>Ngân hàng thương mại cổ phần Ngoại thương Việt Nam-Chi nhánh Hải Dương</v>
      </c>
      <c r="I920" t="str">
        <f>_xlfn.IFNA(VLOOKUP(Table1[[#This Row],[Tên đối tượng]],'DANH MỤC ĐỐI TƯỢNG'!A:J,10,0),"")</f>
        <v>0341006828333</v>
      </c>
    </row>
    <row r="921" spans="1:9" x14ac:dyDescent="0.3">
      <c r="A921">
        <v>918</v>
      </c>
      <c r="B921" t="s">
        <v>1800</v>
      </c>
      <c r="C921" t="s">
        <v>1801</v>
      </c>
      <c r="D921" t="str">
        <f t="shared" si="28"/>
        <v>918. V10688</v>
      </c>
      <c r="E921" s="5" t="str">
        <f t="shared" ca="1" si="29"/>
        <v>Công ty TNHH ABB Châu Á</v>
      </c>
      <c r="F921" t="str">
        <f>IFERROR(VLOOKUP(Table1[[#This Row],[Tên đối tượng]],'DANH MỤC ĐỐI TƯỢNG'!A:E,5,0),"")</f>
        <v>Số 1, Ngõ 20 Phố Bồ Đề, Phường Bồ Đề, Quận Long Biên, Thành phố Hà Nội, Việt Nam</v>
      </c>
      <c r="G921" t="str">
        <f>_xlfn.IFNA(VLOOKUP(Table1[[#This Row],[Tên đối tượng]],'DANH MỤC ĐỐI TƯỢNG'!A:F,6,0),"")</f>
        <v>0109450783</v>
      </c>
      <c r="H921" t="str">
        <f>_xlfn.IFNA(VLOOKUP(Table1[[#This Row],[Tên đối tượng]],'DANH MỤC ĐỐI TƯỢNG'!A:I,9,0),"")</f>
        <v>Ngân hàng TMCP Tiên Phong (TPB) - -Chi nhánh Hoàn Kiếm</v>
      </c>
      <c r="I921" t="str">
        <f>_xlfn.IFNA(VLOOKUP(Table1[[#This Row],[Tên đối tượng]],'DANH MỤC ĐỐI TƯỢNG'!A:J,10,0),"")</f>
        <v>10902336426 (VND)</v>
      </c>
    </row>
    <row r="922" spans="1:9" x14ac:dyDescent="0.3">
      <c r="A922">
        <v>919</v>
      </c>
      <c r="B922" t="s">
        <v>1802</v>
      </c>
      <c r="C922" t="s">
        <v>1803</v>
      </c>
      <c r="D922" t="str">
        <f t="shared" si="28"/>
        <v>919. V20221</v>
      </c>
      <c r="E922" s="5" t="str">
        <f t="shared" ca="1" si="29"/>
        <v>MERCURY JAPAN LTD.</v>
      </c>
      <c r="F922" t="str">
        <f>IFERROR(VLOOKUP(Table1[[#This Row],[Tên đối tượng]],'DANH MỤC ĐỐI TƯỢNG'!A:E,5,0),"")</f>
        <v>4 Floor Yokohama T.O BLDG,2-9-16 Tsuruya-cho, Kanagawa-ku,Yokohama, 221-0835 Japan</v>
      </c>
      <c r="G922">
        <f>_xlfn.IFNA(VLOOKUP(Table1[[#This Row],[Tên đối tượng]],'DANH MỤC ĐỐI TƯỢNG'!A:F,6,0),"")</f>
        <v>0</v>
      </c>
      <c r="H922" t="str">
        <f>_xlfn.IFNA(VLOOKUP(Table1[[#This Row],[Tên đối tượng]],'DANH MỤC ĐỐI TƯỢNG'!A:I,9,0),"")</f>
        <v>The Yokohama Shinkin Bank-Yokohamanishiguchi Branch</v>
      </c>
      <c r="I922" t="str">
        <f>_xlfn.IFNA(VLOOKUP(Table1[[#This Row],[Tên đối tượng]],'DANH MỤC ĐỐI TƯỢNG'!A:J,10,0),"")</f>
        <v>023-02-0363392</v>
      </c>
    </row>
    <row r="923" spans="1:9" x14ac:dyDescent="0.3">
      <c r="A923">
        <v>920</v>
      </c>
      <c r="B923" t="s">
        <v>1804</v>
      </c>
      <c r="C923" t="s">
        <v>1805</v>
      </c>
      <c r="D923" t="str">
        <f t="shared" si="28"/>
        <v>920. V10683</v>
      </c>
      <c r="E923" s="5" t="str">
        <f t="shared" ca="1" si="29"/>
        <v>Công ty TNHH CCL Design Việt Nam</v>
      </c>
      <c r="F923" t="str">
        <f>IFERROR(VLOOKUP(Table1[[#This Row],[Tên đối tượng]],'DANH MỤC ĐỐI TƯỢNG'!A:E,5,0),"")</f>
        <v>Lô XN 25-1, KCN Đại An,Phường Tứ Minh,Thành phố Hải Dương,Tỉnh Hải Dương, Việt Nam</v>
      </c>
      <c r="G923" t="str">
        <f>_xlfn.IFNA(VLOOKUP(Table1[[#This Row],[Tên đối tượng]],'DANH MỤC ĐỐI TƯỢNG'!A:F,6,0),"")</f>
        <v>0800374886</v>
      </c>
      <c r="H923" t="str">
        <f>_xlfn.IFNA(VLOOKUP(Table1[[#This Row],[Tên đối tượng]],'DANH MỤC ĐỐI TƯỢNG'!A:I,9,0),"")</f>
        <v>Ngân hàng thương mại cổ phần Ngoại thương Việt Nam-Chi nhánh Hải Dương</v>
      </c>
      <c r="I923" t="str">
        <f>_xlfn.IFNA(VLOOKUP(Table1[[#This Row],[Tên đối tượng]],'DANH MỤC ĐỐI TƯỢNG'!A:J,10,0),"")</f>
        <v>0341005490128</v>
      </c>
    </row>
    <row r="924" spans="1:9" x14ac:dyDescent="0.3">
      <c r="A924">
        <v>921</v>
      </c>
      <c r="B924" t="s">
        <v>1806</v>
      </c>
      <c r="C924" t="s">
        <v>1807</v>
      </c>
      <c r="D924" t="str">
        <f t="shared" si="28"/>
        <v>921. V10689C</v>
      </c>
      <c r="E924" s="5" t="str">
        <f t="shared" ca="1" si="29"/>
        <v>Viện khoa học môi trường và sức khỏe cộng đồng</v>
      </c>
      <c r="F924" t="str">
        <f>IFERROR(VLOOKUP(Table1[[#This Row],[Tên đối tượng]],'DANH MỤC ĐỐI TƯỢNG'!A:E,5,0),"")</f>
        <v>Số nhà N8B18,Khu đô thị mới Trung Hòa- Nhân Chính, phường Nhân Chính,quận Thanh Xuân,thành phố Hà Nội, Việt Nam</v>
      </c>
      <c r="G924" t="str">
        <f>_xlfn.IFNA(VLOOKUP(Table1[[#This Row],[Tên đối tượng]],'DANH MỤC ĐỐI TƯỢNG'!A:F,6,0),"")</f>
        <v>102238756</v>
      </c>
      <c r="H924" t="str">
        <f>_xlfn.IFNA(VLOOKUP(Table1[[#This Row],[Tên đối tượng]],'DANH MỤC ĐỐI TƯỢNG'!A:I,9,0),"")</f>
        <v>Ngân hàng TMCP Ngoại thương Việt Nam-Chi nhánh Thăng Long</v>
      </c>
      <c r="I924" t="str">
        <f>_xlfn.IFNA(VLOOKUP(Table1[[#This Row],[Tên đối tượng]],'DANH MỤC ĐỐI TƯỢNG'!A:J,10,0),"")</f>
        <v>0491001467042</v>
      </c>
    </row>
    <row r="925" spans="1:9" x14ac:dyDescent="0.3">
      <c r="A925">
        <v>922</v>
      </c>
      <c r="B925" t="s">
        <v>1808</v>
      </c>
      <c r="C925" t="s">
        <v>1809</v>
      </c>
      <c r="D925" t="str">
        <f t="shared" si="28"/>
        <v>922. V20223A</v>
      </c>
      <c r="E925" s="5" t="str">
        <f t="shared" ca="1" si="29"/>
        <v>SI Group- Nanjing Co., Ltd</v>
      </c>
      <c r="F925" t="str">
        <f>IFERROR(VLOOKUP(Table1[[#This Row],[Tên đối tượng]],'DANH MỤC ĐỐI TƯỢNG'!A:E,5,0),"")</f>
        <v>No.99 South Guanqu Road,Nanjing Chemical Industrial Park,Nanjing,210047 Jiangsu China</v>
      </c>
      <c r="G925">
        <f>_xlfn.IFNA(VLOOKUP(Table1[[#This Row],[Tên đối tượng]],'DANH MỤC ĐỐI TƯỢNG'!A:F,6,0),"")</f>
        <v>0</v>
      </c>
      <c r="H925" t="str">
        <f>_xlfn.IFNA(VLOOKUP(Table1[[#This Row],[Tên đối tượng]],'DANH MỤC ĐỐI TƯỢNG'!A:I,9,0),"")</f>
        <v>JPMorgan Chase Bank (China) Co., Ltd-Shanghai</v>
      </c>
      <c r="I925" t="str">
        <f>_xlfn.IFNA(VLOOKUP(Table1[[#This Row],[Tên đối tượng]],'DANH MỤC ĐỐI TƯỢNG'!A:J,10,0),"")</f>
        <v>2672004773</v>
      </c>
    </row>
    <row r="926" spans="1:9" x14ac:dyDescent="0.3">
      <c r="A926">
        <v>923</v>
      </c>
      <c r="B926" t="s">
        <v>1810</v>
      </c>
      <c r="C926" t="s">
        <v>1811</v>
      </c>
      <c r="D926" t="str">
        <f t="shared" si="28"/>
        <v>923. V20185</v>
      </c>
      <c r="E926" s="5" t="str">
        <f t="shared" ca="1" si="29"/>
        <v>DT Asia PTE LTD</v>
      </c>
      <c r="F926" t="str">
        <f>IFERROR(VLOOKUP(Table1[[#This Row],[Tên đối tượng]],'DANH MỤC ĐỐI TƯỢNG'!A:E,5,0),"")</f>
        <v>21 Bukit Batok Crescent #02-72 WCEGA Tower Singapore 65865</v>
      </c>
      <c r="G926">
        <f>_xlfn.IFNA(VLOOKUP(Table1[[#This Row],[Tên đối tượng]],'DANH MỤC ĐỐI TƯỢNG'!A:F,6,0),"")</f>
        <v>0</v>
      </c>
      <c r="H926" t="str">
        <f>_xlfn.IFNA(VLOOKUP(Table1[[#This Row],[Tên đối tượng]],'DANH MỤC ĐỐI TƯỢNG'!A:I,9,0),"")</f>
        <v>Oversea-Chinese Banking Corporation Limited-503</v>
      </c>
      <c r="I926" t="str">
        <f>_xlfn.IFNA(VLOOKUP(Table1[[#This Row],[Tên đối tượng]],'DANH MỤC ĐỐI TƯỢNG'!A:J,10,0),"")</f>
        <v>503-147563-301</v>
      </c>
    </row>
    <row r="927" spans="1:9" x14ac:dyDescent="0.3">
      <c r="A927">
        <v>924</v>
      </c>
      <c r="B927" t="s">
        <v>1812</v>
      </c>
      <c r="C927" t="s">
        <v>1813</v>
      </c>
      <c r="D927" t="str">
        <f t="shared" si="28"/>
        <v>924. V10693C</v>
      </c>
      <c r="E927" s="5" t="str">
        <f t="shared" ca="1" si="29"/>
        <v>Công ty TNHH Thương mại và xây dựng An Sinh</v>
      </c>
      <c r="F927" t="str">
        <f>IFERROR(VLOOKUP(Table1[[#This Row],[Tên đối tượng]],'DANH MỤC ĐỐI TƯỢNG'!A:E,5,0),"")</f>
        <v>Tổ 1, phường Lãm Hà,Quận Kiến An,Thành phố Hải Phòng, Việt Nam</v>
      </c>
      <c r="G927" t="str">
        <f>_xlfn.IFNA(VLOOKUP(Table1[[#This Row],[Tên đối tượng]],'DANH MỤC ĐỐI TƯỢNG'!A:F,6,0),"")</f>
        <v>0200576224</v>
      </c>
      <c r="H927" t="str">
        <f>_xlfn.IFNA(VLOOKUP(Table1[[#This Row],[Tên đối tượng]],'DANH MỤC ĐỐI TƯỢNG'!A:I,9,0),"")</f>
        <v>Ngân hàng nông nghiệp và phát triển nông thôn Việt Nam-Chi nhánh Ngô Quyền Hải Phòng</v>
      </c>
      <c r="I927" t="str">
        <f>_xlfn.IFNA(VLOOKUP(Table1[[#This Row],[Tên đối tượng]],'DANH MỤC ĐỐI TƯỢNG'!A:J,10,0),"")</f>
        <v>2101201003621</v>
      </c>
    </row>
    <row r="928" spans="1:9" x14ac:dyDescent="0.3">
      <c r="A928">
        <v>925</v>
      </c>
      <c r="B928" t="s">
        <v>1814</v>
      </c>
      <c r="C928" t="s">
        <v>1815</v>
      </c>
      <c r="D928" t="str">
        <f t="shared" si="28"/>
        <v>925. V10694C</v>
      </c>
      <c r="E928" s="5" t="str">
        <f t="shared" ca="1" si="29"/>
        <v>Công ty TNHH SEW-EURODRIVE</v>
      </c>
      <c r="F928" t="str">
        <f>IFERROR(VLOOKUP(Table1[[#This Row],[Tên đối tượng]],'DANH MỤC ĐỐI TƯỢNG'!A:E,5,0),"")</f>
        <v>Tầng 3, tòa nhà Arrow,Đường Hoàng Việt, phường 4,Quận Tân Bình,thành phố Hồ Chí Minh, Việt Nam</v>
      </c>
      <c r="G928" t="str">
        <f>_xlfn.IFNA(VLOOKUP(Table1[[#This Row],[Tên đối tượng]],'DANH MỤC ĐỐI TƯỢNG'!A:F,6,0),"")</f>
        <v>0315852350</v>
      </c>
      <c r="H928" t="str">
        <f>_xlfn.IFNA(VLOOKUP(Table1[[#This Row],[Tên đối tượng]],'DANH MỤC ĐỐI TƯỢNG'!A:I,9,0),"")</f>
        <v>Deutsche Bank AG-Chi nhánh thành phố Hồ Chí Minh</v>
      </c>
      <c r="I928" t="str">
        <f>_xlfn.IFNA(VLOOKUP(Table1[[#This Row],[Tên đối tượng]],'DANH MỤC ĐỐI TƯỢNG'!A:J,10,0),"")</f>
        <v>1023936-050</v>
      </c>
    </row>
    <row r="929" spans="1:9" x14ac:dyDescent="0.3">
      <c r="A929">
        <v>926</v>
      </c>
      <c r="B929" t="s">
        <v>1816</v>
      </c>
      <c r="C929" t="s">
        <v>1817</v>
      </c>
      <c r="D929" t="str">
        <f t="shared" si="28"/>
        <v>926. V10695C</v>
      </c>
      <c r="E929" s="5" t="str">
        <f t="shared" ca="1" si="29"/>
        <v>Công ty cổ phần tem nhãn và bao bì Xlabels</v>
      </c>
      <c r="F929" t="str">
        <f>IFERROR(VLOOKUP(Table1[[#This Row],[Tên đối tượng]],'DANH MỤC ĐỐI TƯỢNG'!A:E,5,0),"")</f>
        <v>Đường Nguyễn Văn Linh, phường Dị Sử,thị xã Mỹ Hào,Tỉnh Hưng Yên, Việt Nam</v>
      </c>
      <c r="G929" t="str">
        <f>_xlfn.IFNA(VLOOKUP(Table1[[#This Row],[Tên đối tượng]],'DANH MỤC ĐỐI TƯỢNG'!A:F,6,0),"")</f>
        <v>0900994731</v>
      </c>
      <c r="H929" t="str">
        <f>_xlfn.IFNA(VLOOKUP(Table1[[#This Row],[Tên đối tượng]],'DANH MỤC ĐỐI TƯỢNG'!A:I,9,0),"")</f>
        <v>Ngân hàng thương mại cổ phần công thương Việt Nam-Chi nhánh Bắc Hưng Yên</v>
      </c>
      <c r="I929" t="str">
        <f>_xlfn.IFNA(VLOOKUP(Table1[[#This Row],[Tên đối tượng]],'DANH MỤC ĐỐI TƯỢNG'!A:J,10,0),"")</f>
        <v>111000181416</v>
      </c>
    </row>
    <row r="930" spans="1:9" x14ac:dyDescent="0.3">
      <c r="A930">
        <v>927</v>
      </c>
      <c r="B930" t="s">
        <v>1818</v>
      </c>
      <c r="C930" t="s">
        <v>1819</v>
      </c>
      <c r="D930" t="str">
        <f t="shared" si="28"/>
        <v>927. V20224C</v>
      </c>
      <c r="E930" s="5" t="str">
        <f t="shared" ca="1" si="29"/>
        <v>Flynde Singapore Pte Ltd</v>
      </c>
      <c r="F930" t="str">
        <f>IFERROR(VLOOKUP(Table1[[#This Row],[Tên đối tượng]],'DANH MỤC ĐỐI TƯỢNG'!A:E,5,0),"")</f>
        <v>175B Bencoolen Street, #07-02 Burlington Square, Singapore 189651</v>
      </c>
      <c r="G930">
        <f>_xlfn.IFNA(VLOOKUP(Table1[[#This Row],[Tên đối tượng]],'DANH MỤC ĐỐI TƯỢNG'!A:F,6,0),"")</f>
        <v>0</v>
      </c>
      <c r="H930" t="str">
        <f>_xlfn.IFNA(VLOOKUP(Table1[[#This Row],[Tên đối tượng]],'DANH MỤC ĐỐI TƯỢNG'!A:I,9,0),"")</f>
        <v>OCBC Bank-Main Branch</v>
      </c>
      <c r="I930" t="str">
        <f>_xlfn.IFNA(VLOOKUP(Table1[[#This Row],[Tên đối tượng]],'DANH MỤC ĐỐI TƯỢNG'!A:J,10,0),"")</f>
        <v>695-849-562-001</v>
      </c>
    </row>
    <row r="931" spans="1:9" x14ac:dyDescent="0.3">
      <c r="A931">
        <v>928</v>
      </c>
      <c r="B931" t="s">
        <v>1820</v>
      </c>
      <c r="C931" t="s">
        <v>1821</v>
      </c>
      <c r="D931" t="str">
        <f t="shared" si="28"/>
        <v>928. V10690C</v>
      </c>
      <c r="E931" s="5" t="str">
        <f t="shared" ca="1" si="29"/>
        <v>Công ty TNHH thương mại dịch vụ kỹ thuật Sao Phương Nam</v>
      </c>
      <c r="F931" t="str">
        <f>IFERROR(VLOOKUP(Table1[[#This Row],[Tên đối tượng]],'DANH MỤC ĐỐI TƯỢNG'!A:E,5,0),"")</f>
        <v>212/24 Nguyễn Văn Nguyễn, Phường Tân Định,Quận 1,thành phố Hồ Chí Minh, Việt Nam</v>
      </c>
      <c r="G931" t="str">
        <f>_xlfn.IFNA(VLOOKUP(Table1[[#This Row],[Tên đối tượng]],'DANH MỤC ĐỐI TƯỢNG'!A:F,6,0),"")</f>
        <v>0309914231</v>
      </c>
      <c r="H931" t="str">
        <f>_xlfn.IFNA(VLOOKUP(Table1[[#This Row],[Tên đối tượng]],'DANH MỤC ĐỐI TƯỢNG'!A:I,9,0),"")</f>
        <v>Ngân hàng TMCP XNK Việt Nam-Chi nhánh Tân Định</v>
      </c>
      <c r="I931" t="str">
        <f>_xlfn.IFNA(VLOOKUP(Table1[[#This Row],[Tên đối tượng]],'DANH MỤC ĐỐI TƯỢNG'!A:J,10,0),"")</f>
        <v>140014851016411</v>
      </c>
    </row>
    <row r="932" spans="1:9" x14ac:dyDescent="0.3">
      <c r="A932">
        <v>929</v>
      </c>
      <c r="B932" t="s">
        <v>1822</v>
      </c>
      <c r="C932" t="s">
        <v>1823</v>
      </c>
      <c r="D932" t="str">
        <f t="shared" si="28"/>
        <v>929. V20225B</v>
      </c>
      <c r="E932" s="5" t="str">
        <f t="shared" ca="1" si="29"/>
        <v>Changzhou Baoling Heavy &amp; Industrial Machinery Co., Ltd</v>
      </c>
      <c r="F932" t="str">
        <f>IFERROR(VLOOKUP(Table1[[#This Row],[Tên đối tượng]],'DANH MỤC ĐỐI TƯỢNG'!A:E,5,0),"")</f>
        <v>Xinye Road 41#,Changzhou,213000 Jiangsu, China</v>
      </c>
      <c r="G932">
        <f>_xlfn.IFNA(VLOOKUP(Table1[[#This Row],[Tên đối tượng]],'DANH MỤC ĐỐI TƯỢNG'!A:F,6,0),"")</f>
        <v>0</v>
      </c>
      <c r="H932" t="str">
        <f>_xlfn.IFNA(VLOOKUP(Table1[[#This Row],[Tên đối tượng]],'DANH MỤC ĐỐI TƯỢNG'!A:I,9,0),"")</f>
        <v>MUFG Bank (China), Ltd.,-Wuxi Branch</v>
      </c>
      <c r="I932" t="str">
        <f>_xlfn.IFNA(VLOOKUP(Table1[[#This Row],[Tên đối tượng]],'DANH MỤC ĐỐI TƯỢNG'!A:J,10,0),"")</f>
        <v>030813</v>
      </c>
    </row>
    <row r="933" spans="1:9" x14ac:dyDescent="0.3">
      <c r="A933">
        <v>930</v>
      </c>
      <c r="B933" t="s">
        <v>1824</v>
      </c>
      <c r="C933" t="s">
        <v>1825</v>
      </c>
      <c r="D933" t="str">
        <f t="shared" si="28"/>
        <v>930. V20226A</v>
      </c>
      <c r="E933" s="5" t="str">
        <f t="shared" ca="1" si="29"/>
        <v>Madhu Silica Pvt. Ltd</v>
      </c>
      <c r="F933" t="str">
        <f>IFERROR(VLOOKUP(Table1[[#This Row],[Tên đối tượng]],'DANH MỤC ĐỐI TƯỢNG'!A:E,5,0),"")</f>
        <v>147,GIDC Vartej,Bhavnagar-364060, Gujarat, India</v>
      </c>
      <c r="G933">
        <f>_xlfn.IFNA(VLOOKUP(Table1[[#This Row],[Tên đối tượng]],'DANH MỤC ĐỐI TƯỢNG'!A:F,6,0),"")</f>
        <v>0</v>
      </c>
      <c r="H933" t="str">
        <f>_xlfn.IFNA(VLOOKUP(Table1[[#This Row],[Tên đối tượng]],'DANH MỤC ĐỐI TƯỢNG'!A:I,9,0),"")</f>
        <v>Standard Chartered Bank-Ahmedabad Branch</v>
      </c>
      <c r="I933" t="str">
        <f>_xlfn.IFNA(VLOOKUP(Table1[[#This Row],[Tên đối tượng]],'DANH MỤC ĐỐI TƯỢNG'!A:J,10,0),"")</f>
        <v>806-0-502202-8</v>
      </c>
    </row>
    <row r="934" spans="1:9" x14ac:dyDescent="0.3">
      <c r="A934">
        <v>931</v>
      </c>
      <c r="B934" t="s">
        <v>1826</v>
      </c>
      <c r="C934" t="s">
        <v>1827</v>
      </c>
      <c r="D934" t="str">
        <f t="shared" si="28"/>
        <v>931. V10696B</v>
      </c>
      <c r="E934" s="5" t="str">
        <f t="shared" ca="1" si="29"/>
        <v>Công ty TNHH Sản Xuất Pallet CS Việt Nam</v>
      </c>
      <c r="F934" t="str">
        <f>IFERROR(VLOOKUP(Table1[[#This Row],[Tên đối tượng]],'DANH MỤC ĐỐI TƯỢNG'!A:E,5,0),"")</f>
        <v>Khu nhà xưởng Công ty TNHH Sơn Kova,Đội 2, Xã Kiền Bái, Huyện Thủy Nguyên, Thành phố Hải Phòng, Việt Nam</v>
      </c>
      <c r="G934" t="str">
        <f>_xlfn.IFNA(VLOOKUP(Table1[[#This Row],[Tên đối tượng]],'DANH MỤC ĐỐI TƯỢNG'!A:F,6,0),"")</f>
        <v>0201764559</v>
      </c>
      <c r="H934" t="str">
        <f>_xlfn.IFNA(VLOOKUP(Table1[[#This Row],[Tên đối tượng]],'DANH MỤC ĐỐI TƯỢNG'!A:I,9,0),"")</f>
        <v>Ngân hàng TMCP Ngoại thương Việt Nam-Chi nhánh Hải Phòng</v>
      </c>
      <c r="I934" t="str">
        <f>_xlfn.IFNA(VLOOKUP(Table1[[#This Row],[Tên đối tượng]],'DANH MỤC ĐỐI TƯỢNG'!A:J,10,0),"")</f>
        <v>0031000360351</v>
      </c>
    </row>
    <row r="935" spans="1:9" x14ac:dyDescent="0.3">
      <c r="A935">
        <v>932</v>
      </c>
      <c r="B935" t="s">
        <v>1828</v>
      </c>
      <c r="C935" t="s">
        <v>1829</v>
      </c>
      <c r="D935" t="str">
        <f t="shared" si="28"/>
        <v>932. V10697C</v>
      </c>
      <c r="E935" s="5" t="str">
        <f t="shared" ca="1" si="29"/>
        <v>Công ty TNHH Đầu tư và dịch vụ Cường Ngân</v>
      </c>
      <c r="F935" t="str">
        <f>IFERROR(VLOOKUP(Table1[[#This Row],[Tên đối tượng]],'DANH MỤC ĐỐI TƯỢNG'!A:E,5,0),"")</f>
        <v>Số 278A-278B đường Lạch Tray,Phường Lạch Tray, Quận Ngô Quyền,Thành phố Hải Phòng, Việt Nam</v>
      </c>
      <c r="G935" t="str">
        <f>_xlfn.IFNA(VLOOKUP(Table1[[#This Row],[Tên đối tượng]],'DANH MỤC ĐỐI TƯỢNG'!A:F,6,0),"")</f>
        <v>0202174016</v>
      </c>
      <c r="H935" t="str">
        <f>_xlfn.IFNA(VLOOKUP(Table1[[#This Row],[Tên đối tượng]],'DANH MỤC ĐỐI TƯỢNG'!A:I,9,0),"")</f>
        <v>Ngân hàng Agribank-Chi nhánh Hải Phòng</v>
      </c>
      <c r="I935" t="str">
        <f>_xlfn.IFNA(VLOOKUP(Table1[[#This Row],[Tên đối tượng]],'DANH MỤC ĐỐI TƯỢNG'!A:J,10,0),"")</f>
        <v>2100201344856</v>
      </c>
    </row>
    <row r="936" spans="1:9" x14ac:dyDescent="0.3">
      <c r="A936">
        <v>933</v>
      </c>
      <c r="B936" t="s">
        <v>1830</v>
      </c>
      <c r="C936" t="s">
        <v>1831</v>
      </c>
      <c r="D936" t="str">
        <f t="shared" si="28"/>
        <v>933. V10699C</v>
      </c>
      <c r="E936" s="5" t="str">
        <f t="shared" ca="1" si="29"/>
        <v>Công ty TNHH Tích Hợp Hệ Thống Quản Lý Quốc Tế</v>
      </c>
      <c r="F936" t="str">
        <f>IFERROR(VLOOKUP(Table1[[#This Row],[Tên đối tượng]],'DANH MỤC ĐỐI TƯỢNG'!A:E,5,0),"")</f>
        <v>Số 137 Tô Hiệu,Phường Nghĩa Đô,Quận Cầu Giấy,Thành phố Hà Nội, Việt Nam</v>
      </c>
      <c r="G936" t="str">
        <f>_xlfn.IFNA(VLOOKUP(Table1[[#This Row],[Tên đối tượng]],'DANH MỤC ĐỐI TƯỢNG'!A:F,6,0),"")</f>
        <v>0101469253</v>
      </c>
      <c r="H936" t="str">
        <f>_xlfn.IFNA(VLOOKUP(Table1[[#This Row],[Tên đối tượng]],'DANH MỤC ĐỐI TƯỢNG'!A:I,9,0),"")</f>
        <v>Ngân hàng TMCP Tiên Phong-Chi nhánh Thăng Long</v>
      </c>
      <c r="I936" t="str">
        <f>_xlfn.IFNA(VLOOKUP(Table1[[#This Row],[Tên đối tượng]],'DANH MỤC ĐỐI TƯỢNG'!A:J,10,0),"")</f>
        <v>01014692001</v>
      </c>
    </row>
    <row r="937" spans="1:9" x14ac:dyDescent="0.3">
      <c r="A937">
        <v>934</v>
      </c>
      <c r="B937" t="s">
        <v>1832</v>
      </c>
      <c r="C937" t="s">
        <v>1833</v>
      </c>
      <c r="D937" t="str">
        <f t="shared" si="28"/>
        <v>934. V10700C</v>
      </c>
      <c r="E937" s="5" t="str">
        <f t="shared" ca="1" si="29"/>
        <v>Công ty cổ phần tập đoàn Du lịch Hải Đăng</v>
      </c>
      <c r="F937" t="str">
        <f>IFERROR(VLOOKUP(Table1[[#This Row],[Tên đối tượng]],'DANH MỤC ĐỐI TƯỢNG'!A:E,5,0),"")</f>
        <v>Số 19, Trần Khánh Dư,Phường Máy Tơ, Quận Ngô Quyền,Thành phố Hải Phòng, Việt Nam</v>
      </c>
      <c r="G937" t="str">
        <f>_xlfn.IFNA(VLOOKUP(Table1[[#This Row],[Tên đối tượng]],'DANH MỤC ĐỐI TƯỢNG'!A:F,6,0),"")</f>
        <v>0200783809</v>
      </c>
      <c r="H937" t="str">
        <f>_xlfn.IFNA(VLOOKUP(Table1[[#This Row],[Tên đối tượng]],'DANH MỤC ĐỐI TƯỢNG'!A:I,9,0),"")</f>
        <v>Ngân hàng TMCP Ngoại thương Việt Nam-Chi nhánh Hải Phòng</v>
      </c>
      <c r="I937" t="str">
        <f>_xlfn.IFNA(VLOOKUP(Table1[[#This Row],[Tên đối tượng]],'DANH MỤC ĐỐI TƯỢNG'!A:J,10,0),"")</f>
        <v>0031001155999</v>
      </c>
    </row>
    <row r="938" spans="1:9" x14ac:dyDescent="0.3">
      <c r="A938">
        <v>935</v>
      </c>
      <c r="B938" t="s">
        <v>1834</v>
      </c>
      <c r="C938" t="s">
        <v>1835</v>
      </c>
      <c r="D938" t="str">
        <f t="shared" si="28"/>
        <v>935. V10701</v>
      </c>
      <c r="E938" s="5" t="str">
        <f t="shared" ca="1" si="29"/>
        <v>Công ty cổ phần giao nhận tiếp vận quốc tế</v>
      </c>
      <c r="F938" t="str">
        <f>IFERROR(VLOOKUP(Table1[[#This Row],[Tên đối tượng]],'DANH MỤC ĐỐI TƯỢNG'!A:E,5,0),"")</f>
        <v>Tầng 5, Tòa nhà Cảng Sài Gòn, Số 3 Nguyễn Tất Thành,Phường 13, Quận 4,Thành phố Hồ Chí Minh. Việt Nam</v>
      </c>
      <c r="G938" t="str">
        <f>_xlfn.IFNA(VLOOKUP(Table1[[#This Row],[Tên đối tượng]],'DANH MỤC ĐỐI TƯỢNG'!A:F,6,0),"")</f>
        <v>0303957341</v>
      </c>
      <c r="H938" t="str">
        <f>_xlfn.IFNA(VLOOKUP(Table1[[#This Row],[Tên đối tượng]],'DANH MỤC ĐỐI TƯỢNG'!A:I,9,0),"")</f>
        <v>Ngân hàng thương mại cổ phần Ngoại thương Việt Nam-Chi nhánh Thành phố Hồ Chí Minh</v>
      </c>
      <c r="I938" t="str">
        <f>_xlfn.IFNA(VLOOKUP(Table1[[#This Row],[Tên đối tượng]],'DANH MỤC ĐỐI TƯỢNG'!A:J,10,0),"")</f>
        <v>0071002858580 (VND)/0071374500902 (USD)</v>
      </c>
    </row>
    <row r="939" spans="1:9" x14ac:dyDescent="0.3">
      <c r="A939">
        <v>936</v>
      </c>
      <c r="B939" t="s">
        <v>1836</v>
      </c>
      <c r="C939" t="s">
        <v>1837</v>
      </c>
      <c r="D939" t="str">
        <f t="shared" si="28"/>
        <v>936. V10702C</v>
      </c>
      <c r="E939" s="5" t="str">
        <f t="shared" ca="1" si="29"/>
        <v>Công ty cổ phần Quốc tế ALO TOUR</v>
      </c>
      <c r="F939" t="str">
        <f>IFERROR(VLOOKUP(Table1[[#This Row],[Tên đối tượng]],'DANH MỤC ĐỐI TƯỢNG'!A:E,5,0),"")</f>
        <v>Số 10 khu Paris 11-ô số 03 lô số 03-13,khu đô thị Vinhomes ImperiaPhường Thượng Lý,Quận Hồng Bàng, Hải Phòng.</v>
      </c>
      <c r="G939">
        <f>_xlfn.IFNA(VLOOKUP(Table1[[#This Row],[Tên đối tượng]],'DANH MỤC ĐỐI TƯỢNG'!A:F,6,0),"")</f>
        <v>0</v>
      </c>
      <c r="H939" t="str">
        <f>_xlfn.IFNA(VLOOKUP(Table1[[#This Row],[Tên đối tượng]],'DANH MỤC ĐỐI TƯỢNG'!A:I,9,0),"")</f>
        <v>Techcombank-Chi nhánh Hải Phòng</v>
      </c>
      <c r="I939" t="str">
        <f>_xlfn.IFNA(VLOOKUP(Table1[[#This Row],[Tên đối tượng]],'DANH MỤC ĐỐI TƯỢNG'!A:J,10,0),"")</f>
        <v>12348666</v>
      </c>
    </row>
    <row r="940" spans="1:9" x14ac:dyDescent="0.3">
      <c r="A940">
        <v>937</v>
      </c>
      <c r="B940" t="s">
        <v>1838</v>
      </c>
      <c r="C940" t="s">
        <v>1839</v>
      </c>
      <c r="D940" t="str">
        <f t="shared" si="28"/>
        <v>937. V20227C</v>
      </c>
      <c r="E940" s="5" t="str">
        <f t="shared" ca="1" si="29"/>
        <v>Skillsoft Asia Pacific Pte Ltd</v>
      </c>
      <c r="F940" t="str">
        <f>IFERROR(VLOOKUP(Table1[[#This Row],[Tên đối tượng]],'DANH MỤC ĐỐI TƯỢNG'!A:E,5,0),"")</f>
        <v>1 Harbourfront Ave,#14-08 Keppel Bay Tower,Singapore 098632</v>
      </c>
      <c r="G940">
        <f>_xlfn.IFNA(VLOOKUP(Table1[[#This Row],[Tên đối tượng]],'DANH MỤC ĐỐI TƯỢNG'!A:F,6,0),"")</f>
        <v>0</v>
      </c>
      <c r="H940" t="str">
        <f>_xlfn.IFNA(VLOOKUP(Table1[[#This Row],[Tên đối tượng]],'DANH MỤC ĐỐI TƯỢNG'!A:I,9,0),"")</f>
        <v>Bank of America N.A-Singapore Branch</v>
      </c>
      <c r="I940" t="str">
        <f>_xlfn.IFNA(VLOOKUP(Table1[[#This Row],[Tên đối tượng]],'DANH MỤC ĐỐI TƯỢNG'!A:J,10,0),"")</f>
        <v>57501029</v>
      </c>
    </row>
    <row r="941" spans="1:9" x14ac:dyDescent="0.3">
      <c r="A941">
        <v>938</v>
      </c>
      <c r="B941" t="s">
        <v>1840</v>
      </c>
      <c r="C941" t="s">
        <v>1841</v>
      </c>
      <c r="D941" t="str">
        <f t="shared" si="28"/>
        <v>938. V10691C</v>
      </c>
      <c r="E941" s="5" t="str">
        <f t="shared" ca="1" si="29"/>
        <v>Công ty TNHH Thương mại Dịch vụ Điền Gia Hưng</v>
      </c>
      <c r="F941" t="str">
        <f>IFERROR(VLOOKUP(Table1[[#This Row],[Tên đối tượng]],'DANH MỤC ĐỐI TƯỢNG'!A:E,5,0),"")</f>
        <v>872/109, Quang Trung, Phường 8, Quận Gò Vấp, Thành phố Hồ Chí Minh, Việt Nam</v>
      </c>
      <c r="G941" t="str">
        <f>_xlfn.IFNA(VLOOKUP(Table1[[#This Row],[Tên đối tượng]],'DANH MỤC ĐỐI TƯỢNG'!A:F,6,0),"")</f>
        <v>0316430376</v>
      </c>
      <c r="H941" t="str">
        <f>_xlfn.IFNA(VLOOKUP(Table1[[#This Row],[Tên đối tượng]],'DANH MỤC ĐỐI TƯỢNG'!A:I,9,0),"")</f>
        <v>Ngân hàng thương mại cổ phần Á Châu (ACB)-Chi nhánh Đông Sài Gòn</v>
      </c>
      <c r="I941" t="str">
        <f>_xlfn.IFNA(VLOOKUP(Table1[[#This Row],[Tên đối tượng]],'DANH MỤC ĐỐI TƯỢNG'!A:J,10,0),"")</f>
        <v>866866998</v>
      </c>
    </row>
    <row r="942" spans="1:9" x14ac:dyDescent="0.3">
      <c r="A942">
        <v>939</v>
      </c>
      <c r="B942" t="s">
        <v>1842</v>
      </c>
      <c r="C942" t="s">
        <v>1843</v>
      </c>
      <c r="D942" t="str">
        <f t="shared" si="28"/>
        <v>939. V10698C</v>
      </c>
      <c r="E942" s="5" t="str">
        <f t="shared" ca="1" si="29"/>
        <v>Công ty TNHH Aeon Việt Nam - Chi nhánh Hải Phòng</v>
      </c>
      <c r="F942" t="str">
        <f>IFERROR(VLOOKUP(Table1[[#This Row],[Tên đối tượng]],'DANH MỤC ĐỐI TƯỢNG'!A:E,5,0),"")</f>
        <v>Số 10 đường Võ Nguyên Giáp,phường Kênh Dương,Quận Lê Chân,thành phố Hải Phòng, Việt Nam</v>
      </c>
      <c r="G942" t="str">
        <f>_xlfn.IFNA(VLOOKUP(Table1[[#This Row],[Tên đối tượng]],'DANH MỤC ĐỐI TƯỢNG'!A:F,6,0),"")</f>
        <v>0311241512-007</v>
      </c>
      <c r="H942" t="str">
        <f>_xlfn.IFNA(VLOOKUP(Table1[[#This Row],[Tên đối tượng]],'DANH MỤC ĐỐI TƯỢNG'!A:I,9,0),"")</f>
        <v>Ngân hàng TMCP Công thương Việt Nam-Chi nhánh Lê Chân, Hải Phòng</v>
      </c>
      <c r="I942" t="str">
        <f>_xlfn.IFNA(VLOOKUP(Table1[[#This Row],[Tên đối tượng]],'DANH MỤC ĐỐI TƯỢNG'!A:J,10,0),"")</f>
        <v>116601516999</v>
      </c>
    </row>
    <row r="943" spans="1:9" x14ac:dyDescent="0.3">
      <c r="A943">
        <v>940</v>
      </c>
      <c r="B943" t="s">
        <v>1844</v>
      </c>
      <c r="C943" t="s">
        <v>1845</v>
      </c>
      <c r="D943" t="str">
        <f t="shared" si="28"/>
        <v>940. V10703C</v>
      </c>
      <c r="E943" s="5" t="str">
        <f t="shared" ca="1" si="29"/>
        <v>Công ty TNHH DACO</v>
      </c>
      <c r="F943" t="str">
        <f>IFERROR(VLOOKUP(Table1[[#This Row],[Tên đối tượng]],'DANH MỤC ĐỐI TƯỢNG'!A:E,5,0),"")</f>
        <v>Số nhà 146,xã Tân Triều,Huyện Thanh Trì, Thành phố Hà Nội, Việt Nam</v>
      </c>
      <c r="G943" t="str">
        <f>_xlfn.IFNA(VLOOKUP(Table1[[#This Row],[Tên đối tượng]],'DANH MỤC ĐỐI TƯỢNG'!A:F,6,0),"")</f>
        <v>0104029606</v>
      </c>
      <c r="H943" t="str">
        <f>_xlfn.IFNA(VLOOKUP(Table1[[#This Row],[Tên đối tượng]],'DANH MỤC ĐỐI TƯỢNG'!A:I,9,0),"")</f>
        <v>Ngân hàng TMCP Quân Đội (MB)-Chi nhánh Hoàn Kiếm</v>
      </c>
      <c r="I943" t="str">
        <f>_xlfn.IFNA(VLOOKUP(Table1[[#This Row],[Tên đối tượng]],'DANH MỤC ĐỐI TƯỢNG'!A:J,10,0),"")</f>
        <v>0671101706003</v>
      </c>
    </row>
    <row r="944" spans="1:9" x14ac:dyDescent="0.3">
      <c r="A944">
        <v>941</v>
      </c>
      <c r="B944" t="s">
        <v>1846</v>
      </c>
      <c r="C944" t="s">
        <v>1847</v>
      </c>
      <c r="D944" t="str">
        <f t="shared" si="28"/>
        <v>941. V10704B</v>
      </c>
      <c r="E944" s="5" t="str">
        <f t="shared" ca="1" si="29"/>
        <v>Công ty TNHH Tsubaco Việt Nam</v>
      </c>
      <c r="F944" t="str">
        <f>IFERROR(VLOOKUP(Table1[[#This Row],[Tên đối tượng]],'DANH MỤC ĐỐI TƯỢNG'!A:E,5,0),"")</f>
        <v>Tầng số 29, khu văn phòng tòa nhà Pearl Plaza,số 561A Điện Biên Phủ, Phường 25,Quận Bình Thạnh,Thành phố Hồ Chí Minh, Việt Nam</v>
      </c>
      <c r="G944" t="str">
        <f>_xlfn.IFNA(VLOOKUP(Table1[[#This Row],[Tên đối tượng]],'DANH MỤC ĐỐI TƯỢNG'!A:F,6,0),"")</f>
        <v>0315910034</v>
      </c>
      <c r="H944" t="str">
        <f>_xlfn.IFNA(VLOOKUP(Table1[[#This Row],[Tên đối tượng]],'DANH MỤC ĐỐI TƯỢNG'!A:I,9,0),"")</f>
        <v>Ngân hàng Sumitomo Mitsui Banking Corporation-TP.HCM</v>
      </c>
      <c r="I944" t="str">
        <f>_xlfn.IFNA(VLOOKUP(Table1[[#This Row],[Tên đối tượng]],'DANH MỤC ĐỐI TƯỢNG'!A:J,10,0),"")</f>
        <v>10133402</v>
      </c>
    </row>
    <row r="945" spans="1:9" x14ac:dyDescent="0.3">
      <c r="A945">
        <v>942</v>
      </c>
      <c r="B945" t="s">
        <v>1848</v>
      </c>
      <c r="C945" t="s">
        <v>1849</v>
      </c>
      <c r="D945" t="str">
        <f t="shared" si="28"/>
        <v>942. V10705B</v>
      </c>
      <c r="E945" s="5" t="str">
        <f t="shared" ca="1" si="29"/>
        <v>Công ty cổ phần BIMEXCO EC</v>
      </c>
      <c r="F945" t="str">
        <f>IFERROR(VLOOKUP(Table1[[#This Row],[Tên đối tượng]],'DANH MỤC ĐỐI TƯỢNG'!A:E,5,0),"")</f>
        <v>Số 268Đ Trần Nguyên Hãn,Phường Niệm Nghĩa,Quận Lê Chân,Thành phố Hải Phòng, Việt Nam</v>
      </c>
      <c r="G945" t="str">
        <f>_xlfn.IFNA(VLOOKUP(Table1[[#This Row],[Tên đối tượng]],'DANH MỤC ĐỐI TƯỢNG'!A:F,6,0),"")</f>
        <v>0201806784</v>
      </c>
      <c r="H945" t="str">
        <f>_xlfn.IFNA(VLOOKUP(Table1[[#This Row],[Tên đối tượng]],'DANH MỤC ĐỐI TƯỢNG'!A:I,9,0),"")</f>
        <v>TPBank-Chi nhánh Ngô Quyền Hải Phòng</v>
      </c>
      <c r="I945" t="str">
        <f>_xlfn.IFNA(VLOOKUP(Table1[[#This Row],[Tên đối tượng]],'DANH MỤC ĐỐI TƯỢNG'!A:J,10,0),"")</f>
        <v>90201806784</v>
      </c>
    </row>
    <row r="946" spans="1:9" x14ac:dyDescent="0.3">
      <c r="A946">
        <v>943</v>
      </c>
      <c r="B946" t="s">
        <v>1850</v>
      </c>
      <c r="C946" t="s">
        <v>1851</v>
      </c>
      <c r="D946" t="str">
        <f t="shared" si="28"/>
        <v>943. V20228A</v>
      </c>
      <c r="E946" s="5" t="str">
        <f t="shared" ca="1" si="29"/>
        <v>Lanxess Belgium N.V</v>
      </c>
      <c r="F946" t="str">
        <f>IFERROR(VLOOKUP(Table1[[#This Row],[Tên đối tượng]],'DANH MỤC ĐỐI TƯỢNG'!A:E,5,0),"")</f>
        <v>Haven 1992,Ketenislaan 2,9130 Kallo, Belgium</v>
      </c>
      <c r="G946">
        <f>_xlfn.IFNA(VLOOKUP(Table1[[#This Row],[Tên đối tượng]],'DANH MỤC ĐỐI TƯỢNG'!A:F,6,0),"")</f>
        <v>0</v>
      </c>
      <c r="H946" t="str">
        <f>_xlfn.IFNA(VLOOKUP(Table1[[#This Row],[Tên đối tượng]],'DANH MỤC ĐỐI TƯỢNG'!A:I,9,0),"")</f>
        <v>Deutsche Bank Belgium-Brussels Branch</v>
      </c>
      <c r="I946" t="str">
        <f>_xlfn.IFNA(VLOOKUP(Table1[[#This Row],[Tên đối tượng]],'DANH MỤC ĐỐI TƯỢNG'!A:J,10,0),"")</f>
        <v>IBAN: BE53826001555653</v>
      </c>
    </row>
    <row r="947" spans="1:9" x14ac:dyDescent="0.3">
      <c r="A947">
        <v>944</v>
      </c>
      <c r="B947" t="s">
        <v>1852</v>
      </c>
      <c r="C947" t="s">
        <v>1853</v>
      </c>
      <c r="D947" t="str">
        <f t="shared" si="28"/>
        <v>944. V10707</v>
      </c>
      <c r="E947" s="5" t="str">
        <f t="shared" ca="1" si="29"/>
        <v>Công ty TNHH thương mại MESO</v>
      </c>
      <c r="F947" t="str">
        <f>IFERROR(VLOOKUP(Table1[[#This Row],[Tên đối tượng]],'DANH MỤC ĐỐI TƯỢNG'!A:E,5,0),"")</f>
        <v/>
      </c>
      <c r="G947" t="str">
        <f>_xlfn.IFNA(VLOOKUP(Table1[[#This Row],[Tên đối tượng]],'DANH MỤC ĐỐI TƯỢNG'!A:F,6,0),"")</f>
        <v/>
      </c>
      <c r="H947" t="str">
        <f>_xlfn.IFNA(VLOOKUP(Table1[[#This Row],[Tên đối tượng]],'DANH MỤC ĐỐI TƯỢNG'!A:I,9,0),"")</f>
        <v/>
      </c>
      <c r="I947" t="str">
        <f>_xlfn.IFNA(VLOOKUP(Table1[[#This Row],[Tên đối tượng]],'DANH MỤC ĐỐI TƯỢNG'!A:J,10,0),"")</f>
        <v/>
      </c>
    </row>
    <row r="948" spans="1:9" x14ac:dyDescent="0.3">
      <c r="A948">
        <v>945</v>
      </c>
      <c r="B948" t="s">
        <v>1854</v>
      </c>
      <c r="C948" t="s">
        <v>1855</v>
      </c>
      <c r="D948" t="str">
        <f t="shared" si="28"/>
        <v>945. V10708</v>
      </c>
      <c r="E948" s="5" t="str">
        <f t="shared" ca="1" si="29"/>
        <v>Công ty TNHH MITSUI-SOKO VIỆT NAM</v>
      </c>
      <c r="F948" t="str">
        <f>IFERROR(VLOOKUP(Table1[[#This Row],[Tên đối tượng]],'DANH MỤC ĐỐI TƯỢNG'!A:E,5,0),"")</f>
        <v>Lô CN2.10 KCN MP Đình Vũ,Khu nhà cho thuê của công ty CP đối tác Thái Bình Dương,P.Đông Hải 2, Q.Hải An,TP.Hải Phòng,VN</v>
      </c>
      <c r="G948" t="str">
        <f>_xlfn.IFNA(VLOOKUP(Table1[[#This Row],[Tên đối tượng]],'DANH MỤC ĐỐI TƯỢNG'!A:F,6,0),"")</f>
        <v>0201807202</v>
      </c>
      <c r="H948" t="str">
        <f>_xlfn.IFNA(VLOOKUP(Table1[[#This Row],[Tên đối tượng]],'DANH MỤC ĐỐI TƯỢNG'!A:I,9,0),"")</f>
        <v>Sumitomo Mitsui Banking Corporation-Ha Noi branch</v>
      </c>
      <c r="I948" t="str">
        <f>_xlfn.IFNA(VLOOKUP(Table1[[#This Row],[Tên đối tượng]],'DANH MỤC ĐỐI TƯỢNG'!A:J,10,0),"")</f>
        <v>10083901</v>
      </c>
    </row>
    <row r="949" spans="1:9" x14ac:dyDescent="0.3">
      <c r="A949">
        <v>946</v>
      </c>
      <c r="B949" t="s">
        <v>1856</v>
      </c>
      <c r="C949" t="s">
        <v>1857</v>
      </c>
      <c r="D949" t="str">
        <f t="shared" si="28"/>
        <v>946. V10709</v>
      </c>
      <c r="E949" s="5" t="str">
        <f t="shared" ca="1" si="29"/>
        <v>Công ty TNHH sự kiện và truyền thông Sungo</v>
      </c>
      <c r="F949" t="str">
        <f>IFERROR(VLOOKUP(Table1[[#This Row],[Tên đối tượng]],'DANH MỤC ĐỐI TƯỢNG'!A:E,5,0),"")</f>
        <v>BH01-28 Vinhomes Imperia,số 1 Đường Hà Nội, Phường Thượng Lý,Quận Hồng Bàng,Thành phố Hải Phòng, Việt Nam</v>
      </c>
      <c r="G949" t="str">
        <f>_xlfn.IFNA(VLOOKUP(Table1[[#This Row],[Tên đối tượng]],'DANH MỤC ĐỐI TƯỢNG'!A:F,6,0),"")</f>
        <v>0202061100</v>
      </c>
      <c r="H949" t="str">
        <f>_xlfn.IFNA(VLOOKUP(Table1[[#This Row],[Tên đối tượng]],'DANH MỤC ĐỐI TƯỢNG'!A:I,9,0),"")</f>
        <v>Ngân hàng TMCP Á Châu-Chi nhánh Duyên Hải</v>
      </c>
      <c r="I949" t="str">
        <f>_xlfn.IFNA(VLOOKUP(Table1[[#This Row],[Tên đối tượng]],'DANH MỤC ĐỐI TƯỢNG'!A:J,10,0),"")</f>
        <v>25706888</v>
      </c>
    </row>
    <row r="950" spans="1:9" x14ac:dyDescent="0.3">
      <c r="A950">
        <v>947</v>
      </c>
      <c r="B950" t="s">
        <v>1858</v>
      </c>
      <c r="C950" t="s">
        <v>1859</v>
      </c>
      <c r="D950" t="str">
        <f t="shared" si="28"/>
        <v>947. V10710</v>
      </c>
      <c r="E950" s="5" t="str">
        <f t="shared" ca="1" si="29"/>
        <v>Công ty TNHH Nissin Lube Việt Nam</v>
      </c>
      <c r="F950" t="str">
        <f>IFERROR(VLOOKUP(Table1[[#This Row],[Tên đối tượng]],'DANH MỤC ĐỐI TƯỢNG'!A:E,5,0),"")</f>
        <v>Phòng 802B, tầng 8, TD Business Center,Lô 20 đường Lê Hồng Phong,P. Đông Khê,Q. Ngô Quyền,thành phố Hải Phòng, Việt Nam</v>
      </c>
      <c r="G950" t="str">
        <f>_xlfn.IFNA(VLOOKUP(Table1[[#This Row],[Tên đối tượng]],'DANH MỤC ĐỐI TƯỢNG'!A:F,6,0),"")</f>
        <v>0202207906</v>
      </c>
      <c r="H950" t="str">
        <f>_xlfn.IFNA(VLOOKUP(Table1[[#This Row],[Tên đối tượng]],'DANH MỤC ĐỐI TƯỢNG'!A:I,9,0),"")</f>
        <v>Vietcombank-Hải Phòng</v>
      </c>
      <c r="I950" t="str">
        <f>_xlfn.IFNA(VLOOKUP(Table1[[#This Row],[Tên đối tượng]],'DANH MỤC ĐỐI TƯỢNG'!A:J,10,0),"")</f>
        <v>1039505185</v>
      </c>
    </row>
    <row r="951" spans="1:9" x14ac:dyDescent="0.3">
      <c r="A951">
        <v>948</v>
      </c>
      <c r="B951" t="s">
        <v>1860</v>
      </c>
      <c r="C951" t="s">
        <v>1861</v>
      </c>
      <c r="D951" t="str">
        <f t="shared" si="28"/>
        <v>948. V20219</v>
      </c>
      <c r="E951" s="5" t="str">
        <f t="shared" ca="1" si="29"/>
        <v>SHANGHAI HEWEI MACHINERY IMPORT &amp; EXPORT CO., LTD</v>
      </c>
      <c r="F951" t="str">
        <f>IFERROR(VLOOKUP(Table1[[#This Row],[Tên đối tượng]],'DANH MỤC ĐỐI TƯỢNG'!A:E,5,0),"")</f>
        <v>Room 102, No 13,Lane 1118,Jiaozhou road, Putuo district,Shanghai, China 200060</v>
      </c>
      <c r="G951">
        <f>_xlfn.IFNA(VLOOKUP(Table1[[#This Row],[Tên đối tượng]],'DANH MỤC ĐỐI TƯỢNG'!A:F,6,0),"")</f>
        <v>0</v>
      </c>
      <c r="H951" t="str">
        <f>_xlfn.IFNA(VLOOKUP(Table1[[#This Row],[Tên đối tượng]],'DANH MỤC ĐỐI TƯỢNG'!A:I,9,0),"")</f>
        <v>Agricultural Bank of China-Shanghai Changshou Sub-branch</v>
      </c>
      <c r="I951" t="str">
        <f>_xlfn.IFNA(VLOOKUP(Table1[[#This Row],[Tên đối tượng]],'DANH MỤC ĐỐI TƯỢNG'!A:J,10,0),"")</f>
        <v>09371114040000135</v>
      </c>
    </row>
    <row r="952" spans="1:9" x14ac:dyDescent="0.3">
      <c r="A952">
        <v>949</v>
      </c>
      <c r="B952" t="s">
        <v>1862</v>
      </c>
      <c r="C952" t="s">
        <v>1863</v>
      </c>
      <c r="D952" t="str">
        <f t="shared" si="28"/>
        <v>949. V10711</v>
      </c>
      <c r="E952" s="5" t="str">
        <f t="shared" ca="1" si="29"/>
        <v>Công ty TNHH KPMG</v>
      </c>
      <c r="F952" t="str">
        <f>IFERROR(VLOOKUP(Table1[[#This Row],[Tên đối tượng]],'DANH MỤC ĐỐI TƯỢNG'!A:E,5,0),"")</f>
        <v>Tầng 46 tòa nhà Keangnam,Hanoi Landmark Tower,tòa nhà 72 tầng,lô E6,đường Phạm Hùng,KĐT mới Cầu Giấy, P.Mễ Trì,Q.Nam Từ Liêm,HN</v>
      </c>
      <c r="G952" t="str">
        <f>_xlfn.IFNA(VLOOKUP(Table1[[#This Row],[Tên đối tượng]],'DANH MỤC ĐỐI TƯỢNG'!A:F,6,0),"")</f>
        <v>0100112042</v>
      </c>
      <c r="H952" t="str">
        <f>_xlfn.IFNA(VLOOKUP(Table1[[#This Row],[Tên đối tượng]],'DANH MỤC ĐỐI TƯỢNG'!A:I,9,0),"")</f>
        <v>Public Bank Vietnam Limited-Hanoi Branch</v>
      </c>
      <c r="I952" t="str">
        <f>_xlfn.IFNA(VLOOKUP(Table1[[#This Row],[Tên đối tượng]],'DANH MỤC ĐỐI TƯỢNG'!A:J,10,0),"")</f>
        <v>0201000000113</v>
      </c>
    </row>
    <row r="953" spans="1:9" x14ac:dyDescent="0.3">
      <c r="A953">
        <v>950</v>
      </c>
      <c r="B953" t="s">
        <v>1864</v>
      </c>
      <c r="C953" t="s">
        <v>1865</v>
      </c>
      <c r="D953" t="str">
        <f t="shared" si="28"/>
        <v>950. V10692</v>
      </c>
      <c r="E953" s="5" t="str">
        <f t="shared" ca="1" si="29"/>
        <v>Công ty TNHH một thành viên thương mại dịch vụ Gia Nguyễn Nguyễn</v>
      </c>
      <c r="F953" t="str">
        <f>IFERROR(VLOOKUP(Table1[[#This Row],[Tên đối tượng]],'DANH MỤC ĐỐI TƯỢNG'!A:E,5,0),"")</f>
        <v>Tầng 3 Tòa nhà Thanh Long, 456 Xô Viết Nghệ Tĩnh, Phường 25, Quận Bình Thạnh, Thành phố Hồ Chí Minh, Việt Nam</v>
      </c>
      <c r="G953" t="str">
        <f>_xlfn.IFNA(VLOOKUP(Table1[[#This Row],[Tên đối tượng]],'DANH MỤC ĐỐI TƯỢNG'!A:F,6,0),"")</f>
        <v>0305005588</v>
      </c>
      <c r="H953" t="str">
        <f>_xlfn.IFNA(VLOOKUP(Table1[[#This Row],[Tên đối tượng]],'DANH MỤC ĐỐI TƯỢNG'!A:I,9,0),"")</f>
        <v>Ngân hàng thương mại cổ phần Á Châu (ACB)-Chi nhánh Châu Văn Liêm</v>
      </c>
      <c r="I953" t="str">
        <f>_xlfn.IFNA(VLOOKUP(Table1[[#This Row],[Tên đối tượng]],'DANH MỤC ĐỐI TƯỢNG'!A:J,10,0),"")</f>
        <v>33 555 68 68 68</v>
      </c>
    </row>
    <row r="954" spans="1:9" x14ac:dyDescent="0.3">
      <c r="A954">
        <v>951</v>
      </c>
      <c r="B954" t="s">
        <v>1866</v>
      </c>
      <c r="C954" t="s">
        <v>1867</v>
      </c>
      <c r="D954" t="str">
        <f t="shared" si="28"/>
        <v>951. V10712</v>
      </c>
      <c r="E954" s="5" t="str">
        <f t="shared" ca="1" si="29"/>
        <v>Công ty cổ phần cơ khí và dịch vụ thương mại An Bình</v>
      </c>
      <c r="F954" t="str">
        <f>IFERROR(VLOOKUP(Table1[[#This Row],[Tên đối tượng]],'DANH MỤC ĐỐI TƯỢNG'!A:E,5,0),"")</f>
        <v>Thôn Câu Hạ A (tại nhà Ông Dương Đức Hoàn),xã Quang Trung,huyện An Lão, Thành phố Hải Phòng, Việt Nam</v>
      </c>
      <c r="G954" t="str">
        <f>_xlfn.IFNA(VLOOKUP(Table1[[#This Row],[Tên đối tượng]],'DANH MỤC ĐỐI TƯỢNG'!A:F,6,0),"")</f>
        <v>0201301279</v>
      </c>
      <c r="H954" t="str">
        <f>_xlfn.IFNA(VLOOKUP(Table1[[#This Row],[Tên đối tượng]],'DANH MỤC ĐỐI TƯỢNG'!A:I,9,0),"")</f>
        <v>Ngân hàng TMCP Quân Đội-Chi nhánh Bắc Hải Phòng</v>
      </c>
      <c r="I954" t="str">
        <f>_xlfn.IFNA(VLOOKUP(Table1[[#This Row],[Tên đối tượng]],'DANH MỤC ĐỐI TƯỢNG'!A:J,10,0),"")</f>
        <v>2601117779999</v>
      </c>
    </row>
    <row r="955" spans="1:9" x14ac:dyDescent="0.3">
      <c r="A955">
        <v>952</v>
      </c>
      <c r="B955" t="s">
        <v>1868</v>
      </c>
      <c r="C955" t="s">
        <v>1869</v>
      </c>
      <c r="D955" t="str">
        <f t="shared" si="28"/>
        <v>952. V10713</v>
      </c>
      <c r="E955" s="5" t="str">
        <f t="shared" ca="1" si="29"/>
        <v>Công ty cổ phần RTC Technology Việt Nam</v>
      </c>
      <c r="F955" t="str">
        <f>IFERROR(VLOOKUP(Table1[[#This Row],[Tên đối tượng]],'DANH MỤC ĐỐI TƯỢNG'!A:E,5,0),"")</f>
        <v>Nhà A52, TT10, Khu đô thị mới Văn Quán,phường Văn Quán,quận Hà Đông,thành phố Hà Nội, Việt Nam</v>
      </c>
      <c r="G955" t="str">
        <f>_xlfn.IFNA(VLOOKUP(Table1[[#This Row],[Tên đối tượng]],'DANH MỤC ĐỐI TƯỢNG'!A:F,6,0),"")</f>
        <v>0106845021</v>
      </c>
      <c r="H955" t="str">
        <f>_xlfn.IFNA(VLOOKUP(Table1[[#This Row],[Tên đối tượng]],'DANH MỤC ĐỐI TƯỢNG'!A:I,9,0),"")</f>
        <v>Ngân hàng TMCP Quân Đội (MB Bank)-Chi nhánh Đông Anh</v>
      </c>
      <c r="I955" t="str">
        <f>_xlfn.IFNA(VLOOKUP(Table1[[#This Row],[Tên đối tượng]],'DANH MỤC ĐỐI TƯỢNG'!A:J,10,0),"")</f>
        <v>835333886666</v>
      </c>
    </row>
    <row r="956" spans="1:9" x14ac:dyDescent="0.3">
      <c r="A956">
        <v>953</v>
      </c>
      <c r="B956" t="s">
        <v>1870</v>
      </c>
      <c r="C956" t="s">
        <v>1871</v>
      </c>
      <c r="D956" t="str">
        <f t="shared" si="28"/>
        <v>953. V10714</v>
      </c>
      <c r="E956" s="5" t="str">
        <f t="shared" ca="1" si="29"/>
        <v>Chi nhánh Hải Phòng- Công ty cổ phần Vinpearl</v>
      </c>
      <c r="F956" t="str">
        <f>IFERROR(VLOOKUP(Table1[[#This Row],[Tên đối tượng]],'DANH MỤC ĐỐI TƯỢNG'!A:E,5,0),"")</f>
        <v>Đảo Vũ Yên, Đường Nguyễn Bỉnh Khiêm,Phường Đông Hải 2,Quận Hải An, Thành phố Hải Phòng, Việt Nam</v>
      </c>
      <c r="G956" t="str">
        <f>_xlfn.IFNA(VLOOKUP(Table1[[#This Row],[Tên đối tượng]],'DANH MỤC ĐỐI TƯỢNG'!A:F,6,0),"")</f>
        <v>4200456848-012</v>
      </c>
      <c r="H956" t="str">
        <f>_xlfn.IFNA(VLOOKUP(Table1[[#This Row],[Tên đối tượng]],'DANH MỤC ĐỐI TƯỢNG'!A:I,9,0),"")</f>
        <v>Ngân hàng TMCP Kỹ thương Việt Nam</v>
      </c>
      <c r="I956" t="str">
        <f>_xlfn.IFNA(VLOOKUP(Table1[[#This Row],[Tên đối tượng]],'DANH MỤC ĐỐI TƯỢNG'!A:J,10,0),"")</f>
        <v>19033043898023</v>
      </c>
    </row>
    <row r="957" spans="1:9" x14ac:dyDescent="0.3">
      <c r="A957">
        <v>954</v>
      </c>
      <c r="B957" t="s">
        <v>1872</v>
      </c>
      <c r="C957" t="s">
        <v>1873</v>
      </c>
      <c r="D957" t="str">
        <f t="shared" si="28"/>
        <v>954. V10715</v>
      </c>
      <c r="E957" s="5" t="str">
        <f t="shared" ca="1" si="29"/>
        <v>Công ty cổ phần Tu-Seiki</v>
      </c>
      <c r="F957" t="str">
        <f>IFERROR(VLOOKUP(Table1[[#This Row],[Tên đối tượng]],'DANH MỤC ĐỐI TƯỢNG'!A:E,5,0),"")</f>
        <v>Lô B7i, Khu B, Khu công nghiệp Hiệp Phước,xã Hiệp Phước,  huyện Nhà Bè,Thành phố Hồ Chí Minh, Việt Nam</v>
      </c>
      <c r="G957" t="str">
        <f>_xlfn.IFNA(VLOOKUP(Table1[[#This Row],[Tên đối tượng]],'DANH MỤC ĐỐI TƯỢNG'!A:F,6,0),"")</f>
        <v>0313574274</v>
      </c>
      <c r="H957" t="str">
        <f>_xlfn.IFNA(VLOOKUP(Table1[[#This Row],[Tên đối tượng]],'DANH MỤC ĐỐI TƯỢNG'!A:I,9,0),"")</f>
        <v>Ngân hàng TMCP Quân Đội-Chi nhánh Chi nhánh Nam Sài Gòn</v>
      </c>
      <c r="I957" t="str">
        <f>_xlfn.IFNA(VLOOKUP(Table1[[#This Row],[Tên đối tượng]],'DANH MỤC ĐỐI TƯỢNG'!A:J,10,0),"")</f>
        <v>1601100088999</v>
      </c>
    </row>
    <row r="958" spans="1:9" x14ac:dyDescent="0.3">
      <c r="A958">
        <v>955</v>
      </c>
      <c r="B958" t="s">
        <v>1874</v>
      </c>
      <c r="C958" t="s">
        <v>1875</v>
      </c>
      <c r="D958" t="str">
        <f t="shared" si="28"/>
        <v>955. V10384</v>
      </c>
      <c r="E958" s="5" t="str">
        <f t="shared" ca="1" si="29"/>
        <v>Công ty cổ phần đầu tư sản xuất năng lượng xanh</v>
      </c>
      <c r="F958" t="str">
        <f>IFERROR(VLOOKUP(Table1[[#This Row],[Tên đối tượng]],'DANH MỤC ĐỐI TƯỢNG'!A:E,5,0),"")</f>
        <v>92, Nguyễn Văn Trỗi, Phường 08, Quận Phú Nhuận, Thành phố Hồ Chí Minh</v>
      </c>
      <c r="G958">
        <f>_xlfn.IFNA(VLOOKUP(Table1[[#This Row],[Tên đối tượng]],'DANH MỤC ĐỐI TƯỢNG'!A:F,6,0),"")</f>
        <v>0</v>
      </c>
      <c r="H958" t="str">
        <f>_xlfn.IFNA(VLOOKUP(Table1[[#This Row],[Tên đối tượng]],'DANH MỤC ĐỐI TƯỢNG'!A:I,9,0),"")</f>
        <v>Ngân hàng TMCP Công thương Việt Nam (Vietinbank)-Chi nhánh Gia Định</v>
      </c>
      <c r="I958" t="str">
        <f>_xlfn.IFNA(VLOOKUP(Table1[[#This Row],[Tên đối tượng]],'DANH MỤC ĐỐI TƯỢNG'!A:J,10,0),"")</f>
        <v>112608575555 (VND)/111649575555 (VND)</v>
      </c>
    </row>
    <row r="959" spans="1:9" x14ac:dyDescent="0.3">
      <c r="A959">
        <v>956</v>
      </c>
      <c r="B959" t="s">
        <v>8766</v>
      </c>
      <c r="C959" t="s">
        <v>8767</v>
      </c>
      <c r="D959" t="str">
        <f t="shared" si="28"/>
        <v>956. V10720</v>
      </c>
      <c r="E959" s="5" t="str">
        <f t="shared" ca="1" si="29"/>
        <v>Công ty TNHH Dịch vụ thương mại POP-UP</v>
      </c>
      <c r="F959" t="str">
        <f>IFERROR(VLOOKUP(Table1[[#This Row],[Tên đối tượng]],'DANH MỤC ĐỐI TƯỢNG'!A:E,5,0),"")</f>
        <v>1094/40 Lê Đức Thọ,Phường 13,Quận Gò Vấp,Thành phố Hồ Chí Minh, Việt Nam</v>
      </c>
      <c r="G959" t="str">
        <f>_xlfn.IFNA(VLOOKUP(Table1[[#This Row],[Tên đối tượng]],'DANH MỤC ĐỐI TƯỢNG'!A:F,6,0),"")</f>
        <v>0315520394</v>
      </c>
      <c r="H959" t="str">
        <f>_xlfn.IFNA(VLOOKUP(Table1[[#This Row],[Tên đối tượng]],'DANH MỤC ĐỐI TƯỢNG'!A:I,9,0),"")</f>
        <v>Ngân hàng cổ phần thương mại Á Châu (ACB)-PGD Nguyễn Văn Trỗi, TP.HCM</v>
      </c>
      <c r="I959" t="str">
        <f>_xlfn.IFNA(VLOOKUP(Table1[[#This Row],[Tên đối tượng]],'DANH MỤC ĐỐI TƯỢNG'!A:J,10,0),"")</f>
        <v>162723298</v>
      </c>
    </row>
    <row r="960" spans="1:9" x14ac:dyDescent="0.3">
      <c r="A960">
        <f t="shared" ref="A960:A1023" si="30">IF(B960&lt;&gt;0,ROW()-3,"")</f>
        <v>957</v>
      </c>
      <c r="B960" t="s">
        <v>8775</v>
      </c>
      <c r="C960" t="s">
        <v>7654</v>
      </c>
      <c r="D960" t="str">
        <f t="shared" si="28"/>
        <v>957. V10718</v>
      </c>
      <c r="E960" s="5" t="str">
        <f t="shared" ca="1" si="29"/>
        <v>Công ty Cổ Phần Đầu tư và Phát triển Công Nghệ Tabviet</v>
      </c>
      <c r="F960" t="str">
        <f>IFERROR(VLOOKUP(Table1[[#This Row],[Tên đối tượng]],'DANH MỤC ĐỐI TƯỢNG'!A:E,5,0),"")</f>
        <v>219 Quốc Lộ 13,Phường 26,Quận Bình Thạnh,Thành phố Hồ Chí Minh, Việt Nam</v>
      </c>
      <c r="G960">
        <f>_xlfn.IFNA(VLOOKUP(Table1[[#This Row],[Tên đối tượng]],'DANH MỤC ĐỐI TƯỢNG'!A:F,6,0),"")</f>
        <v>0</v>
      </c>
      <c r="H960" t="str">
        <f>_xlfn.IFNA(VLOOKUP(Table1[[#This Row],[Tên đối tượng]],'DANH MỤC ĐỐI TƯỢNG'!A:I,9,0),"")</f>
        <v>Ngân hàng TMCP Kỹ thương Việt Nam-Chi nhánh Chợ Lớn</v>
      </c>
      <c r="I960" t="str">
        <f>_xlfn.IFNA(VLOOKUP(Table1[[#This Row],[Tên đối tượng]],'DANH MỤC ĐỐI TƯỢNG'!A:J,10,0),"")</f>
        <v>19037809695011</v>
      </c>
    </row>
    <row r="961" spans="1:9" x14ac:dyDescent="0.3">
      <c r="A961">
        <f t="shared" si="30"/>
        <v>958</v>
      </c>
      <c r="B961" t="s">
        <v>8776</v>
      </c>
      <c r="C961" t="s">
        <v>4848</v>
      </c>
      <c r="D961" t="str">
        <f t="shared" si="28"/>
        <v>958. V10717</v>
      </c>
      <c r="E961" s="5" t="str">
        <f t="shared" ca="1" si="29"/>
        <v>Công ty TNHH thang máy và thiết bị Á Châu Hà Nội</v>
      </c>
      <c r="F961" t="str">
        <f>IFERROR(VLOOKUP(Table1[[#This Row],[Tên đối tượng]],'DANH MỤC ĐỐI TƯỢNG'!A:E,5,0),"")</f>
        <v>Số 92, đường Phan Trọng Tuệ, khu Cầu Bươn,xã Tả Thanh Oai,huyện Thanh Trì, thành phố Hà Nội, Việt Nam</v>
      </c>
      <c r="G961">
        <f>_xlfn.IFNA(VLOOKUP(Table1[[#This Row],[Tên đối tượng]],'DANH MỤC ĐỐI TƯỢNG'!A:F,6,0),"")</f>
        <v>0</v>
      </c>
      <c r="H961" t="str">
        <f>_xlfn.IFNA(VLOOKUP(Table1[[#This Row],[Tên đối tượng]],'DANH MỤC ĐỐI TƯỢNG'!A:I,9,0),"")</f>
        <v>Ngân hàng TMCP Kỹ thương Việt Nam-Chi nhánh Đống Đa</v>
      </c>
      <c r="I961" t="str">
        <f>_xlfn.IFNA(VLOOKUP(Table1[[#This Row],[Tên đối tượng]],'DANH MỤC ĐỐI TƯỢNG'!A:J,10,0),"")</f>
        <v>19129367918016</v>
      </c>
    </row>
    <row r="962" spans="1:9" x14ac:dyDescent="0.3">
      <c r="A962">
        <f t="shared" si="30"/>
        <v>959</v>
      </c>
      <c r="B962" t="s">
        <v>8777</v>
      </c>
      <c r="C962" t="s">
        <v>7843</v>
      </c>
      <c r="D962" t="str">
        <f t="shared" si="28"/>
        <v>959. V10716</v>
      </c>
      <c r="E962" s="5" t="str">
        <f t="shared" ca="1" si="29"/>
        <v>Công ty cổ phần công nghệ ITG</v>
      </c>
      <c r="F962" t="str">
        <f>IFERROR(VLOOKUP(Table1[[#This Row],[Tên đối tượng]],'DANH MỤC ĐỐI TƯỢNG'!A:E,5,0),"")</f>
        <v>Số nhà B8, ngõ 11 Nguyễn Qúy Đức,phường Thanh Xuân Bắc,quận Thanh Xuân,thành phố Hà Nội, Việt Nam</v>
      </c>
      <c r="G962">
        <f>_xlfn.IFNA(VLOOKUP(Table1[[#This Row],[Tên đối tượng]],'DANH MỤC ĐỐI TƯỢNG'!A:F,6,0),"")</f>
        <v>0</v>
      </c>
      <c r="H962" t="str">
        <f>_xlfn.IFNA(VLOOKUP(Table1[[#This Row],[Tên đối tượng]],'DANH MỤC ĐỐI TƯỢNG'!A:I,9,0),"")</f>
        <v>Ngân hàng TMCP đầu tư và phát triển Việt Nam-Chi nhánh Hà Thành</v>
      </c>
      <c r="I962" t="str">
        <f>_xlfn.IFNA(VLOOKUP(Table1[[#This Row],[Tên đối tượng]],'DANH MỤC ĐỐI TƯỢNG'!A:J,10,0),"")</f>
        <v>1220989888</v>
      </c>
    </row>
    <row r="963" spans="1:9" x14ac:dyDescent="0.3">
      <c r="A963">
        <f t="shared" si="30"/>
        <v>960</v>
      </c>
      <c r="B963" t="s">
        <v>1137</v>
      </c>
      <c r="C963" t="s">
        <v>2317</v>
      </c>
      <c r="D963" t="str">
        <f t="shared" si="28"/>
        <v>960. V20157</v>
      </c>
      <c r="E963" s="5" t="str">
        <f t="shared" ca="1" si="29"/>
        <v>TOPNEXT International Company Limited</v>
      </c>
      <c r="F963" t="str">
        <f>IFERROR(VLOOKUP(Table1[[#This Row],[Tên đối tượng]],'DANH MỤC ĐỐI TƯỢNG'!A:E,5,0),"")</f>
        <v>555/1 Energy complex Bulding A 11th Floor, Vibhavadi Rangsit Road, , Chatuchak Bangkok 10900,</v>
      </c>
      <c r="G963">
        <f>_xlfn.IFNA(VLOOKUP(Table1[[#This Row],[Tên đối tượng]],'DANH MỤC ĐỐI TƯỢNG'!A:F,6,0),"")</f>
        <v>0</v>
      </c>
      <c r="H963" t="str">
        <f>_xlfn.IFNA(VLOOKUP(Table1[[#This Row],[Tên đối tượng]],'DANH MỤC ĐỐI TƯỢNG'!A:I,9,0),"")</f>
        <v>Kasikornbank Public Company Limited</v>
      </c>
      <c r="I963" t="str">
        <f>_xlfn.IFNA(VLOOKUP(Table1[[#This Row],[Tên đối tượng]],'DANH MỤC ĐỐI TƯỢNG'!A:J,10,0),"")</f>
        <v>099-92-0390-6</v>
      </c>
    </row>
    <row r="964" spans="1:9" x14ac:dyDescent="0.3">
      <c r="A964">
        <f t="shared" si="30"/>
        <v>961</v>
      </c>
      <c r="B964" t="s">
        <v>8786</v>
      </c>
      <c r="C964" t="s">
        <v>8785</v>
      </c>
      <c r="D964" t="str">
        <f t="shared" si="28"/>
        <v>961. V10723C</v>
      </c>
      <c r="E964" s="5" t="str">
        <f t="shared" ca="1" si="29"/>
        <v>Công ty cổ phần 168 Nhật Minh</v>
      </c>
      <c r="F964" t="str">
        <f>IFERROR(VLOOKUP(Table1[[#This Row],[Tên đối tượng]],'DANH MỤC ĐỐI TƯỢNG'!A:E,5,0),"")</f>
        <v>Số 300 đường Phạm Văn Đồng,Phường Anh Dũng, Quận Dương Kinh,Thành phố Hải Phòng, Việt Nam</v>
      </c>
      <c r="G964" t="str">
        <f>_xlfn.IFNA(VLOOKUP(Table1[[#This Row],[Tên đối tượng]],'DANH MỤC ĐỐI TƯỢNG'!A:F,6,0),"")</f>
        <v>0201980609</v>
      </c>
      <c r="H964" t="str">
        <f>_xlfn.IFNA(VLOOKUP(Table1[[#This Row],[Tên đối tượng]],'DANH MỤC ĐỐI TƯỢNG'!A:I,9,0),"")</f>
        <v>Ngân hàng TMCP Công thương Việt Nam (Vietinbank)-Chi nhánh Hồng Bàng</v>
      </c>
      <c r="I964" t="str">
        <f>_xlfn.IFNA(VLOOKUP(Table1[[#This Row],[Tên đối tượng]],'DANH MỤC ĐỐI TƯỢNG'!A:J,10,0),"")</f>
        <v>116002899380</v>
      </c>
    </row>
    <row r="965" spans="1:9" x14ac:dyDescent="0.3">
      <c r="A965">
        <f t="shared" si="30"/>
        <v>962</v>
      </c>
      <c r="B965" t="s">
        <v>8806</v>
      </c>
      <c r="C965" t="s">
        <v>8805</v>
      </c>
      <c r="D965" t="str">
        <f t="shared" ref="D965:D1028" si="31">A965&amp;". "&amp;B965</f>
        <v>962. V10721C</v>
      </c>
      <c r="E965" s="5" t="str">
        <f t="shared" ref="E965:E1028" ca="1" si="32">IF(B965&lt;&gt;"",HYPERLINK($A$2&amp;D965,C965),"")</f>
        <v>Công ty TNHH Air Water Việt Nam- Chi nhánh Hà Nam</v>
      </c>
      <c r="F965" t="str">
        <f>IFERROR(VLOOKUP(Table1[[#This Row],[Tên đối tượng]],'DANH MỤC ĐỐI TƯỢNG'!A:E,5,0),"")</f>
        <v>Khu công nghiệp hỗ trợ Đồng Văn III,Phường Đồng Văn, Thị xã Duy Tiên, Tỉnh Hà Nam, Việt Nam</v>
      </c>
      <c r="G965" t="str">
        <f>_xlfn.IFNA(VLOOKUP(Table1[[#This Row],[Tên đối tượng]],'DANH MỤC ĐỐI TƯỢNG'!A:F,6,0),"")</f>
        <v>3501711627-003</v>
      </c>
      <c r="H965" t="str">
        <f>_xlfn.IFNA(VLOOKUP(Table1[[#This Row],[Tên đối tượng]],'DANH MỤC ĐỐI TƯỢNG'!A:I,9,0),"")</f>
        <v>Ngân hàng thương mại cổ phần Ngoại thương Việt Nam-Chi nhánh Thăng Long</v>
      </c>
      <c r="I965" t="str">
        <f>_xlfn.IFNA(VLOOKUP(Table1[[#This Row],[Tên đối tượng]],'DANH MỤC ĐỐI TƯỢNG'!A:J,10,0),"")</f>
        <v>1025478260</v>
      </c>
    </row>
    <row r="966" spans="1:9" x14ac:dyDescent="0.3">
      <c r="A966">
        <f t="shared" si="30"/>
        <v>963</v>
      </c>
      <c r="B966" t="s">
        <v>8818</v>
      </c>
      <c r="C966" t="s">
        <v>8817</v>
      </c>
      <c r="D966" t="str">
        <f t="shared" si="31"/>
        <v>963. V10722C</v>
      </c>
      <c r="E966" s="5" t="str">
        <f t="shared" ca="1" si="32"/>
        <v>Công ty TNHH Thiết bị Công Nghiệp Thiên An</v>
      </c>
      <c r="F966" t="str">
        <f>IFERROR(VLOOKUP(Table1[[#This Row],[Tên đối tượng]],'DANH MỤC ĐỐI TƯỢNG'!A:E,5,0),"")</f>
        <v>Số 245 khu dịch vụ Xa La, phường Phúc La,quận Hà Đông,thành phố Hà Nội, Việt Nam</v>
      </c>
      <c r="G966" t="str">
        <f>_xlfn.IFNA(VLOOKUP(Table1[[#This Row],[Tên đối tượng]],'DANH MỤC ĐỐI TƯỢNG'!A:F,6,0),"")</f>
        <v>0104883825</v>
      </c>
      <c r="H966" t="str">
        <f>_xlfn.IFNA(VLOOKUP(Table1[[#This Row],[Tên đối tượng]],'DANH MỤC ĐỐI TƯỢNG'!A:I,9,0),"")</f>
        <v>Ngân hàng TMCP Á Châu-PGD Thanh Nhàn- Chi nhánh Hà Nội</v>
      </c>
      <c r="I966" t="str">
        <f>_xlfn.IFNA(VLOOKUP(Table1[[#This Row],[Tên đối tượng]],'DANH MỤC ĐỐI TƯỢNG'!A:J,10,0),"")</f>
        <v>85678709</v>
      </c>
    </row>
    <row r="967" spans="1:9" x14ac:dyDescent="0.3">
      <c r="A967">
        <f t="shared" si="30"/>
        <v>964</v>
      </c>
      <c r="B967" t="s">
        <v>8812</v>
      </c>
      <c r="C967" t="s">
        <v>8811</v>
      </c>
      <c r="D967" t="str">
        <f t="shared" si="31"/>
        <v>964. V10724C</v>
      </c>
      <c r="E967" s="5" t="str">
        <f t="shared" ca="1" si="32"/>
        <v>Công ty TNHH Cơ khí chính xác và thiết bị Vinh Thịnh</v>
      </c>
      <c r="F967" t="str">
        <f>IFERROR(VLOOKUP(Table1[[#This Row],[Tên đối tượng]],'DANH MỤC ĐỐI TƯỢNG'!A:E,5,0),"")</f>
        <v>Thôn Lương Xá Nam,Xã Kim Liên, Huyện Kim Thành,Tỉnh Hải Dương, Việt Nam</v>
      </c>
      <c r="G967" t="str">
        <f>_xlfn.IFNA(VLOOKUP(Table1[[#This Row],[Tên đối tượng]],'DANH MỤC ĐỐI TƯỢNG'!A:F,6,0),"")</f>
        <v>0801325352</v>
      </c>
      <c r="H967" t="str">
        <f>_xlfn.IFNA(VLOOKUP(Table1[[#This Row],[Tên đối tượng]],'DANH MỤC ĐỐI TƯỢNG'!A:I,9,0),"")</f>
        <v>Ngân hàng TMCP Công Thương Việt Nam-KCN Hải Dương- PGD Kim Thành</v>
      </c>
      <c r="I967" t="str">
        <f>_xlfn.IFNA(VLOOKUP(Table1[[#This Row],[Tên đối tượng]],'DANH MỤC ĐỐI TƯỢNG'!A:J,10,0),"")</f>
        <v>111639915555</v>
      </c>
    </row>
    <row r="968" spans="1:9" x14ac:dyDescent="0.3">
      <c r="A968">
        <f t="shared" si="30"/>
        <v>965</v>
      </c>
      <c r="B968" t="s">
        <v>8796</v>
      </c>
      <c r="C968" t="s">
        <v>8795</v>
      </c>
      <c r="D968" t="str">
        <f t="shared" si="31"/>
        <v>965. V20230B</v>
      </c>
      <c r="E968" s="5" t="str">
        <f t="shared" ca="1" si="32"/>
        <v>Nextware, Ltd</v>
      </c>
      <c r="F968" t="str">
        <f>IFERROR(VLOOKUP(Table1[[#This Row],[Tên đối tượng]],'DANH MỤC ĐỐI TƯỢNG'!A:E,5,0),"")</f>
        <v>4-3-11 Kitakyuhojicho,Chuo-ku,Osaka 541-0057 Japan</v>
      </c>
      <c r="G968">
        <f>_xlfn.IFNA(VLOOKUP(Table1[[#This Row],[Tên đối tượng]],'DANH MỤC ĐỐI TƯỢNG'!A:F,6,0),"")</f>
        <v>0</v>
      </c>
      <c r="H968" t="str">
        <f>_xlfn.IFNA(VLOOKUP(Table1[[#This Row],[Tên đối tượng]],'DANH MỤC ĐỐI TƯỢNG'!A:I,9,0),"")</f>
        <v>MUFG BANK, LTD-UMEDA-CHUO</v>
      </c>
      <c r="I968" t="str">
        <f>_xlfn.IFNA(VLOOKUP(Table1[[#This Row],[Tên đối tượng]],'DANH MỤC ĐỐI TƯỢNG'!A:J,10,0),"")</f>
        <v>5301203106</v>
      </c>
    </row>
    <row r="969" spans="1:9" x14ac:dyDescent="0.3">
      <c r="A969">
        <f t="shared" si="30"/>
        <v>966</v>
      </c>
      <c r="B969" t="s">
        <v>8828</v>
      </c>
      <c r="C969" t="s">
        <v>8829</v>
      </c>
      <c r="D969" t="str">
        <f t="shared" si="31"/>
        <v>966. V20231C</v>
      </c>
      <c r="E969" s="5" t="str">
        <f t="shared" ca="1" si="32"/>
        <v>PATTANA INTERNATIONAL LIMITED</v>
      </c>
      <c r="F969" t="str">
        <f>IFERROR(VLOOKUP(Table1[[#This Row],[Tên đối tượng]],'DANH MỤC ĐỐI TƯỢNG'!A:E,5,0),"")</f>
        <v>99/1 Moo 11,Nongbua,Bankhai,Rayong 21120, Thailand</v>
      </c>
      <c r="G969">
        <f>_xlfn.IFNA(VLOOKUP(Table1[[#This Row],[Tên đối tượng]],'DANH MỤC ĐỐI TƯỢNG'!A:F,6,0),"")</f>
        <v>0</v>
      </c>
      <c r="H969" t="str">
        <f>_xlfn.IFNA(VLOOKUP(Table1[[#This Row],[Tên đối tượng]],'DANH MỤC ĐỐI TƯỢNG'!A:I,9,0),"")</f>
        <v>The Siam Commercial Bank Public Company Limited - The Mall Bangkapi Branch</v>
      </c>
      <c r="I969" t="str">
        <f>_xlfn.IFNA(VLOOKUP(Table1[[#This Row],[Tên đối tượng]],'DANH MỤC ĐỐI TƯỢNG'!A:J,10,0),"")</f>
        <v>401-004805-1-840</v>
      </c>
    </row>
    <row r="970" spans="1:9" x14ac:dyDescent="0.3">
      <c r="A970">
        <f t="shared" si="30"/>
        <v>967</v>
      </c>
      <c r="B970" t="s">
        <v>8830</v>
      </c>
      <c r="C970" t="s">
        <v>8831</v>
      </c>
      <c r="D970" t="str">
        <f t="shared" si="31"/>
        <v>967. V10725C</v>
      </c>
      <c r="E970" s="5" t="str">
        <f t="shared" ca="1" si="32"/>
        <v>Công ty TNHH Global Toserco</v>
      </c>
      <c r="F970" t="str">
        <f>IFERROR(VLOOKUP(Table1[[#This Row],[Tên đối tượng]],'DANH MỤC ĐỐI TƯỢNG'!A:E,5,0),"")</f>
        <v>Số 40, Phố Cát Linh, Phường Cát Linh,Quận Đống Đa, Thành phố Hà Nội, Việt Nam</v>
      </c>
      <c r="G970" t="str">
        <f>_xlfn.IFNA(VLOOKUP(Table1[[#This Row],[Tên đối tượng]],'DANH MỤC ĐỐI TƯỢNG'!A:F,6,0),"")</f>
        <v>0100112451</v>
      </c>
      <c r="H970" t="str">
        <f>_xlfn.IFNA(VLOOKUP(Table1[[#This Row],[Tên đối tượng]],'DANH MỤC ĐỐI TƯỢNG'!A:I,9,0),"")</f>
        <v>INDOVINABANK-Hanoi Branch</v>
      </c>
      <c r="I970" t="str">
        <f>_xlfn.IFNA(VLOOKUP(Table1[[#This Row],[Tên đối tượng]],'DANH MỤC ĐỐI TƯỢNG'!A:J,10,0),"")</f>
        <v>2003 165-002</v>
      </c>
    </row>
    <row r="971" spans="1:9" x14ac:dyDescent="0.3">
      <c r="A971">
        <f t="shared" si="30"/>
        <v>968</v>
      </c>
      <c r="B971" t="s">
        <v>8845</v>
      </c>
      <c r="C971" t="s">
        <v>6516</v>
      </c>
      <c r="D971" t="str">
        <f t="shared" si="31"/>
        <v>968. V10719</v>
      </c>
      <c r="E971" s="5" t="str">
        <f t="shared" ca="1" si="32"/>
        <v>Công ty TNHH cơ khí công nghiệp phụ trợ Việt Nam</v>
      </c>
      <c r="F971" t="str">
        <f>IFERROR(VLOOKUP(Table1[[#This Row],[Tên đối tượng]],'DANH MỤC ĐỐI TƯỢNG'!A:E,5,0),"")</f>
        <v>Số 463, khu TĐC Đằng Lâm I, Phường Thành Tô, Quận Hải An, Thành phố Hải Phòng, Việt Nam</v>
      </c>
      <c r="G971" t="str">
        <f>_xlfn.IFNA(VLOOKUP(Table1[[#This Row],[Tên đối tượng]],'DANH MỤC ĐỐI TƯỢNG'!A:F,6,0),"")</f>
        <v>0201905915</v>
      </c>
      <c r="H971" t="str">
        <f>_xlfn.IFNA(VLOOKUP(Table1[[#This Row],[Tên đối tượng]],'DANH MỤC ĐỐI TƯỢNG'!A:I,9,0),"")</f>
        <v>Ngân hàng TMCP Công thương Việt Nam (Vietinbank)-Chi nhánh Ngô Quyền</v>
      </c>
      <c r="I971" t="str">
        <f>_xlfn.IFNA(VLOOKUP(Table1[[#This Row],[Tên đối tượng]],'DANH MỤC ĐỐI TƯỢNG'!A:J,10,0),"")</f>
        <v>115002672787</v>
      </c>
    </row>
    <row r="972" spans="1:9" x14ac:dyDescent="0.3">
      <c r="A972">
        <f t="shared" si="30"/>
        <v>969</v>
      </c>
      <c r="B972" t="s">
        <v>8848</v>
      </c>
      <c r="C972" t="s">
        <v>8847</v>
      </c>
      <c r="D972" t="str">
        <f t="shared" si="31"/>
        <v>969. V10726</v>
      </c>
      <c r="E972" s="5" t="str">
        <f t="shared" ca="1" si="32"/>
        <v>Công ty cổ phần Fiingroup Việt Nam</v>
      </c>
      <c r="F972" t="str">
        <f>IFERROR(VLOOKUP(Table1[[#This Row],[Tên đối tượng]],'DANH MỤC ĐỐI TƯỢNG'!A:E,5,0),"")</f>
        <v>Tầng 10, Peakview Tower, Số 36 Hoàng Cầu, Phường Ô Chợ Dừa,Quận Đống Đa, Hà Nội,</v>
      </c>
      <c r="G972" t="str">
        <f>_xlfn.IFNA(VLOOKUP(Table1[[#This Row],[Tên đối tượng]],'DANH MỤC ĐỐI TƯỢNG'!A:F,6,0),"")</f>
        <v>0109897370</v>
      </c>
      <c r="H972" t="str">
        <f>_xlfn.IFNA(VLOOKUP(Table1[[#This Row],[Tên đối tượng]],'DANH MỤC ĐỐI TƯỢNG'!A:I,9,0),"")</f>
        <v>Techcombank-Ba Đình, Hà Nội, Việt Nam</v>
      </c>
      <c r="I972" t="str">
        <f>_xlfn.IFNA(VLOOKUP(Table1[[#This Row],[Tên đối tượng]],'DANH MỤC ĐỐI TƯỢNG'!A:J,10,0),"")</f>
        <v>19038817322016</v>
      </c>
    </row>
    <row r="973" spans="1:9" x14ac:dyDescent="0.3">
      <c r="A973">
        <f t="shared" si="30"/>
        <v>970</v>
      </c>
      <c r="B973" t="s">
        <v>8849</v>
      </c>
      <c r="C973" t="s">
        <v>8850</v>
      </c>
      <c r="D973" t="str">
        <f t="shared" si="31"/>
        <v>970. V20232A</v>
      </c>
      <c r="E973" s="5" t="str">
        <f t="shared" ca="1" si="32"/>
        <v>LCY Huizhou Advanced Rubber Corp.</v>
      </c>
      <c r="F973" t="str">
        <f>IFERROR(VLOOKUP(Table1[[#This Row],[Tên đối tượng]],'DANH MỤC ĐỐI TƯỢNG'!A:E,5,0),"")</f>
        <v>No.1 Power Plant Road, Petrochemical Industry District,Daya Bay Economic and Technological Development Zone,Guangdong, P.R.C</v>
      </c>
      <c r="G973">
        <f>_xlfn.IFNA(VLOOKUP(Table1[[#This Row],[Tên đối tượng]],'DANH MỤC ĐỐI TƯỢNG'!A:F,6,0),"")</f>
        <v>0</v>
      </c>
      <c r="H973" t="str">
        <f>_xlfn.IFNA(VLOOKUP(Table1[[#This Row],[Tên đối tượng]],'DANH MỤC ĐỐI TƯỢNG'!A:I,9,0),"")</f>
        <v>Industrial and Commercial Bank of China-Binhai sub-branch Huizhou City</v>
      </c>
      <c r="I973" t="str">
        <f>_xlfn.IFNA(VLOOKUP(Table1[[#This Row],[Tên đối tượng]],'DANH MỤC ĐỐI TƯỢNG'!A:J,10,0),"")</f>
        <v>2008 0227 1914 0002 995</v>
      </c>
    </row>
    <row r="974" spans="1:9" x14ac:dyDescent="0.3">
      <c r="A974">
        <f t="shared" si="30"/>
        <v>971</v>
      </c>
      <c r="B974" t="s">
        <v>8851</v>
      </c>
      <c r="C974" t="s">
        <v>8852</v>
      </c>
      <c r="D974" t="str">
        <f t="shared" si="31"/>
        <v>971. V20233</v>
      </c>
      <c r="E974" s="5" t="str">
        <f t="shared" ca="1" si="32"/>
        <v>Field Test Asia Pte. Ltd.</v>
      </c>
      <c r="F974" t="str">
        <f>IFERROR(VLOOKUP(Table1[[#This Row],[Tên đối tượng]],'DANH MỤC ĐỐI TƯỢNG'!A:E,5,0),"")</f>
        <v>2 Sinaran Drive, #15-06, Singapore 307467, Singapore</v>
      </c>
      <c r="G974">
        <f>_xlfn.IFNA(VLOOKUP(Table1[[#This Row],[Tên đối tượng]],'DANH MỤC ĐỐI TƯỢNG'!A:F,6,0),"")</f>
        <v>0</v>
      </c>
      <c r="H974" t="str">
        <f>_xlfn.IFNA(VLOOKUP(Table1[[#This Row],[Tên đối tượng]],'DANH MỤC ĐỐI TƯỢNG'!A:I,9,0),"")</f>
        <v>DBS BANK LTD-Toa Payoh</v>
      </c>
      <c r="I974" t="str">
        <f>_xlfn.IFNA(VLOOKUP(Table1[[#This Row],[Tên đối tượng]],'DANH MỤC ĐỐI TƯỢNG'!A:J,10,0),"")</f>
        <v>0005-001430-01-3</v>
      </c>
    </row>
    <row r="975" spans="1:9" x14ac:dyDescent="0.3">
      <c r="A975">
        <f t="shared" si="30"/>
        <v>972</v>
      </c>
      <c r="B975" t="s">
        <v>8853</v>
      </c>
      <c r="C975" t="s">
        <v>8854</v>
      </c>
      <c r="D975" t="str">
        <f t="shared" si="31"/>
        <v>972. V20234</v>
      </c>
      <c r="E975" s="5" t="str">
        <f t="shared" ca="1" si="32"/>
        <v>Skill Dynamics Limited</v>
      </c>
      <c r="F975" t="str">
        <f>IFERROR(VLOOKUP(Table1[[#This Row],[Tên đối tượng]],'DANH MỤC ĐỐI TƯỢNG'!A:E,5,0),"")</f>
        <v>Suite 1, 7th Floor, 50 Broadway, London, United Kingdom, SW1H 0BL</v>
      </c>
      <c r="G975">
        <f>_xlfn.IFNA(VLOOKUP(Table1[[#This Row],[Tên đối tượng]],'DANH MỤC ĐỐI TƯỢNG'!A:F,6,0),"")</f>
        <v>0</v>
      </c>
      <c r="H975" t="str">
        <f>_xlfn.IFNA(VLOOKUP(Table1[[#This Row],[Tên đối tượng]],'DANH MỤC ĐỐI TƯỢNG'!A:I,9,0),"")</f>
        <v>HSBC</v>
      </c>
      <c r="I975" t="str">
        <f>_xlfn.IFNA(VLOOKUP(Table1[[#This Row],[Tên đối tượng]],'DANH MỤC ĐỐI TƯỢNG'!A:J,10,0),"")</f>
        <v>GB59HBUK40127690286752</v>
      </c>
    </row>
    <row r="976" spans="1:9" x14ac:dyDescent="0.3">
      <c r="A976">
        <f t="shared" si="30"/>
        <v>973</v>
      </c>
      <c r="B976" t="s">
        <v>8872</v>
      </c>
      <c r="C976" t="s">
        <v>8873</v>
      </c>
      <c r="D976" t="str">
        <f t="shared" si="31"/>
        <v>973. V10423C</v>
      </c>
      <c r="E976" s="5" t="str">
        <f t="shared" ca="1" si="32"/>
        <v>Công ty cổ phần du lịch và tiếp thị giao thông vận tải Việt Nam- VIETRAVEL- CHI NHÁNH HẢI PHÒNG</v>
      </c>
      <c r="F976" t="str">
        <f>IFERROR(VLOOKUP(Table1[[#This Row],[Tên đối tượng]],'DANH MỤC ĐỐI TƯỢNG'!A:E,5,0),"")</f>
        <v>Số 4, phố Trần Hưng Đạo, Phường Hoàng Văn Thụ, Quận Hồng Bàng, Thành phố Hải Phòng, Việt Nam</v>
      </c>
      <c r="G976" t="str">
        <f>_xlfn.IFNA(VLOOKUP(Table1[[#This Row],[Tên đối tượng]],'DANH MỤC ĐỐI TƯỢNG'!A:F,6,0),"")</f>
        <v>0300465937-010</v>
      </c>
      <c r="H976" t="str">
        <f>_xlfn.IFNA(VLOOKUP(Table1[[#This Row],[Tên đối tượng]],'DANH MỤC ĐỐI TƯỢNG'!A:I,9,0),"")</f>
        <v>Ngân hàng thương mại cổ phần Công thương Việt Nam (Vietin Bank)-Chi nhánh Hải Phòng</v>
      </c>
      <c r="I976" t="str">
        <f>_xlfn.IFNA(VLOOKUP(Table1[[#This Row],[Tên đối tượng]],'DANH MỤC ĐỐI TƯỢNG'!A:J,10,0),"")</f>
        <v>1120 5610 8888</v>
      </c>
    </row>
    <row r="977" spans="1:9" x14ac:dyDescent="0.3">
      <c r="A977">
        <f t="shared" si="30"/>
        <v>974</v>
      </c>
      <c r="B977" t="s">
        <v>8874</v>
      </c>
      <c r="C977" t="s">
        <v>8875</v>
      </c>
      <c r="D977" t="str">
        <f t="shared" si="31"/>
        <v>974. V20235C</v>
      </c>
      <c r="E977" s="5" t="str">
        <f t="shared" ca="1" si="32"/>
        <v>SofiStage Inc.</v>
      </c>
      <c r="F977" t="str">
        <f>IFERROR(VLOOKUP(Table1[[#This Row],[Tên đối tượng]],'DANH MỤC ĐỐI TƯỢNG'!A:E,5,0),"")</f>
        <v>Pria Shibuya 9F 3-6-4 Shibuya,Shibuya-ku,Tokyo 1500002 Japan</v>
      </c>
      <c r="G977">
        <f>_xlfn.IFNA(VLOOKUP(Table1[[#This Row],[Tên đối tượng]],'DANH MỤC ĐỐI TƯỢNG'!A:F,6,0),"")</f>
        <v>0</v>
      </c>
      <c r="H977" t="str">
        <f>_xlfn.IFNA(VLOOKUP(Table1[[#This Row],[Tên đối tượng]],'DANH MỤC ĐỐI TƯỢNG'!A:I,9,0),"")</f>
        <v>Sumitomo Mitsui Banking Corporation-Shibuya-ekimae branch</v>
      </c>
      <c r="I977" t="str">
        <f>_xlfn.IFNA(VLOOKUP(Table1[[#This Row],[Tên đối tượng]],'DANH MỤC ĐỐI TƯỢNG'!A:J,10,0),"")</f>
        <v>5186165</v>
      </c>
    </row>
    <row r="978" spans="1:9" x14ac:dyDescent="0.3">
      <c r="A978">
        <f t="shared" si="30"/>
        <v>975</v>
      </c>
      <c r="B978" t="s">
        <v>8876</v>
      </c>
      <c r="C978" t="s">
        <v>8877</v>
      </c>
      <c r="D978" t="str">
        <f t="shared" si="31"/>
        <v>975. V10727C</v>
      </c>
      <c r="E978" s="5" t="str">
        <f t="shared" ca="1" si="32"/>
        <v>Công ty TNHH công nghệ Hồng Dương</v>
      </c>
      <c r="F978" t="str">
        <f>IFERROR(VLOOKUP(Table1[[#This Row],[Tên đối tượng]],'DANH MỤC ĐỐI TƯỢNG'!A:E,5,0),"")</f>
        <v>Số nhà 100 đường Ngự Câu 2,thôn Ngự Câu, xã An Thượng,huyện Hoài Đức, thành phố Hà Nội, Việt Nam</v>
      </c>
      <c r="G978" t="str">
        <f>_xlfn.IFNA(VLOOKUP(Table1[[#This Row],[Tên đối tượng]],'DANH MỤC ĐỐI TƯỢNG'!A:F,6,0),"")</f>
        <v>0110512875</v>
      </c>
      <c r="H978" t="str">
        <f>_xlfn.IFNA(VLOOKUP(Table1[[#This Row],[Tên đối tượng]],'DANH MỤC ĐỐI TƯỢNG'!A:I,9,0),"")</f>
        <v>Ngân hàng thương mại cổ phần Á Châu-Chi nhánh Hà Thành</v>
      </c>
      <c r="I978" t="str">
        <f>_xlfn.IFNA(VLOOKUP(Table1[[#This Row],[Tên đối tượng]],'DANH MỤC ĐỐI TƯỢNG'!A:J,10,0),"")</f>
        <v>1810668668</v>
      </c>
    </row>
    <row r="979" spans="1:9" x14ac:dyDescent="0.3">
      <c r="A979">
        <f t="shared" si="30"/>
        <v>976</v>
      </c>
      <c r="B979" t="s">
        <v>8891</v>
      </c>
      <c r="C979" t="s">
        <v>8892</v>
      </c>
      <c r="D979" t="str">
        <f t="shared" si="31"/>
        <v>976. V10728C</v>
      </c>
      <c r="E979" s="5" t="str">
        <f t="shared" ca="1" si="32"/>
        <v>Công ty TNHH Vinesh Việt Nam</v>
      </c>
      <c r="F979" t="str">
        <f>IFERROR(VLOOKUP(Table1[[#This Row],[Tên đối tượng]],'DANH MỤC ĐỐI TƯỢNG'!A:E,5,0),"")</f>
        <v>Số 50, ngõ 5, tổ 2,phường Phú Lương,quận Hà Đông,Thành phố Hà Nội, Việt Nam</v>
      </c>
      <c r="G979" t="str">
        <f>_xlfn.IFNA(VLOOKUP(Table1[[#This Row],[Tên đối tượng]],'DANH MỤC ĐỐI TƯỢNG'!A:F,6,0),"")</f>
        <v>0107884094</v>
      </c>
      <c r="H979" t="str">
        <f>_xlfn.IFNA(VLOOKUP(Table1[[#This Row],[Tên đối tượng]],'DANH MỤC ĐỐI TƯỢNG'!A:I,9,0),"")</f>
        <v>Ngân hàng TMCP Quân Đội-Chi nhánh Thăng Long-PGD Tân Mai</v>
      </c>
      <c r="I979" t="str">
        <f>_xlfn.IFNA(VLOOKUP(Table1[[#This Row],[Tên đối tượng]],'DANH MỤC ĐỐI TƯỢNG'!A:J,10,0),"")</f>
        <v>2238883999</v>
      </c>
    </row>
    <row r="980" spans="1:9" x14ac:dyDescent="0.3">
      <c r="A980">
        <f t="shared" si="30"/>
        <v>977</v>
      </c>
      <c r="B980" t="s">
        <v>8897</v>
      </c>
      <c r="C980" t="s">
        <v>8898</v>
      </c>
      <c r="D980" t="str">
        <f t="shared" si="31"/>
        <v>977. V10729C</v>
      </c>
      <c r="E980" s="5" t="str">
        <f t="shared" ca="1" si="32"/>
        <v>Trung tâm Dịch vụ việc làm- Đào tạo- Xúc tiến đầu tư</v>
      </c>
      <c r="F980" t="str">
        <f>IFERROR(VLOOKUP(Table1[[#This Row],[Tên đối tượng]],'DANH MỤC ĐỐI TƯỢNG'!A:E,5,0),"")</f>
        <v>Số 1 đường Bạch Đằng,thị trấn Núi Đèo,huyện Thủy Nguyên,thành phố Hải Phòng</v>
      </c>
      <c r="G980" t="str">
        <f>_xlfn.IFNA(VLOOKUP(Table1[[#This Row],[Tên đối tượng]],'DANH MỤC ĐỐI TƯỢNG'!A:F,6,0),"")</f>
        <v>0200355803-001</v>
      </c>
      <c r="H980" t="str">
        <f>_xlfn.IFNA(VLOOKUP(Table1[[#This Row],[Tên đối tượng]],'DANH MỤC ĐỐI TƯỢNG'!A:I,9,0),"")</f>
        <v>Ngân hàng TMCP Công thương Việt Nam-Chi Nhánh Lê Chân</v>
      </c>
      <c r="I980" t="str">
        <f>_xlfn.IFNA(VLOOKUP(Table1[[#This Row],[Tên đối tượng]],'DANH MỤC ĐỐI TƯỢNG'!A:J,10,0),"")</f>
        <v>115600139668</v>
      </c>
    </row>
    <row r="981" spans="1:9" x14ac:dyDescent="0.3">
      <c r="A981">
        <f t="shared" si="30"/>
        <v>978</v>
      </c>
      <c r="B981" t="s">
        <v>8907</v>
      </c>
      <c r="C981" t="s">
        <v>8908</v>
      </c>
      <c r="D981" t="str">
        <f t="shared" si="31"/>
        <v>978. V10730C</v>
      </c>
      <c r="E981" s="5" t="str">
        <f t="shared" ca="1" si="32"/>
        <v>Công ty cổ phần kho vận và dịch vụ thương mại Hà Nội</v>
      </c>
      <c r="F981" t="str">
        <f>IFERROR(VLOOKUP(Table1[[#This Row],[Tên đối tượng]],'DANH MỤC ĐỐI TƯỢNG'!A:E,5,0),"")</f>
        <v>Số 473 Minh Khai,Phường Vĩnh Tuy,Quận Hai Bà Trưng,Thành phố Hà Nội, Việt Nam</v>
      </c>
      <c r="G981">
        <f>_xlfn.IFNA(VLOOKUP(Table1[[#This Row],[Tên đối tượng]],'DANH MỤC ĐỐI TƯỢNG'!A:F,6,0),"")</f>
        <v>0</v>
      </c>
      <c r="H981" t="str">
        <f>_xlfn.IFNA(VLOOKUP(Table1[[#This Row],[Tên đối tượng]],'DANH MỤC ĐỐI TƯỢNG'!A:I,9,0),"")</f>
        <v>Agribank-Ha Noi branch</v>
      </c>
      <c r="I981" t="str">
        <f>_xlfn.IFNA(VLOOKUP(Table1[[#This Row],[Tên đối tượng]],'DANH MỤC ĐỐI TƯỢNG'!A:J,10,0),"")</f>
        <v>1500311001939</v>
      </c>
    </row>
    <row r="982" spans="1:9" x14ac:dyDescent="0.3">
      <c r="A982">
        <f t="shared" si="30"/>
        <v>979</v>
      </c>
      <c r="B982" t="s">
        <v>8909</v>
      </c>
      <c r="C982" t="s">
        <v>8910</v>
      </c>
      <c r="D982" t="str">
        <f t="shared" si="31"/>
        <v>979. V10731C</v>
      </c>
      <c r="E982" s="5" t="str">
        <f t="shared" ca="1" si="32"/>
        <v>Công ty TNHH giải pháp năng lượng Kansai (Việt Nam)</v>
      </c>
      <c r="F982" t="str">
        <f>IFERROR(VLOOKUP(Table1[[#This Row],[Tên đối tượng]],'DANH MỤC ĐỐI TƯỢNG'!A:E,5,0),"")</f>
        <v>Phòng 020, Tầng 4, Tòa nhà Centec, Số 72-74, Nguyễn Thi Minh Khai,Phường Võ Thị Sáu, Quận 3,Thành phố Hồ Chí Minh, Việt Nam</v>
      </c>
      <c r="G982">
        <f>_xlfn.IFNA(VLOOKUP(Table1[[#This Row],[Tên đối tượng]],'DANH MỤC ĐỐI TƯỢNG'!A:F,6,0),"")</f>
        <v>0</v>
      </c>
      <c r="H982" t="str">
        <f>_xlfn.IFNA(VLOOKUP(Table1[[#This Row],[Tên đối tượng]],'DANH MỤC ĐỐI TƯỢNG'!A:I,9,0),"")</f>
        <v>The Bank of Tokyo-Mitsubishi UFJ Ltd-Ho Chi Minh City Branch</v>
      </c>
      <c r="I982" t="str">
        <f>_xlfn.IFNA(VLOOKUP(Table1[[#This Row],[Tên đối tượng]],'DANH MỤC ĐỐI TƯỢNG'!A:J,10,0),"")</f>
        <v>046310</v>
      </c>
    </row>
    <row r="983" spans="1:9" x14ac:dyDescent="0.3">
      <c r="A983">
        <f t="shared" si="30"/>
        <v>980</v>
      </c>
      <c r="B983" t="s">
        <v>8911</v>
      </c>
      <c r="C983" t="s">
        <v>8912</v>
      </c>
      <c r="D983" t="str">
        <f t="shared" si="31"/>
        <v>980. V10732C</v>
      </c>
      <c r="E983" s="5" t="str">
        <f t="shared" ca="1" si="32"/>
        <v>Công Ty Cổ Phần Dịch Vụ Đầu Tư và Du Lịch Bàn Chân Việt</v>
      </c>
      <c r="F983" t="str">
        <f>IFERROR(VLOOKUP(Table1[[#This Row],[Tên đối tượng]],'DANH MỤC ĐỐI TƯỢNG'!A:E,5,0),"")</f>
        <v>Số nhà 16B, ngõ 668 đường Lạc Long Quân,Phường Nhật Tân,Quận Tây Hồ,Thành phố Hà Nội, Việt Nam</v>
      </c>
      <c r="G983">
        <f>_xlfn.IFNA(VLOOKUP(Table1[[#This Row],[Tên đối tượng]],'DANH MỤC ĐỐI TƯỢNG'!A:F,6,0),"")</f>
        <v>0</v>
      </c>
      <c r="H983" t="str">
        <f>_xlfn.IFNA(VLOOKUP(Table1[[#This Row],[Tên đối tượng]],'DANH MỤC ĐỐI TƯỢNG'!A:I,9,0),"")</f>
        <v>Ngân hàng TMCP Kỹ thương Việt Nam (Techcombank)-Ba Đình</v>
      </c>
      <c r="I983" t="str">
        <f>_xlfn.IFNA(VLOOKUP(Table1[[#This Row],[Tên đối tượng]],'DANH MỤC ĐỐI TƯỢNG'!A:J,10,0),"")</f>
        <v>10321445444013</v>
      </c>
    </row>
    <row r="984" spans="1:9" x14ac:dyDescent="0.3">
      <c r="A984">
        <f t="shared" si="30"/>
        <v>981</v>
      </c>
      <c r="B984" t="s">
        <v>8913</v>
      </c>
      <c r="C984" t="s">
        <v>8914</v>
      </c>
      <c r="D984" t="str">
        <f t="shared" si="31"/>
        <v>981. V20236C</v>
      </c>
      <c r="E984" s="5" t="str">
        <f t="shared" ca="1" si="32"/>
        <v>NX Shoji Co., Ltd</v>
      </c>
      <c r="F984" t="str">
        <f>IFERROR(VLOOKUP(Table1[[#This Row],[Tên đối tượng]],'DANH MỤC ĐỐI TƯỢNG'!A:E,5,0),"")</f>
        <v>1-14-22 Kaigan,Minato-ku,Tokyo 105-8338 Japan</v>
      </c>
      <c r="G984">
        <f>_xlfn.IFNA(VLOOKUP(Table1[[#This Row],[Tên đối tượng]],'DANH MỤC ĐỐI TƯỢNG'!A:F,6,0),"")</f>
        <v>0</v>
      </c>
      <c r="H984" t="str">
        <f>_xlfn.IFNA(VLOOKUP(Table1[[#This Row],[Tên đối tượng]],'DANH MỤC ĐỐI TƯỢNG'!A:I,9,0),"")</f>
        <v>The Bank of Tokyo-Mitsubishi UFJ Ltd-HEAD OFFICE</v>
      </c>
      <c r="I984" t="str">
        <f>_xlfn.IFNA(VLOOKUP(Table1[[#This Row],[Tên đối tượng]],'DANH MỤC ĐỐI TƯỢNG'!A:J,10,0),"")</f>
        <v>9060017</v>
      </c>
    </row>
    <row r="985" spans="1:9" x14ac:dyDescent="0.3">
      <c r="A985">
        <f t="shared" si="30"/>
        <v>982</v>
      </c>
      <c r="B985" t="s">
        <v>8943</v>
      </c>
      <c r="C985" t="s">
        <v>8944</v>
      </c>
      <c r="D985" t="str">
        <f t="shared" si="31"/>
        <v>982. V10733C</v>
      </c>
      <c r="E985" s="5" t="str">
        <f t="shared" ca="1" si="32"/>
        <v>CÔNG TY TNHH ĐẦU TƯ THƯƠNG MẠI VÀ DỊCH VỤ PHÚC LONG</v>
      </c>
      <c r="F985" t="str">
        <f>IFERROR(VLOOKUP(Table1[[#This Row],[Tên đối tượng]],'DANH MỤC ĐỐI TƯỢNG'!A:E,5,0),"")</f>
        <v>Số nhà 16, ngõ 1194 Đường Láng,Phường Láng Thượng,Quận Đống Đa,Thành phố Hà Nội, Việt Nam</v>
      </c>
      <c r="G985" t="str">
        <f>_xlfn.IFNA(VLOOKUP(Table1[[#This Row],[Tên đối tượng]],'DANH MỤC ĐỐI TƯỢNG'!A:F,6,0),"")</f>
        <v>0109261440</v>
      </c>
      <c r="H985" t="str">
        <f>_xlfn.IFNA(VLOOKUP(Table1[[#This Row],[Tên đối tượng]],'DANH MỤC ĐỐI TƯỢNG'!A:I,9,0),"")</f>
        <v>Ngân hàng TMCP Kỹ Thương Việt Nam-Chi nhánh Từ Liêm Hà Nội</v>
      </c>
      <c r="I985" t="str">
        <f>_xlfn.IFNA(VLOOKUP(Table1[[#This Row],[Tên đối tượng]],'DANH MỤC ĐỐI TƯỢNG'!A:J,10,0),"")</f>
        <v>162088</v>
      </c>
    </row>
    <row r="986" spans="1:9" x14ac:dyDescent="0.3">
      <c r="A986">
        <f t="shared" si="30"/>
        <v>983</v>
      </c>
      <c r="B986" t="s">
        <v>8945</v>
      </c>
      <c r="C986" t="s">
        <v>8946</v>
      </c>
      <c r="D986" t="str">
        <f t="shared" si="31"/>
        <v>983. V10734C</v>
      </c>
      <c r="E986" s="5" t="str">
        <f t="shared" ca="1" si="32"/>
        <v>Công ty TNHH Công Nghệ Năng Lượng Alena</v>
      </c>
      <c r="F986" t="str">
        <f>IFERROR(VLOOKUP(Table1[[#This Row],[Tên đối tượng]],'DANH MỤC ĐỐI TƯỢNG'!A:E,5,0),"")</f>
        <v>2G Nguyễn Thành Ý,phường Đa Kao,quận 1,thành phố Hồ Chí Minh, Việt Nam</v>
      </c>
      <c r="G986" t="str">
        <f>_xlfn.IFNA(VLOOKUP(Table1[[#This Row],[Tên đối tượng]],'DANH MỤC ĐỐI TƯỢNG'!A:F,6,0),"")</f>
        <v>0313490024</v>
      </c>
      <c r="H986" t="str">
        <f>_xlfn.IFNA(VLOOKUP(Table1[[#This Row],[Tên đối tượng]],'DANH MỤC ĐỐI TƯỢNG'!A:I,9,0),"")</f>
        <v>Ngân hàng TMCP Á Châu-PGD Thị Nghè</v>
      </c>
      <c r="I986" t="str">
        <f>_xlfn.IFNA(VLOOKUP(Table1[[#This Row],[Tên đối tượng]],'DANH MỤC ĐỐI TƯỢNG'!A:J,10,0),"")</f>
        <v>1410158888</v>
      </c>
    </row>
    <row r="987" spans="1:9" x14ac:dyDescent="0.3">
      <c r="A987" t="str">
        <f t="shared" si="30"/>
        <v/>
      </c>
      <c r="D987" t="str">
        <f t="shared" si="31"/>
        <v xml:space="preserve">. </v>
      </c>
      <c r="E987" s="5" t="str">
        <f t="shared" si="32"/>
        <v/>
      </c>
      <c r="F987" t="str">
        <f>IFERROR(VLOOKUP(Table1[[#This Row],[Tên đối tượng]],'DANH MỤC ĐỐI TƯỢNG'!A:E,5,0),"")</f>
        <v/>
      </c>
      <c r="G987" t="str">
        <f>_xlfn.IFNA(VLOOKUP(Table1[[#This Row],[Tên đối tượng]],'DANH MỤC ĐỐI TƯỢNG'!A:F,6,0),"")</f>
        <v/>
      </c>
      <c r="H987" t="str">
        <f>_xlfn.IFNA(VLOOKUP(Table1[[#This Row],[Tên đối tượng]],'DANH MỤC ĐỐI TƯỢNG'!A:I,9,0),"")</f>
        <v/>
      </c>
      <c r="I987" t="str">
        <f>_xlfn.IFNA(VLOOKUP(Table1[[#This Row],[Tên đối tượng]],'DANH MỤC ĐỐI TƯỢNG'!A:J,10,0),"")</f>
        <v/>
      </c>
    </row>
    <row r="988" spans="1:9" x14ac:dyDescent="0.3">
      <c r="A988" t="str">
        <f t="shared" si="30"/>
        <v/>
      </c>
      <c r="D988" t="str">
        <f t="shared" si="31"/>
        <v xml:space="preserve">. </v>
      </c>
      <c r="E988" s="5" t="str">
        <f t="shared" si="32"/>
        <v/>
      </c>
      <c r="F988" t="str">
        <f>IFERROR(VLOOKUP(Table1[[#This Row],[Tên đối tượng]],'DANH MỤC ĐỐI TƯỢNG'!A:E,5,0),"")</f>
        <v/>
      </c>
      <c r="G988" t="str">
        <f>_xlfn.IFNA(VLOOKUP(Table1[[#This Row],[Tên đối tượng]],'DANH MỤC ĐỐI TƯỢNG'!A:F,6,0),"")</f>
        <v/>
      </c>
      <c r="H988" t="str">
        <f>_xlfn.IFNA(VLOOKUP(Table1[[#This Row],[Tên đối tượng]],'DANH MỤC ĐỐI TƯỢNG'!A:I,9,0),"")</f>
        <v/>
      </c>
      <c r="I988" t="str">
        <f>_xlfn.IFNA(VLOOKUP(Table1[[#This Row],[Tên đối tượng]],'DANH MỤC ĐỐI TƯỢNG'!A:J,10,0),"")</f>
        <v/>
      </c>
    </row>
    <row r="989" spans="1:9" x14ac:dyDescent="0.3">
      <c r="A989" t="str">
        <f t="shared" si="30"/>
        <v/>
      </c>
      <c r="D989" t="str">
        <f t="shared" si="31"/>
        <v xml:space="preserve">. </v>
      </c>
      <c r="E989" s="5" t="str">
        <f t="shared" si="32"/>
        <v/>
      </c>
      <c r="F989" t="str">
        <f>IFERROR(VLOOKUP(Table1[[#This Row],[Tên đối tượng]],'DANH MỤC ĐỐI TƯỢNG'!A:E,5,0),"")</f>
        <v/>
      </c>
      <c r="G989" t="str">
        <f>_xlfn.IFNA(VLOOKUP(Table1[[#This Row],[Tên đối tượng]],'DANH MỤC ĐỐI TƯỢNG'!A:F,6,0),"")</f>
        <v/>
      </c>
      <c r="H989" t="str">
        <f>_xlfn.IFNA(VLOOKUP(Table1[[#This Row],[Tên đối tượng]],'DANH MỤC ĐỐI TƯỢNG'!A:I,9,0),"")</f>
        <v/>
      </c>
      <c r="I989" t="str">
        <f>_xlfn.IFNA(VLOOKUP(Table1[[#This Row],[Tên đối tượng]],'DANH MỤC ĐỐI TƯỢNG'!A:J,10,0),"")</f>
        <v/>
      </c>
    </row>
    <row r="990" spans="1:9" x14ac:dyDescent="0.3">
      <c r="A990" t="str">
        <f t="shared" si="30"/>
        <v/>
      </c>
      <c r="D990" t="str">
        <f t="shared" si="31"/>
        <v xml:space="preserve">. </v>
      </c>
      <c r="E990" s="5" t="str">
        <f t="shared" si="32"/>
        <v/>
      </c>
      <c r="F990" t="str">
        <f>IFERROR(VLOOKUP(Table1[[#This Row],[Tên đối tượng]],'DANH MỤC ĐỐI TƯỢNG'!A:E,5,0),"")</f>
        <v/>
      </c>
      <c r="G990" t="str">
        <f>_xlfn.IFNA(VLOOKUP(Table1[[#This Row],[Tên đối tượng]],'DANH MỤC ĐỐI TƯỢNG'!A:F,6,0),"")</f>
        <v/>
      </c>
      <c r="H990" t="str">
        <f>_xlfn.IFNA(VLOOKUP(Table1[[#This Row],[Tên đối tượng]],'DANH MỤC ĐỐI TƯỢNG'!A:I,9,0),"")</f>
        <v/>
      </c>
      <c r="I990" t="str">
        <f>_xlfn.IFNA(VLOOKUP(Table1[[#This Row],[Tên đối tượng]],'DANH MỤC ĐỐI TƯỢNG'!A:J,10,0),"")</f>
        <v/>
      </c>
    </row>
    <row r="991" spans="1:9" x14ac:dyDescent="0.3">
      <c r="A991" t="str">
        <f t="shared" si="30"/>
        <v/>
      </c>
      <c r="D991" t="str">
        <f t="shared" si="31"/>
        <v xml:space="preserve">. </v>
      </c>
      <c r="E991" s="5" t="str">
        <f t="shared" si="32"/>
        <v/>
      </c>
      <c r="F991" t="str">
        <f>IFERROR(VLOOKUP(Table1[[#This Row],[Tên đối tượng]],'DANH MỤC ĐỐI TƯỢNG'!A:E,5,0),"")</f>
        <v/>
      </c>
      <c r="G991" t="str">
        <f>_xlfn.IFNA(VLOOKUP(Table1[[#This Row],[Tên đối tượng]],'DANH MỤC ĐỐI TƯỢNG'!A:F,6,0),"")</f>
        <v/>
      </c>
      <c r="H991" t="str">
        <f>_xlfn.IFNA(VLOOKUP(Table1[[#This Row],[Tên đối tượng]],'DANH MỤC ĐỐI TƯỢNG'!A:I,9,0),"")</f>
        <v/>
      </c>
      <c r="I991" t="str">
        <f>_xlfn.IFNA(VLOOKUP(Table1[[#This Row],[Tên đối tượng]],'DANH MỤC ĐỐI TƯỢNG'!A:J,10,0),"")</f>
        <v/>
      </c>
    </row>
    <row r="992" spans="1:9" x14ac:dyDescent="0.3">
      <c r="A992" t="str">
        <f t="shared" si="30"/>
        <v/>
      </c>
      <c r="D992" t="str">
        <f t="shared" si="31"/>
        <v xml:space="preserve">. </v>
      </c>
      <c r="E992" s="5" t="str">
        <f t="shared" si="32"/>
        <v/>
      </c>
      <c r="F992" t="str">
        <f>IFERROR(VLOOKUP(Table1[[#This Row],[Tên đối tượng]],'DANH MỤC ĐỐI TƯỢNG'!A:E,5,0),"")</f>
        <v/>
      </c>
      <c r="G992" t="str">
        <f>_xlfn.IFNA(VLOOKUP(Table1[[#This Row],[Tên đối tượng]],'DANH MỤC ĐỐI TƯỢNG'!A:F,6,0),"")</f>
        <v/>
      </c>
      <c r="H992" t="str">
        <f>_xlfn.IFNA(VLOOKUP(Table1[[#This Row],[Tên đối tượng]],'DANH MỤC ĐỐI TƯỢNG'!A:I,9,0),"")</f>
        <v/>
      </c>
      <c r="I992" t="str">
        <f>_xlfn.IFNA(VLOOKUP(Table1[[#This Row],[Tên đối tượng]],'DANH MỤC ĐỐI TƯỢNG'!A:J,10,0),"")</f>
        <v/>
      </c>
    </row>
    <row r="993" spans="1:9" x14ac:dyDescent="0.3">
      <c r="A993" t="str">
        <f t="shared" si="30"/>
        <v/>
      </c>
      <c r="D993" t="str">
        <f t="shared" si="31"/>
        <v xml:space="preserve">. </v>
      </c>
      <c r="E993" s="5" t="str">
        <f t="shared" si="32"/>
        <v/>
      </c>
      <c r="F993" t="str">
        <f>IFERROR(VLOOKUP(Table1[[#This Row],[Tên đối tượng]],'DANH MỤC ĐỐI TƯỢNG'!A:E,5,0),"")</f>
        <v/>
      </c>
      <c r="G993" t="str">
        <f>_xlfn.IFNA(VLOOKUP(Table1[[#This Row],[Tên đối tượng]],'DANH MỤC ĐỐI TƯỢNG'!A:F,6,0),"")</f>
        <v/>
      </c>
      <c r="H993" t="str">
        <f>_xlfn.IFNA(VLOOKUP(Table1[[#This Row],[Tên đối tượng]],'DANH MỤC ĐỐI TƯỢNG'!A:I,9,0),"")</f>
        <v/>
      </c>
      <c r="I993" t="str">
        <f>_xlfn.IFNA(VLOOKUP(Table1[[#This Row],[Tên đối tượng]],'DANH MỤC ĐỐI TƯỢNG'!A:J,10,0),"")</f>
        <v/>
      </c>
    </row>
    <row r="994" spans="1:9" x14ac:dyDescent="0.3">
      <c r="A994" t="str">
        <f t="shared" si="30"/>
        <v/>
      </c>
      <c r="D994" t="str">
        <f t="shared" si="31"/>
        <v xml:space="preserve">. </v>
      </c>
      <c r="E994" s="5" t="str">
        <f t="shared" si="32"/>
        <v/>
      </c>
      <c r="F994" t="str">
        <f>IFERROR(VLOOKUP(Table1[[#This Row],[Tên đối tượng]],'DANH MỤC ĐỐI TƯỢNG'!A:E,5,0),"")</f>
        <v/>
      </c>
      <c r="G994" t="str">
        <f>_xlfn.IFNA(VLOOKUP(Table1[[#This Row],[Tên đối tượng]],'DANH MỤC ĐỐI TƯỢNG'!A:F,6,0),"")</f>
        <v/>
      </c>
      <c r="H994" t="str">
        <f>_xlfn.IFNA(VLOOKUP(Table1[[#This Row],[Tên đối tượng]],'DANH MỤC ĐỐI TƯỢNG'!A:I,9,0),"")</f>
        <v/>
      </c>
      <c r="I994" t="str">
        <f>_xlfn.IFNA(VLOOKUP(Table1[[#This Row],[Tên đối tượng]],'DANH MỤC ĐỐI TƯỢNG'!A:J,10,0),"")</f>
        <v/>
      </c>
    </row>
    <row r="995" spans="1:9" x14ac:dyDescent="0.3">
      <c r="A995" t="str">
        <f t="shared" si="30"/>
        <v/>
      </c>
      <c r="D995" t="str">
        <f t="shared" si="31"/>
        <v xml:space="preserve">. </v>
      </c>
      <c r="E995" s="5" t="str">
        <f t="shared" si="32"/>
        <v/>
      </c>
      <c r="F995" t="str">
        <f>IFERROR(VLOOKUP(Table1[[#This Row],[Tên đối tượng]],'DANH MỤC ĐỐI TƯỢNG'!A:E,5,0),"")</f>
        <v/>
      </c>
      <c r="G995" t="str">
        <f>_xlfn.IFNA(VLOOKUP(Table1[[#This Row],[Tên đối tượng]],'DANH MỤC ĐỐI TƯỢNG'!A:F,6,0),"")</f>
        <v/>
      </c>
      <c r="H995" t="str">
        <f>_xlfn.IFNA(VLOOKUP(Table1[[#This Row],[Tên đối tượng]],'DANH MỤC ĐỐI TƯỢNG'!A:I,9,0),"")</f>
        <v/>
      </c>
      <c r="I995" t="str">
        <f>_xlfn.IFNA(VLOOKUP(Table1[[#This Row],[Tên đối tượng]],'DANH MỤC ĐỐI TƯỢNG'!A:J,10,0),"")</f>
        <v/>
      </c>
    </row>
    <row r="996" spans="1:9" x14ac:dyDescent="0.3">
      <c r="A996" t="str">
        <f t="shared" si="30"/>
        <v/>
      </c>
      <c r="D996" t="str">
        <f t="shared" si="31"/>
        <v xml:space="preserve">. </v>
      </c>
      <c r="E996" s="5" t="str">
        <f t="shared" si="32"/>
        <v/>
      </c>
      <c r="F996" t="str">
        <f>IFERROR(VLOOKUP(Table1[[#This Row],[Tên đối tượng]],'DANH MỤC ĐỐI TƯỢNG'!A:E,5,0),"")</f>
        <v/>
      </c>
      <c r="G996" t="str">
        <f>_xlfn.IFNA(VLOOKUP(Table1[[#This Row],[Tên đối tượng]],'DANH MỤC ĐỐI TƯỢNG'!A:F,6,0),"")</f>
        <v/>
      </c>
      <c r="H996" t="str">
        <f>_xlfn.IFNA(VLOOKUP(Table1[[#This Row],[Tên đối tượng]],'DANH MỤC ĐỐI TƯỢNG'!A:I,9,0),"")</f>
        <v/>
      </c>
      <c r="I996" t="str">
        <f>_xlfn.IFNA(VLOOKUP(Table1[[#This Row],[Tên đối tượng]],'DANH MỤC ĐỐI TƯỢNG'!A:J,10,0),"")</f>
        <v/>
      </c>
    </row>
    <row r="997" spans="1:9" x14ac:dyDescent="0.3">
      <c r="A997" t="str">
        <f t="shared" si="30"/>
        <v/>
      </c>
      <c r="D997" t="str">
        <f t="shared" si="31"/>
        <v xml:space="preserve">. </v>
      </c>
      <c r="E997" s="5" t="str">
        <f t="shared" si="32"/>
        <v/>
      </c>
      <c r="F997" t="str">
        <f>IFERROR(VLOOKUP(Table1[[#This Row],[Tên đối tượng]],'DANH MỤC ĐỐI TƯỢNG'!A:E,5,0),"")</f>
        <v/>
      </c>
      <c r="G997" t="str">
        <f>_xlfn.IFNA(VLOOKUP(Table1[[#This Row],[Tên đối tượng]],'DANH MỤC ĐỐI TƯỢNG'!A:F,6,0),"")</f>
        <v/>
      </c>
      <c r="H997" t="str">
        <f>_xlfn.IFNA(VLOOKUP(Table1[[#This Row],[Tên đối tượng]],'DANH MỤC ĐỐI TƯỢNG'!A:I,9,0),"")</f>
        <v/>
      </c>
      <c r="I997" t="str">
        <f>_xlfn.IFNA(VLOOKUP(Table1[[#This Row],[Tên đối tượng]],'DANH MỤC ĐỐI TƯỢNG'!A:J,10,0),"")</f>
        <v/>
      </c>
    </row>
    <row r="998" spans="1:9" x14ac:dyDescent="0.3">
      <c r="A998" t="str">
        <f t="shared" si="30"/>
        <v/>
      </c>
      <c r="D998" t="str">
        <f t="shared" si="31"/>
        <v xml:space="preserve">. </v>
      </c>
      <c r="E998" s="5" t="str">
        <f t="shared" si="32"/>
        <v/>
      </c>
      <c r="F998" t="str">
        <f>IFERROR(VLOOKUP(Table1[[#This Row],[Tên đối tượng]],'DANH MỤC ĐỐI TƯỢNG'!A:E,5,0),"")</f>
        <v/>
      </c>
      <c r="G998" t="str">
        <f>_xlfn.IFNA(VLOOKUP(Table1[[#This Row],[Tên đối tượng]],'DANH MỤC ĐỐI TƯỢNG'!A:F,6,0),"")</f>
        <v/>
      </c>
      <c r="H998" t="str">
        <f>_xlfn.IFNA(VLOOKUP(Table1[[#This Row],[Tên đối tượng]],'DANH MỤC ĐỐI TƯỢNG'!A:I,9,0),"")</f>
        <v/>
      </c>
      <c r="I998" t="str">
        <f>_xlfn.IFNA(VLOOKUP(Table1[[#This Row],[Tên đối tượng]],'DANH MỤC ĐỐI TƯỢNG'!A:J,10,0),"")</f>
        <v/>
      </c>
    </row>
    <row r="999" spans="1:9" x14ac:dyDescent="0.3">
      <c r="A999" t="str">
        <f t="shared" si="30"/>
        <v/>
      </c>
      <c r="D999" t="str">
        <f t="shared" si="31"/>
        <v xml:space="preserve">. </v>
      </c>
      <c r="E999" s="5" t="str">
        <f t="shared" si="32"/>
        <v/>
      </c>
      <c r="F999" t="str">
        <f>IFERROR(VLOOKUP(Table1[[#This Row],[Tên đối tượng]],'DANH MỤC ĐỐI TƯỢNG'!A:E,5,0),"")</f>
        <v/>
      </c>
      <c r="G999" t="str">
        <f>_xlfn.IFNA(VLOOKUP(Table1[[#This Row],[Tên đối tượng]],'DANH MỤC ĐỐI TƯỢNG'!A:F,6,0),"")</f>
        <v/>
      </c>
      <c r="H999" t="str">
        <f>_xlfn.IFNA(VLOOKUP(Table1[[#This Row],[Tên đối tượng]],'DANH MỤC ĐỐI TƯỢNG'!A:I,9,0),"")</f>
        <v/>
      </c>
      <c r="I999" t="str">
        <f>_xlfn.IFNA(VLOOKUP(Table1[[#This Row],[Tên đối tượng]],'DANH MỤC ĐỐI TƯỢNG'!A:J,10,0),"")</f>
        <v/>
      </c>
    </row>
    <row r="1000" spans="1:9" x14ac:dyDescent="0.3">
      <c r="A1000" t="str">
        <f t="shared" si="30"/>
        <v/>
      </c>
      <c r="D1000" t="str">
        <f t="shared" si="31"/>
        <v xml:space="preserve">. </v>
      </c>
      <c r="E1000" s="5" t="str">
        <f t="shared" si="32"/>
        <v/>
      </c>
      <c r="F1000" t="str">
        <f>IFERROR(VLOOKUP(Table1[[#This Row],[Tên đối tượng]],'DANH MỤC ĐỐI TƯỢNG'!A:E,5,0),"")</f>
        <v/>
      </c>
      <c r="G1000" t="str">
        <f>_xlfn.IFNA(VLOOKUP(Table1[[#This Row],[Tên đối tượng]],'DANH MỤC ĐỐI TƯỢNG'!A:F,6,0),"")</f>
        <v/>
      </c>
      <c r="H1000" t="str">
        <f>_xlfn.IFNA(VLOOKUP(Table1[[#This Row],[Tên đối tượng]],'DANH MỤC ĐỐI TƯỢNG'!A:I,9,0),"")</f>
        <v/>
      </c>
      <c r="I1000" t="str">
        <f>_xlfn.IFNA(VLOOKUP(Table1[[#This Row],[Tên đối tượng]],'DANH MỤC ĐỐI TƯỢNG'!A:J,10,0),"")</f>
        <v/>
      </c>
    </row>
    <row r="1001" spans="1:9" x14ac:dyDescent="0.3">
      <c r="A1001" t="str">
        <f t="shared" si="30"/>
        <v/>
      </c>
      <c r="D1001" t="str">
        <f t="shared" si="31"/>
        <v xml:space="preserve">. </v>
      </c>
      <c r="E1001" s="5" t="str">
        <f t="shared" si="32"/>
        <v/>
      </c>
      <c r="F1001" t="str">
        <f>IFERROR(VLOOKUP(Table1[[#This Row],[Tên đối tượng]],'DANH MỤC ĐỐI TƯỢNG'!A:E,5,0),"")</f>
        <v/>
      </c>
      <c r="G1001" t="str">
        <f>_xlfn.IFNA(VLOOKUP(Table1[[#This Row],[Tên đối tượng]],'DANH MỤC ĐỐI TƯỢNG'!A:F,6,0),"")</f>
        <v/>
      </c>
      <c r="H1001" t="str">
        <f>_xlfn.IFNA(VLOOKUP(Table1[[#This Row],[Tên đối tượng]],'DANH MỤC ĐỐI TƯỢNG'!A:I,9,0),"")</f>
        <v/>
      </c>
      <c r="I1001" t="str">
        <f>_xlfn.IFNA(VLOOKUP(Table1[[#This Row],[Tên đối tượng]],'DANH MỤC ĐỐI TƯỢNG'!A:J,10,0),"")</f>
        <v/>
      </c>
    </row>
    <row r="1002" spans="1:9" x14ac:dyDescent="0.3">
      <c r="A1002" t="str">
        <f t="shared" si="30"/>
        <v/>
      </c>
      <c r="D1002" t="str">
        <f t="shared" si="31"/>
        <v xml:space="preserve">. </v>
      </c>
      <c r="E1002" s="5" t="str">
        <f t="shared" si="32"/>
        <v/>
      </c>
      <c r="F1002" t="str">
        <f>IFERROR(VLOOKUP(Table1[[#This Row],[Tên đối tượng]],'DANH MỤC ĐỐI TƯỢNG'!A:E,5,0),"")</f>
        <v/>
      </c>
      <c r="G1002" t="str">
        <f>_xlfn.IFNA(VLOOKUP(Table1[[#This Row],[Tên đối tượng]],'DANH MỤC ĐỐI TƯỢNG'!A:F,6,0),"")</f>
        <v/>
      </c>
      <c r="H1002" t="str">
        <f>_xlfn.IFNA(VLOOKUP(Table1[[#This Row],[Tên đối tượng]],'DANH MỤC ĐỐI TƯỢNG'!A:I,9,0),"")</f>
        <v/>
      </c>
      <c r="I1002" t="str">
        <f>_xlfn.IFNA(VLOOKUP(Table1[[#This Row],[Tên đối tượng]],'DANH MỤC ĐỐI TƯỢNG'!A:J,10,0),"")</f>
        <v/>
      </c>
    </row>
    <row r="1003" spans="1:9" x14ac:dyDescent="0.3">
      <c r="A1003" t="str">
        <f t="shared" si="30"/>
        <v/>
      </c>
      <c r="D1003" t="str">
        <f t="shared" si="31"/>
        <v xml:space="preserve">. </v>
      </c>
      <c r="E1003" s="5" t="str">
        <f t="shared" si="32"/>
        <v/>
      </c>
      <c r="F1003" t="str">
        <f>IFERROR(VLOOKUP(Table1[[#This Row],[Tên đối tượng]],'DANH MỤC ĐỐI TƯỢNG'!A:E,5,0),"")</f>
        <v/>
      </c>
      <c r="G1003" t="str">
        <f>_xlfn.IFNA(VLOOKUP(Table1[[#This Row],[Tên đối tượng]],'DANH MỤC ĐỐI TƯỢNG'!A:F,6,0),"")</f>
        <v/>
      </c>
      <c r="H1003" t="str">
        <f>_xlfn.IFNA(VLOOKUP(Table1[[#This Row],[Tên đối tượng]],'DANH MỤC ĐỐI TƯỢNG'!A:I,9,0),"")</f>
        <v/>
      </c>
      <c r="I1003" t="str">
        <f>_xlfn.IFNA(VLOOKUP(Table1[[#This Row],[Tên đối tượng]],'DANH MỤC ĐỐI TƯỢNG'!A:J,10,0),"")</f>
        <v/>
      </c>
    </row>
    <row r="1004" spans="1:9" x14ac:dyDescent="0.3">
      <c r="A1004" t="str">
        <f t="shared" si="30"/>
        <v/>
      </c>
      <c r="D1004" t="str">
        <f t="shared" si="31"/>
        <v xml:space="preserve">. </v>
      </c>
      <c r="E1004" s="5" t="str">
        <f t="shared" si="32"/>
        <v/>
      </c>
      <c r="F1004" t="str">
        <f>IFERROR(VLOOKUP(Table1[[#This Row],[Tên đối tượng]],'DANH MỤC ĐỐI TƯỢNG'!A:E,5,0),"")</f>
        <v/>
      </c>
      <c r="G1004" t="str">
        <f>_xlfn.IFNA(VLOOKUP(Table1[[#This Row],[Tên đối tượng]],'DANH MỤC ĐỐI TƯỢNG'!A:F,6,0),"")</f>
        <v/>
      </c>
      <c r="H1004" t="str">
        <f>_xlfn.IFNA(VLOOKUP(Table1[[#This Row],[Tên đối tượng]],'DANH MỤC ĐỐI TƯỢNG'!A:I,9,0),"")</f>
        <v/>
      </c>
      <c r="I1004" t="str">
        <f>_xlfn.IFNA(VLOOKUP(Table1[[#This Row],[Tên đối tượng]],'DANH MỤC ĐỐI TƯỢNG'!A:J,10,0),"")</f>
        <v/>
      </c>
    </row>
    <row r="1005" spans="1:9" x14ac:dyDescent="0.3">
      <c r="A1005" t="str">
        <f t="shared" si="30"/>
        <v/>
      </c>
      <c r="D1005" t="str">
        <f t="shared" si="31"/>
        <v xml:space="preserve">. </v>
      </c>
      <c r="E1005" s="5" t="str">
        <f t="shared" si="32"/>
        <v/>
      </c>
      <c r="F1005" t="str">
        <f>IFERROR(VLOOKUP(Table1[[#This Row],[Tên đối tượng]],'DANH MỤC ĐỐI TƯỢNG'!A:E,5,0),"")</f>
        <v/>
      </c>
      <c r="G1005" t="str">
        <f>_xlfn.IFNA(VLOOKUP(Table1[[#This Row],[Tên đối tượng]],'DANH MỤC ĐỐI TƯỢNG'!A:F,6,0),"")</f>
        <v/>
      </c>
      <c r="H1005" t="str">
        <f>_xlfn.IFNA(VLOOKUP(Table1[[#This Row],[Tên đối tượng]],'DANH MỤC ĐỐI TƯỢNG'!A:I,9,0),"")</f>
        <v/>
      </c>
      <c r="I1005" t="str">
        <f>_xlfn.IFNA(VLOOKUP(Table1[[#This Row],[Tên đối tượng]],'DANH MỤC ĐỐI TƯỢNG'!A:J,10,0),"")</f>
        <v/>
      </c>
    </row>
    <row r="1006" spans="1:9" x14ac:dyDescent="0.3">
      <c r="A1006" t="str">
        <f t="shared" si="30"/>
        <v/>
      </c>
      <c r="D1006" t="str">
        <f t="shared" si="31"/>
        <v xml:space="preserve">. </v>
      </c>
      <c r="E1006" s="5" t="str">
        <f t="shared" si="32"/>
        <v/>
      </c>
      <c r="F1006" t="str">
        <f>IFERROR(VLOOKUP(Table1[[#This Row],[Tên đối tượng]],'DANH MỤC ĐỐI TƯỢNG'!A:E,5,0),"")</f>
        <v/>
      </c>
      <c r="G1006" t="str">
        <f>_xlfn.IFNA(VLOOKUP(Table1[[#This Row],[Tên đối tượng]],'DANH MỤC ĐỐI TƯỢNG'!A:F,6,0),"")</f>
        <v/>
      </c>
      <c r="H1006" t="str">
        <f>_xlfn.IFNA(VLOOKUP(Table1[[#This Row],[Tên đối tượng]],'DANH MỤC ĐỐI TƯỢNG'!A:I,9,0),"")</f>
        <v/>
      </c>
      <c r="I1006" t="str">
        <f>_xlfn.IFNA(VLOOKUP(Table1[[#This Row],[Tên đối tượng]],'DANH MỤC ĐỐI TƯỢNG'!A:J,10,0),"")</f>
        <v/>
      </c>
    </row>
    <row r="1007" spans="1:9" x14ac:dyDescent="0.3">
      <c r="A1007" t="str">
        <f t="shared" si="30"/>
        <v/>
      </c>
      <c r="D1007" t="str">
        <f t="shared" si="31"/>
        <v xml:space="preserve">. </v>
      </c>
      <c r="E1007" s="5" t="str">
        <f t="shared" si="32"/>
        <v/>
      </c>
      <c r="F1007" t="str">
        <f>IFERROR(VLOOKUP(Table1[[#This Row],[Tên đối tượng]],'DANH MỤC ĐỐI TƯỢNG'!A:E,5,0),"")</f>
        <v/>
      </c>
      <c r="G1007" t="str">
        <f>_xlfn.IFNA(VLOOKUP(Table1[[#This Row],[Tên đối tượng]],'DANH MỤC ĐỐI TƯỢNG'!A:F,6,0),"")</f>
        <v/>
      </c>
      <c r="H1007" t="str">
        <f>_xlfn.IFNA(VLOOKUP(Table1[[#This Row],[Tên đối tượng]],'DANH MỤC ĐỐI TƯỢNG'!A:I,9,0),"")</f>
        <v/>
      </c>
      <c r="I1007" t="str">
        <f>_xlfn.IFNA(VLOOKUP(Table1[[#This Row],[Tên đối tượng]],'DANH MỤC ĐỐI TƯỢNG'!A:J,10,0),"")</f>
        <v/>
      </c>
    </row>
    <row r="1008" spans="1:9" x14ac:dyDescent="0.3">
      <c r="A1008" t="str">
        <f t="shared" si="30"/>
        <v/>
      </c>
      <c r="D1008" t="str">
        <f t="shared" si="31"/>
        <v xml:space="preserve">. </v>
      </c>
      <c r="E1008" s="5" t="str">
        <f t="shared" si="32"/>
        <v/>
      </c>
      <c r="F1008" t="str">
        <f>IFERROR(VLOOKUP(Table1[[#This Row],[Tên đối tượng]],'DANH MỤC ĐỐI TƯỢNG'!A:E,5,0),"")</f>
        <v/>
      </c>
      <c r="G1008" t="str">
        <f>_xlfn.IFNA(VLOOKUP(Table1[[#This Row],[Tên đối tượng]],'DANH MỤC ĐỐI TƯỢNG'!A:F,6,0),"")</f>
        <v/>
      </c>
      <c r="H1008" t="str">
        <f>_xlfn.IFNA(VLOOKUP(Table1[[#This Row],[Tên đối tượng]],'DANH MỤC ĐỐI TƯỢNG'!A:I,9,0),"")</f>
        <v/>
      </c>
      <c r="I1008" t="str">
        <f>_xlfn.IFNA(VLOOKUP(Table1[[#This Row],[Tên đối tượng]],'DANH MỤC ĐỐI TƯỢNG'!A:J,10,0),"")</f>
        <v/>
      </c>
    </row>
    <row r="1009" spans="1:9" x14ac:dyDescent="0.3">
      <c r="A1009" t="str">
        <f t="shared" si="30"/>
        <v/>
      </c>
      <c r="D1009" t="str">
        <f t="shared" si="31"/>
        <v xml:space="preserve">. </v>
      </c>
      <c r="E1009" s="5" t="str">
        <f t="shared" si="32"/>
        <v/>
      </c>
      <c r="F1009" t="str">
        <f>IFERROR(VLOOKUP(Table1[[#This Row],[Tên đối tượng]],'DANH MỤC ĐỐI TƯỢNG'!A:E,5,0),"")</f>
        <v/>
      </c>
      <c r="G1009" t="str">
        <f>_xlfn.IFNA(VLOOKUP(Table1[[#This Row],[Tên đối tượng]],'DANH MỤC ĐỐI TƯỢNG'!A:F,6,0),"")</f>
        <v/>
      </c>
      <c r="H1009" t="str">
        <f>_xlfn.IFNA(VLOOKUP(Table1[[#This Row],[Tên đối tượng]],'DANH MỤC ĐỐI TƯỢNG'!A:I,9,0),"")</f>
        <v/>
      </c>
      <c r="I1009" t="str">
        <f>_xlfn.IFNA(VLOOKUP(Table1[[#This Row],[Tên đối tượng]],'DANH MỤC ĐỐI TƯỢNG'!A:J,10,0),"")</f>
        <v/>
      </c>
    </row>
    <row r="1010" spans="1:9" x14ac:dyDescent="0.3">
      <c r="A1010" t="str">
        <f t="shared" si="30"/>
        <v/>
      </c>
      <c r="D1010" t="str">
        <f t="shared" si="31"/>
        <v xml:space="preserve">. </v>
      </c>
      <c r="E1010" s="5" t="str">
        <f t="shared" si="32"/>
        <v/>
      </c>
      <c r="F1010" t="str">
        <f>IFERROR(VLOOKUP(Table1[[#This Row],[Tên đối tượng]],'DANH MỤC ĐỐI TƯỢNG'!A:E,5,0),"")</f>
        <v/>
      </c>
      <c r="G1010" t="str">
        <f>_xlfn.IFNA(VLOOKUP(Table1[[#This Row],[Tên đối tượng]],'DANH MỤC ĐỐI TƯỢNG'!A:F,6,0),"")</f>
        <v/>
      </c>
      <c r="H1010" t="str">
        <f>_xlfn.IFNA(VLOOKUP(Table1[[#This Row],[Tên đối tượng]],'DANH MỤC ĐỐI TƯỢNG'!A:I,9,0),"")</f>
        <v/>
      </c>
      <c r="I1010" t="str">
        <f>_xlfn.IFNA(VLOOKUP(Table1[[#This Row],[Tên đối tượng]],'DANH MỤC ĐỐI TƯỢNG'!A:J,10,0),"")</f>
        <v/>
      </c>
    </row>
    <row r="1011" spans="1:9" x14ac:dyDescent="0.3">
      <c r="A1011" t="str">
        <f t="shared" si="30"/>
        <v/>
      </c>
      <c r="D1011" t="str">
        <f t="shared" si="31"/>
        <v xml:space="preserve">. </v>
      </c>
      <c r="E1011" s="5" t="str">
        <f t="shared" si="32"/>
        <v/>
      </c>
      <c r="F1011" t="str">
        <f>IFERROR(VLOOKUP(Table1[[#This Row],[Tên đối tượng]],'DANH MỤC ĐỐI TƯỢNG'!A:E,5,0),"")</f>
        <v/>
      </c>
      <c r="G1011" t="str">
        <f>_xlfn.IFNA(VLOOKUP(Table1[[#This Row],[Tên đối tượng]],'DANH MỤC ĐỐI TƯỢNG'!A:F,6,0),"")</f>
        <v/>
      </c>
      <c r="H1011" t="str">
        <f>_xlfn.IFNA(VLOOKUP(Table1[[#This Row],[Tên đối tượng]],'DANH MỤC ĐỐI TƯỢNG'!A:I,9,0),"")</f>
        <v/>
      </c>
      <c r="I1011" t="str">
        <f>_xlfn.IFNA(VLOOKUP(Table1[[#This Row],[Tên đối tượng]],'DANH MỤC ĐỐI TƯỢNG'!A:J,10,0),"")</f>
        <v/>
      </c>
    </row>
    <row r="1012" spans="1:9" x14ac:dyDescent="0.3">
      <c r="A1012" t="str">
        <f t="shared" si="30"/>
        <v/>
      </c>
      <c r="D1012" t="str">
        <f t="shared" si="31"/>
        <v xml:space="preserve">. </v>
      </c>
      <c r="E1012" s="5" t="str">
        <f t="shared" si="32"/>
        <v/>
      </c>
      <c r="F1012" t="str">
        <f>IFERROR(VLOOKUP(Table1[[#This Row],[Tên đối tượng]],'DANH MỤC ĐỐI TƯỢNG'!A:E,5,0),"")</f>
        <v/>
      </c>
      <c r="G1012" t="str">
        <f>_xlfn.IFNA(VLOOKUP(Table1[[#This Row],[Tên đối tượng]],'DANH MỤC ĐỐI TƯỢNG'!A:F,6,0),"")</f>
        <v/>
      </c>
      <c r="H1012" t="str">
        <f>_xlfn.IFNA(VLOOKUP(Table1[[#This Row],[Tên đối tượng]],'DANH MỤC ĐỐI TƯỢNG'!A:I,9,0),"")</f>
        <v/>
      </c>
      <c r="I1012" t="str">
        <f>_xlfn.IFNA(VLOOKUP(Table1[[#This Row],[Tên đối tượng]],'DANH MỤC ĐỐI TƯỢNG'!A:J,10,0),"")</f>
        <v/>
      </c>
    </row>
    <row r="1013" spans="1:9" x14ac:dyDescent="0.3">
      <c r="A1013" t="str">
        <f t="shared" si="30"/>
        <v/>
      </c>
      <c r="D1013" t="str">
        <f t="shared" si="31"/>
        <v xml:space="preserve">. </v>
      </c>
      <c r="E1013" s="5" t="str">
        <f t="shared" si="32"/>
        <v/>
      </c>
      <c r="F1013" t="str">
        <f>IFERROR(VLOOKUP(Table1[[#This Row],[Tên đối tượng]],'DANH MỤC ĐỐI TƯỢNG'!A:E,5,0),"")</f>
        <v/>
      </c>
      <c r="G1013" t="str">
        <f>_xlfn.IFNA(VLOOKUP(Table1[[#This Row],[Tên đối tượng]],'DANH MỤC ĐỐI TƯỢNG'!A:F,6,0),"")</f>
        <v/>
      </c>
      <c r="H1013" t="str">
        <f>_xlfn.IFNA(VLOOKUP(Table1[[#This Row],[Tên đối tượng]],'DANH MỤC ĐỐI TƯỢNG'!A:I,9,0),"")</f>
        <v/>
      </c>
      <c r="I1013" t="str">
        <f>_xlfn.IFNA(VLOOKUP(Table1[[#This Row],[Tên đối tượng]],'DANH MỤC ĐỐI TƯỢNG'!A:J,10,0),"")</f>
        <v/>
      </c>
    </row>
    <row r="1014" spans="1:9" x14ac:dyDescent="0.3">
      <c r="A1014" t="str">
        <f t="shared" si="30"/>
        <v/>
      </c>
      <c r="D1014" t="str">
        <f t="shared" si="31"/>
        <v xml:space="preserve">. </v>
      </c>
      <c r="E1014" s="5" t="str">
        <f t="shared" si="32"/>
        <v/>
      </c>
      <c r="F1014" t="str">
        <f>IFERROR(VLOOKUP(Table1[[#This Row],[Tên đối tượng]],'DANH MỤC ĐỐI TƯỢNG'!A:E,5,0),"")</f>
        <v/>
      </c>
      <c r="G1014" t="str">
        <f>_xlfn.IFNA(VLOOKUP(Table1[[#This Row],[Tên đối tượng]],'DANH MỤC ĐỐI TƯỢNG'!A:F,6,0),"")</f>
        <v/>
      </c>
      <c r="H1014" t="str">
        <f>_xlfn.IFNA(VLOOKUP(Table1[[#This Row],[Tên đối tượng]],'DANH MỤC ĐỐI TƯỢNG'!A:I,9,0),"")</f>
        <v/>
      </c>
      <c r="I1014" t="str">
        <f>_xlfn.IFNA(VLOOKUP(Table1[[#This Row],[Tên đối tượng]],'DANH MỤC ĐỐI TƯỢNG'!A:J,10,0),"")</f>
        <v/>
      </c>
    </row>
    <row r="1015" spans="1:9" x14ac:dyDescent="0.3">
      <c r="A1015" t="str">
        <f t="shared" si="30"/>
        <v/>
      </c>
      <c r="D1015" t="str">
        <f t="shared" si="31"/>
        <v xml:space="preserve">. </v>
      </c>
      <c r="E1015" s="5" t="str">
        <f t="shared" si="32"/>
        <v/>
      </c>
      <c r="F1015" t="str">
        <f>IFERROR(VLOOKUP(Table1[[#This Row],[Tên đối tượng]],'DANH MỤC ĐỐI TƯỢNG'!A:E,5,0),"")</f>
        <v/>
      </c>
      <c r="G1015" t="str">
        <f>_xlfn.IFNA(VLOOKUP(Table1[[#This Row],[Tên đối tượng]],'DANH MỤC ĐỐI TƯỢNG'!A:F,6,0),"")</f>
        <v/>
      </c>
      <c r="H1015" t="str">
        <f>_xlfn.IFNA(VLOOKUP(Table1[[#This Row],[Tên đối tượng]],'DANH MỤC ĐỐI TƯỢNG'!A:I,9,0),"")</f>
        <v/>
      </c>
      <c r="I1015" t="str">
        <f>_xlfn.IFNA(VLOOKUP(Table1[[#This Row],[Tên đối tượng]],'DANH MỤC ĐỐI TƯỢNG'!A:J,10,0),"")</f>
        <v/>
      </c>
    </row>
    <row r="1016" spans="1:9" x14ac:dyDescent="0.3">
      <c r="A1016" t="str">
        <f t="shared" si="30"/>
        <v/>
      </c>
      <c r="D1016" t="str">
        <f t="shared" si="31"/>
        <v xml:space="preserve">. </v>
      </c>
      <c r="E1016" s="5" t="str">
        <f t="shared" si="32"/>
        <v/>
      </c>
      <c r="F1016" t="str">
        <f>IFERROR(VLOOKUP(Table1[[#This Row],[Tên đối tượng]],'DANH MỤC ĐỐI TƯỢNG'!A:E,5,0),"")</f>
        <v/>
      </c>
      <c r="G1016" t="str">
        <f>_xlfn.IFNA(VLOOKUP(Table1[[#This Row],[Tên đối tượng]],'DANH MỤC ĐỐI TƯỢNG'!A:F,6,0),"")</f>
        <v/>
      </c>
      <c r="H1016" t="str">
        <f>_xlfn.IFNA(VLOOKUP(Table1[[#This Row],[Tên đối tượng]],'DANH MỤC ĐỐI TƯỢNG'!A:I,9,0),"")</f>
        <v/>
      </c>
      <c r="I1016" t="str">
        <f>_xlfn.IFNA(VLOOKUP(Table1[[#This Row],[Tên đối tượng]],'DANH MỤC ĐỐI TƯỢNG'!A:J,10,0),"")</f>
        <v/>
      </c>
    </row>
    <row r="1017" spans="1:9" x14ac:dyDescent="0.3">
      <c r="A1017" t="str">
        <f t="shared" si="30"/>
        <v/>
      </c>
      <c r="D1017" t="str">
        <f t="shared" si="31"/>
        <v xml:space="preserve">. </v>
      </c>
      <c r="E1017" s="5" t="str">
        <f t="shared" si="32"/>
        <v/>
      </c>
      <c r="F1017" t="str">
        <f>IFERROR(VLOOKUP(Table1[[#This Row],[Tên đối tượng]],'DANH MỤC ĐỐI TƯỢNG'!A:E,5,0),"")</f>
        <v/>
      </c>
      <c r="G1017" t="str">
        <f>_xlfn.IFNA(VLOOKUP(Table1[[#This Row],[Tên đối tượng]],'DANH MỤC ĐỐI TƯỢNG'!A:F,6,0),"")</f>
        <v/>
      </c>
      <c r="H1017" t="str">
        <f>_xlfn.IFNA(VLOOKUP(Table1[[#This Row],[Tên đối tượng]],'DANH MỤC ĐỐI TƯỢNG'!A:I,9,0),"")</f>
        <v/>
      </c>
      <c r="I1017" t="str">
        <f>_xlfn.IFNA(VLOOKUP(Table1[[#This Row],[Tên đối tượng]],'DANH MỤC ĐỐI TƯỢNG'!A:J,10,0),"")</f>
        <v/>
      </c>
    </row>
    <row r="1018" spans="1:9" x14ac:dyDescent="0.3">
      <c r="A1018" t="str">
        <f t="shared" si="30"/>
        <v/>
      </c>
      <c r="D1018" t="str">
        <f t="shared" si="31"/>
        <v xml:space="preserve">. </v>
      </c>
      <c r="E1018" s="5" t="str">
        <f t="shared" si="32"/>
        <v/>
      </c>
      <c r="F1018" t="str">
        <f>IFERROR(VLOOKUP(Table1[[#This Row],[Tên đối tượng]],'DANH MỤC ĐỐI TƯỢNG'!A:E,5,0),"")</f>
        <v/>
      </c>
      <c r="G1018" t="str">
        <f>_xlfn.IFNA(VLOOKUP(Table1[[#This Row],[Tên đối tượng]],'DANH MỤC ĐỐI TƯỢNG'!A:F,6,0),"")</f>
        <v/>
      </c>
      <c r="H1018" t="str">
        <f>_xlfn.IFNA(VLOOKUP(Table1[[#This Row],[Tên đối tượng]],'DANH MỤC ĐỐI TƯỢNG'!A:I,9,0),"")</f>
        <v/>
      </c>
      <c r="I1018" t="str">
        <f>_xlfn.IFNA(VLOOKUP(Table1[[#This Row],[Tên đối tượng]],'DANH MỤC ĐỐI TƯỢNG'!A:J,10,0),"")</f>
        <v/>
      </c>
    </row>
    <row r="1019" spans="1:9" x14ac:dyDescent="0.3">
      <c r="A1019" t="str">
        <f t="shared" si="30"/>
        <v/>
      </c>
      <c r="D1019" t="str">
        <f t="shared" si="31"/>
        <v xml:space="preserve">. </v>
      </c>
      <c r="E1019" s="5" t="str">
        <f t="shared" si="32"/>
        <v/>
      </c>
      <c r="F1019" t="str">
        <f>IFERROR(VLOOKUP(Table1[[#This Row],[Tên đối tượng]],'DANH MỤC ĐỐI TƯỢNG'!A:E,5,0),"")</f>
        <v/>
      </c>
      <c r="G1019" t="str">
        <f>_xlfn.IFNA(VLOOKUP(Table1[[#This Row],[Tên đối tượng]],'DANH MỤC ĐỐI TƯỢNG'!A:F,6,0),"")</f>
        <v/>
      </c>
      <c r="H1019" t="str">
        <f>_xlfn.IFNA(VLOOKUP(Table1[[#This Row],[Tên đối tượng]],'DANH MỤC ĐỐI TƯỢNG'!A:I,9,0),"")</f>
        <v/>
      </c>
      <c r="I1019" t="str">
        <f>_xlfn.IFNA(VLOOKUP(Table1[[#This Row],[Tên đối tượng]],'DANH MỤC ĐỐI TƯỢNG'!A:J,10,0),"")</f>
        <v/>
      </c>
    </row>
    <row r="1020" spans="1:9" x14ac:dyDescent="0.3">
      <c r="A1020" t="str">
        <f t="shared" si="30"/>
        <v/>
      </c>
      <c r="D1020" t="str">
        <f t="shared" si="31"/>
        <v xml:space="preserve">. </v>
      </c>
      <c r="E1020" s="5" t="str">
        <f t="shared" si="32"/>
        <v/>
      </c>
      <c r="F1020" t="str">
        <f>IFERROR(VLOOKUP(Table1[[#This Row],[Tên đối tượng]],'DANH MỤC ĐỐI TƯỢNG'!A:E,5,0),"")</f>
        <v/>
      </c>
      <c r="G1020" t="str">
        <f>_xlfn.IFNA(VLOOKUP(Table1[[#This Row],[Tên đối tượng]],'DANH MỤC ĐỐI TƯỢNG'!A:F,6,0),"")</f>
        <v/>
      </c>
      <c r="H1020" t="str">
        <f>_xlfn.IFNA(VLOOKUP(Table1[[#This Row],[Tên đối tượng]],'DANH MỤC ĐỐI TƯỢNG'!A:I,9,0),"")</f>
        <v/>
      </c>
      <c r="I1020" t="str">
        <f>_xlfn.IFNA(VLOOKUP(Table1[[#This Row],[Tên đối tượng]],'DANH MỤC ĐỐI TƯỢNG'!A:J,10,0),"")</f>
        <v/>
      </c>
    </row>
    <row r="1021" spans="1:9" x14ac:dyDescent="0.3">
      <c r="A1021" t="str">
        <f t="shared" si="30"/>
        <v/>
      </c>
      <c r="D1021" t="str">
        <f t="shared" si="31"/>
        <v xml:space="preserve">. </v>
      </c>
      <c r="E1021" s="5" t="str">
        <f t="shared" si="32"/>
        <v/>
      </c>
      <c r="F1021" t="str">
        <f>IFERROR(VLOOKUP(Table1[[#This Row],[Tên đối tượng]],'DANH MỤC ĐỐI TƯỢNG'!A:E,5,0),"")</f>
        <v/>
      </c>
      <c r="G1021" t="str">
        <f>_xlfn.IFNA(VLOOKUP(Table1[[#This Row],[Tên đối tượng]],'DANH MỤC ĐỐI TƯỢNG'!A:F,6,0),"")</f>
        <v/>
      </c>
      <c r="H1021" t="str">
        <f>_xlfn.IFNA(VLOOKUP(Table1[[#This Row],[Tên đối tượng]],'DANH MỤC ĐỐI TƯỢNG'!A:I,9,0),"")</f>
        <v/>
      </c>
      <c r="I1021" t="str">
        <f>_xlfn.IFNA(VLOOKUP(Table1[[#This Row],[Tên đối tượng]],'DANH MỤC ĐỐI TƯỢNG'!A:J,10,0),"")</f>
        <v/>
      </c>
    </row>
    <row r="1022" spans="1:9" x14ac:dyDescent="0.3">
      <c r="A1022" t="str">
        <f t="shared" si="30"/>
        <v/>
      </c>
      <c r="D1022" t="str">
        <f t="shared" si="31"/>
        <v xml:space="preserve">. </v>
      </c>
      <c r="E1022" s="5" t="str">
        <f t="shared" si="32"/>
        <v/>
      </c>
      <c r="F1022" t="str">
        <f>IFERROR(VLOOKUP(Table1[[#This Row],[Tên đối tượng]],'DANH MỤC ĐỐI TƯỢNG'!A:E,5,0),"")</f>
        <v/>
      </c>
      <c r="G1022" t="str">
        <f>_xlfn.IFNA(VLOOKUP(Table1[[#This Row],[Tên đối tượng]],'DANH MỤC ĐỐI TƯỢNG'!A:F,6,0),"")</f>
        <v/>
      </c>
      <c r="H1022" t="str">
        <f>_xlfn.IFNA(VLOOKUP(Table1[[#This Row],[Tên đối tượng]],'DANH MỤC ĐỐI TƯỢNG'!A:I,9,0),"")</f>
        <v/>
      </c>
      <c r="I1022" t="str">
        <f>_xlfn.IFNA(VLOOKUP(Table1[[#This Row],[Tên đối tượng]],'DANH MỤC ĐỐI TƯỢNG'!A:J,10,0),"")</f>
        <v/>
      </c>
    </row>
    <row r="1023" spans="1:9" x14ac:dyDescent="0.3">
      <c r="A1023" t="str">
        <f t="shared" si="30"/>
        <v/>
      </c>
      <c r="D1023" t="str">
        <f t="shared" si="31"/>
        <v xml:space="preserve">. </v>
      </c>
      <c r="E1023" s="5" t="str">
        <f t="shared" si="32"/>
        <v/>
      </c>
      <c r="F1023" t="str">
        <f>IFERROR(VLOOKUP(Table1[[#This Row],[Tên đối tượng]],'DANH MỤC ĐỐI TƯỢNG'!A:E,5,0),"")</f>
        <v/>
      </c>
      <c r="G1023" t="str">
        <f>_xlfn.IFNA(VLOOKUP(Table1[[#This Row],[Tên đối tượng]],'DANH MỤC ĐỐI TƯỢNG'!A:F,6,0),"")</f>
        <v/>
      </c>
      <c r="H1023" t="str">
        <f>_xlfn.IFNA(VLOOKUP(Table1[[#This Row],[Tên đối tượng]],'DANH MỤC ĐỐI TƯỢNG'!A:I,9,0),"")</f>
        <v/>
      </c>
      <c r="I1023" t="str">
        <f>_xlfn.IFNA(VLOOKUP(Table1[[#This Row],[Tên đối tượng]],'DANH MỤC ĐỐI TƯỢNG'!A:J,10,0),"")</f>
        <v/>
      </c>
    </row>
    <row r="1024" spans="1:9" x14ac:dyDescent="0.3">
      <c r="A1024" t="str">
        <f t="shared" ref="A1024:A1087" si="33">IF(B1024&lt;&gt;0,ROW()-3,"")</f>
        <v/>
      </c>
      <c r="D1024" t="str">
        <f t="shared" si="31"/>
        <v xml:space="preserve">. </v>
      </c>
      <c r="E1024" s="5" t="str">
        <f t="shared" si="32"/>
        <v/>
      </c>
      <c r="F1024" t="str">
        <f>IFERROR(VLOOKUP(Table1[[#This Row],[Tên đối tượng]],'DANH MỤC ĐỐI TƯỢNG'!A:E,5,0),"")</f>
        <v/>
      </c>
      <c r="G1024" t="str">
        <f>_xlfn.IFNA(VLOOKUP(Table1[[#This Row],[Tên đối tượng]],'DANH MỤC ĐỐI TƯỢNG'!A:F,6,0),"")</f>
        <v/>
      </c>
      <c r="H1024" t="str">
        <f>_xlfn.IFNA(VLOOKUP(Table1[[#This Row],[Tên đối tượng]],'DANH MỤC ĐỐI TƯỢNG'!A:I,9,0),"")</f>
        <v/>
      </c>
      <c r="I1024" t="str">
        <f>_xlfn.IFNA(VLOOKUP(Table1[[#This Row],[Tên đối tượng]],'DANH MỤC ĐỐI TƯỢNG'!A:J,10,0),"")</f>
        <v/>
      </c>
    </row>
    <row r="1025" spans="1:9" x14ac:dyDescent="0.3">
      <c r="A1025" t="str">
        <f t="shared" si="33"/>
        <v/>
      </c>
      <c r="D1025" t="str">
        <f t="shared" si="31"/>
        <v xml:space="preserve">. </v>
      </c>
      <c r="E1025" s="5" t="str">
        <f t="shared" si="32"/>
        <v/>
      </c>
      <c r="F1025" t="str">
        <f>IFERROR(VLOOKUP(Table1[[#This Row],[Tên đối tượng]],'DANH MỤC ĐỐI TƯỢNG'!A:E,5,0),"")</f>
        <v/>
      </c>
      <c r="G1025" t="str">
        <f>_xlfn.IFNA(VLOOKUP(Table1[[#This Row],[Tên đối tượng]],'DANH MỤC ĐỐI TƯỢNG'!A:F,6,0),"")</f>
        <v/>
      </c>
      <c r="H1025" t="str">
        <f>_xlfn.IFNA(VLOOKUP(Table1[[#This Row],[Tên đối tượng]],'DANH MỤC ĐỐI TƯỢNG'!A:I,9,0),"")</f>
        <v/>
      </c>
      <c r="I1025" t="str">
        <f>_xlfn.IFNA(VLOOKUP(Table1[[#This Row],[Tên đối tượng]],'DANH MỤC ĐỐI TƯỢNG'!A:J,10,0),"")</f>
        <v/>
      </c>
    </row>
    <row r="1026" spans="1:9" x14ac:dyDescent="0.3">
      <c r="A1026" t="str">
        <f t="shared" si="33"/>
        <v/>
      </c>
      <c r="D1026" t="str">
        <f t="shared" si="31"/>
        <v xml:space="preserve">. </v>
      </c>
      <c r="E1026" s="5" t="str">
        <f t="shared" si="32"/>
        <v/>
      </c>
      <c r="F1026" t="str">
        <f>IFERROR(VLOOKUP(Table1[[#This Row],[Tên đối tượng]],'DANH MỤC ĐỐI TƯỢNG'!A:E,5,0),"")</f>
        <v/>
      </c>
      <c r="G1026" t="str">
        <f>_xlfn.IFNA(VLOOKUP(Table1[[#This Row],[Tên đối tượng]],'DANH MỤC ĐỐI TƯỢNG'!A:F,6,0),"")</f>
        <v/>
      </c>
      <c r="H1026" t="str">
        <f>_xlfn.IFNA(VLOOKUP(Table1[[#This Row],[Tên đối tượng]],'DANH MỤC ĐỐI TƯỢNG'!A:I,9,0),"")</f>
        <v/>
      </c>
      <c r="I1026" t="str">
        <f>_xlfn.IFNA(VLOOKUP(Table1[[#This Row],[Tên đối tượng]],'DANH MỤC ĐỐI TƯỢNG'!A:J,10,0),"")</f>
        <v/>
      </c>
    </row>
    <row r="1027" spans="1:9" x14ac:dyDescent="0.3">
      <c r="A1027" t="str">
        <f t="shared" si="33"/>
        <v/>
      </c>
      <c r="D1027" t="str">
        <f t="shared" si="31"/>
        <v xml:space="preserve">. </v>
      </c>
      <c r="E1027" s="5" t="str">
        <f t="shared" si="32"/>
        <v/>
      </c>
      <c r="F1027" t="str">
        <f>IFERROR(VLOOKUP(Table1[[#This Row],[Tên đối tượng]],'DANH MỤC ĐỐI TƯỢNG'!A:E,5,0),"")</f>
        <v/>
      </c>
      <c r="G1027" t="str">
        <f>_xlfn.IFNA(VLOOKUP(Table1[[#This Row],[Tên đối tượng]],'DANH MỤC ĐỐI TƯỢNG'!A:F,6,0),"")</f>
        <v/>
      </c>
      <c r="H1027" t="str">
        <f>_xlfn.IFNA(VLOOKUP(Table1[[#This Row],[Tên đối tượng]],'DANH MỤC ĐỐI TƯỢNG'!A:I,9,0),"")</f>
        <v/>
      </c>
      <c r="I1027" t="str">
        <f>_xlfn.IFNA(VLOOKUP(Table1[[#This Row],[Tên đối tượng]],'DANH MỤC ĐỐI TƯỢNG'!A:J,10,0),"")</f>
        <v/>
      </c>
    </row>
    <row r="1028" spans="1:9" x14ac:dyDescent="0.3">
      <c r="A1028" t="str">
        <f t="shared" si="33"/>
        <v/>
      </c>
      <c r="D1028" t="str">
        <f t="shared" si="31"/>
        <v xml:space="preserve">. </v>
      </c>
      <c r="E1028" s="5" t="str">
        <f t="shared" si="32"/>
        <v/>
      </c>
      <c r="F1028" t="str">
        <f>IFERROR(VLOOKUP(Table1[[#This Row],[Tên đối tượng]],'DANH MỤC ĐỐI TƯỢNG'!A:E,5,0),"")</f>
        <v/>
      </c>
      <c r="G1028" t="str">
        <f>_xlfn.IFNA(VLOOKUP(Table1[[#This Row],[Tên đối tượng]],'DANH MỤC ĐỐI TƯỢNG'!A:F,6,0),"")</f>
        <v/>
      </c>
      <c r="H1028" t="str">
        <f>_xlfn.IFNA(VLOOKUP(Table1[[#This Row],[Tên đối tượng]],'DANH MỤC ĐỐI TƯỢNG'!A:I,9,0),"")</f>
        <v/>
      </c>
      <c r="I1028" t="str">
        <f>_xlfn.IFNA(VLOOKUP(Table1[[#This Row],[Tên đối tượng]],'DANH MỤC ĐỐI TƯỢNG'!A:J,10,0),"")</f>
        <v/>
      </c>
    </row>
    <row r="1029" spans="1:9" x14ac:dyDescent="0.3">
      <c r="A1029" t="str">
        <f t="shared" si="33"/>
        <v/>
      </c>
      <c r="D1029" t="str">
        <f t="shared" ref="D1029:D1092" si="34">A1029&amp;". "&amp;B1029</f>
        <v xml:space="preserve">. </v>
      </c>
      <c r="E1029" s="5" t="str">
        <f t="shared" ref="E1029:E1092" si="35">IF(B1029&lt;&gt;"",HYPERLINK($A$2&amp;D1029,C1029),"")</f>
        <v/>
      </c>
      <c r="F1029" t="str">
        <f>IFERROR(VLOOKUP(Table1[[#This Row],[Tên đối tượng]],'DANH MỤC ĐỐI TƯỢNG'!A:E,5,0),"")</f>
        <v/>
      </c>
      <c r="G1029" t="str">
        <f>_xlfn.IFNA(VLOOKUP(Table1[[#This Row],[Tên đối tượng]],'DANH MỤC ĐỐI TƯỢNG'!A:F,6,0),"")</f>
        <v/>
      </c>
      <c r="H1029" t="str">
        <f>_xlfn.IFNA(VLOOKUP(Table1[[#This Row],[Tên đối tượng]],'DANH MỤC ĐỐI TƯỢNG'!A:I,9,0),"")</f>
        <v/>
      </c>
      <c r="I1029" t="str">
        <f>_xlfn.IFNA(VLOOKUP(Table1[[#This Row],[Tên đối tượng]],'DANH MỤC ĐỐI TƯỢNG'!A:J,10,0),"")</f>
        <v/>
      </c>
    </row>
    <row r="1030" spans="1:9" x14ac:dyDescent="0.3">
      <c r="A1030" t="str">
        <f t="shared" si="33"/>
        <v/>
      </c>
      <c r="D1030" t="str">
        <f t="shared" si="34"/>
        <v xml:space="preserve">. </v>
      </c>
      <c r="E1030" s="5" t="str">
        <f t="shared" si="35"/>
        <v/>
      </c>
      <c r="F1030" t="str">
        <f>IFERROR(VLOOKUP(Table1[[#This Row],[Tên đối tượng]],'DANH MỤC ĐỐI TƯỢNG'!A:E,5,0),"")</f>
        <v/>
      </c>
      <c r="G1030" t="str">
        <f>_xlfn.IFNA(VLOOKUP(Table1[[#This Row],[Tên đối tượng]],'DANH MỤC ĐỐI TƯỢNG'!A:F,6,0),"")</f>
        <v/>
      </c>
      <c r="H1030" t="str">
        <f>_xlfn.IFNA(VLOOKUP(Table1[[#This Row],[Tên đối tượng]],'DANH MỤC ĐỐI TƯỢNG'!A:I,9,0),"")</f>
        <v/>
      </c>
      <c r="I1030" t="str">
        <f>_xlfn.IFNA(VLOOKUP(Table1[[#This Row],[Tên đối tượng]],'DANH MỤC ĐỐI TƯỢNG'!A:J,10,0),"")</f>
        <v/>
      </c>
    </row>
    <row r="1031" spans="1:9" x14ac:dyDescent="0.3">
      <c r="A1031" t="str">
        <f t="shared" si="33"/>
        <v/>
      </c>
      <c r="D1031" t="str">
        <f t="shared" si="34"/>
        <v xml:space="preserve">. </v>
      </c>
      <c r="E1031" s="5" t="str">
        <f t="shared" si="35"/>
        <v/>
      </c>
      <c r="F1031" t="str">
        <f>IFERROR(VLOOKUP(Table1[[#This Row],[Tên đối tượng]],'DANH MỤC ĐỐI TƯỢNG'!A:E,5,0),"")</f>
        <v/>
      </c>
      <c r="G1031" t="str">
        <f>_xlfn.IFNA(VLOOKUP(Table1[[#This Row],[Tên đối tượng]],'DANH MỤC ĐỐI TƯỢNG'!A:F,6,0),"")</f>
        <v/>
      </c>
      <c r="H1031" t="str">
        <f>_xlfn.IFNA(VLOOKUP(Table1[[#This Row],[Tên đối tượng]],'DANH MỤC ĐỐI TƯỢNG'!A:I,9,0),"")</f>
        <v/>
      </c>
      <c r="I1031" t="str">
        <f>_xlfn.IFNA(VLOOKUP(Table1[[#This Row],[Tên đối tượng]],'DANH MỤC ĐỐI TƯỢNG'!A:J,10,0),"")</f>
        <v/>
      </c>
    </row>
    <row r="1032" spans="1:9" x14ac:dyDescent="0.3">
      <c r="A1032" t="str">
        <f t="shared" si="33"/>
        <v/>
      </c>
      <c r="D1032" t="str">
        <f t="shared" si="34"/>
        <v xml:space="preserve">. </v>
      </c>
      <c r="E1032" s="5" t="str">
        <f t="shared" si="35"/>
        <v/>
      </c>
      <c r="F1032" t="str">
        <f>IFERROR(VLOOKUP(Table1[[#This Row],[Tên đối tượng]],'DANH MỤC ĐỐI TƯỢNG'!A:E,5,0),"")</f>
        <v/>
      </c>
      <c r="G1032" t="str">
        <f>_xlfn.IFNA(VLOOKUP(Table1[[#This Row],[Tên đối tượng]],'DANH MỤC ĐỐI TƯỢNG'!A:F,6,0),"")</f>
        <v/>
      </c>
      <c r="H1032" t="str">
        <f>_xlfn.IFNA(VLOOKUP(Table1[[#This Row],[Tên đối tượng]],'DANH MỤC ĐỐI TƯỢNG'!A:I,9,0),"")</f>
        <v/>
      </c>
      <c r="I1032" t="str">
        <f>_xlfn.IFNA(VLOOKUP(Table1[[#This Row],[Tên đối tượng]],'DANH MỤC ĐỐI TƯỢNG'!A:J,10,0),"")</f>
        <v/>
      </c>
    </row>
    <row r="1033" spans="1:9" x14ac:dyDescent="0.3">
      <c r="A1033" t="str">
        <f t="shared" si="33"/>
        <v/>
      </c>
      <c r="D1033" t="str">
        <f t="shared" si="34"/>
        <v xml:space="preserve">. </v>
      </c>
      <c r="E1033" s="5" t="str">
        <f t="shared" si="35"/>
        <v/>
      </c>
      <c r="F1033" t="str">
        <f>IFERROR(VLOOKUP(Table1[[#This Row],[Tên đối tượng]],'DANH MỤC ĐỐI TƯỢNG'!A:E,5,0),"")</f>
        <v/>
      </c>
      <c r="G1033" t="str">
        <f>_xlfn.IFNA(VLOOKUP(Table1[[#This Row],[Tên đối tượng]],'DANH MỤC ĐỐI TƯỢNG'!A:F,6,0),"")</f>
        <v/>
      </c>
      <c r="H1033" t="str">
        <f>_xlfn.IFNA(VLOOKUP(Table1[[#This Row],[Tên đối tượng]],'DANH MỤC ĐỐI TƯỢNG'!A:I,9,0),"")</f>
        <v/>
      </c>
      <c r="I1033" t="str">
        <f>_xlfn.IFNA(VLOOKUP(Table1[[#This Row],[Tên đối tượng]],'DANH MỤC ĐỐI TƯỢNG'!A:J,10,0),"")</f>
        <v/>
      </c>
    </row>
    <row r="1034" spans="1:9" x14ac:dyDescent="0.3">
      <c r="A1034" t="str">
        <f t="shared" si="33"/>
        <v/>
      </c>
      <c r="D1034" t="str">
        <f t="shared" si="34"/>
        <v xml:space="preserve">. </v>
      </c>
      <c r="E1034" s="5" t="str">
        <f t="shared" si="35"/>
        <v/>
      </c>
      <c r="F1034" t="str">
        <f>IFERROR(VLOOKUP(Table1[[#This Row],[Tên đối tượng]],'DANH MỤC ĐỐI TƯỢNG'!A:E,5,0),"")</f>
        <v/>
      </c>
      <c r="G1034" t="str">
        <f>_xlfn.IFNA(VLOOKUP(Table1[[#This Row],[Tên đối tượng]],'DANH MỤC ĐỐI TƯỢNG'!A:F,6,0),"")</f>
        <v/>
      </c>
      <c r="H1034" t="str">
        <f>_xlfn.IFNA(VLOOKUP(Table1[[#This Row],[Tên đối tượng]],'DANH MỤC ĐỐI TƯỢNG'!A:I,9,0),"")</f>
        <v/>
      </c>
      <c r="I1034" t="str">
        <f>_xlfn.IFNA(VLOOKUP(Table1[[#This Row],[Tên đối tượng]],'DANH MỤC ĐỐI TƯỢNG'!A:J,10,0),"")</f>
        <v/>
      </c>
    </row>
    <row r="1035" spans="1:9" x14ac:dyDescent="0.3">
      <c r="A1035" t="str">
        <f t="shared" si="33"/>
        <v/>
      </c>
      <c r="D1035" t="str">
        <f t="shared" si="34"/>
        <v xml:space="preserve">. </v>
      </c>
      <c r="E1035" s="5" t="str">
        <f t="shared" si="35"/>
        <v/>
      </c>
      <c r="F1035" t="str">
        <f>IFERROR(VLOOKUP(Table1[[#This Row],[Tên đối tượng]],'DANH MỤC ĐỐI TƯỢNG'!A:E,5,0),"")</f>
        <v/>
      </c>
      <c r="G1035" t="str">
        <f>_xlfn.IFNA(VLOOKUP(Table1[[#This Row],[Tên đối tượng]],'DANH MỤC ĐỐI TƯỢNG'!A:F,6,0),"")</f>
        <v/>
      </c>
      <c r="H1035" t="str">
        <f>_xlfn.IFNA(VLOOKUP(Table1[[#This Row],[Tên đối tượng]],'DANH MỤC ĐỐI TƯỢNG'!A:I,9,0),"")</f>
        <v/>
      </c>
      <c r="I1035" t="str">
        <f>_xlfn.IFNA(VLOOKUP(Table1[[#This Row],[Tên đối tượng]],'DANH MỤC ĐỐI TƯỢNG'!A:J,10,0),"")</f>
        <v/>
      </c>
    </row>
    <row r="1036" spans="1:9" x14ac:dyDescent="0.3">
      <c r="A1036" t="str">
        <f t="shared" si="33"/>
        <v/>
      </c>
      <c r="D1036" t="str">
        <f t="shared" si="34"/>
        <v xml:space="preserve">. </v>
      </c>
      <c r="E1036" s="5" t="str">
        <f t="shared" si="35"/>
        <v/>
      </c>
      <c r="F1036" t="str">
        <f>IFERROR(VLOOKUP(Table1[[#This Row],[Tên đối tượng]],'DANH MỤC ĐỐI TƯỢNG'!A:E,5,0),"")</f>
        <v/>
      </c>
      <c r="G1036" t="str">
        <f>_xlfn.IFNA(VLOOKUP(Table1[[#This Row],[Tên đối tượng]],'DANH MỤC ĐỐI TƯỢNG'!A:F,6,0),"")</f>
        <v/>
      </c>
      <c r="H1036" t="str">
        <f>_xlfn.IFNA(VLOOKUP(Table1[[#This Row],[Tên đối tượng]],'DANH MỤC ĐỐI TƯỢNG'!A:I,9,0),"")</f>
        <v/>
      </c>
      <c r="I1036" t="str">
        <f>_xlfn.IFNA(VLOOKUP(Table1[[#This Row],[Tên đối tượng]],'DANH MỤC ĐỐI TƯỢNG'!A:J,10,0),"")</f>
        <v/>
      </c>
    </row>
    <row r="1037" spans="1:9" x14ac:dyDescent="0.3">
      <c r="A1037" t="str">
        <f t="shared" si="33"/>
        <v/>
      </c>
      <c r="D1037" t="str">
        <f t="shared" si="34"/>
        <v xml:space="preserve">. </v>
      </c>
      <c r="E1037" s="5" t="str">
        <f t="shared" si="35"/>
        <v/>
      </c>
      <c r="F1037" t="str">
        <f>IFERROR(VLOOKUP(Table1[[#This Row],[Tên đối tượng]],'DANH MỤC ĐỐI TƯỢNG'!A:E,5,0),"")</f>
        <v/>
      </c>
      <c r="G1037" t="str">
        <f>_xlfn.IFNA(VLOOKUP(Table1[[#This Row],[Tên đối tượng]],'DANH MỤC ĐỐI TƯỢNG'!A:F,6,0),"")</f>
        <v/>
      </c>
      <c r="H1037" t="str">
        <f>_xlfn.IFNA(VLOOKUP(Table1[[#This Row],[Tên đối tượng]],'DANH MỤC ĐỐI TƯỢNG'!A:I,9,0),"")</f>
        <v/>
      </c>
      <c r="I1037" t="str">
        <f>_xlfn.IFNA(VLOOKUP(Table1[[#This Row],[Tên đối tượng]],'DANH MỤC ĐỐI TƯỢNG'!A:J,10,0),"")</f>
        <v/>
      </c>
    </row>
    <row r="1038" spans="1:9" x14ac:dyDescent="0.3">
      <c r="A1038" t="str">
        <f t="shared" si="33"/>
        <v/>
      </c>
      <c r="D1038" t="str">
        <f t="shared" si="34"/>
        <v xml:space="preserve">. </v>
      </c>
      <c r="E1038" s="5" t="str">
        <f t="shared" si="35"/>
        <v/>
      </c>
      <c r="F1038" t="str">
        <f>IFERROR(VLOOKUP(Table1[[#This Row],[Tên đối tượng]],'DANH MỤC ĐỐI TƯỢNG'!A:E,5,0),"")</f>
        <v/>
      </c>
      <c r="G1038" t="str">
        <f>_xlfn.IFNA(VLOOKUP(Table1[[#This Row],[Tên đối tượng]],'DANH MỤC ĐỐI TƯỢNG'!A:F,6,0),"")</f>
        <v/>
      </c>
      <c r="H1038" t="str">
        <f>_xlfn.IFNA(VLOOKUP(Table1[[#This Row],[Tên đối tượng]],'DANH MỤC ĐỐI TƯỢNG'!A:I,9,0),"")</f>
        <v/>
      </c>
      <c r="I1038" t="str">
        <f>_xlfn.IFNA(VLOOKUP(Table1[[#This Row],[Tên đối tượng]],'DANH MỤC ĐỐI TƯỢNG'!A:J,10,0),"")</f>
        <v/>
      </c>
    </row>
    <row r="1039" spans="1:9" x14ac:dyDescent="0.3">
      <c r="A1039" t="str">
        <f t="shared" si="33"/>
        <v/>
      </c>
      <c r="D1039" t="str">
        <f t="shared" si="34"/>
        <v xml:space="preserve">. </v>
      </c>
      <c r="E1039" s="5" t="str">
        <f t="shared" si="35"/>
        <v/>
      </c>
      <c r="F1039" t="str">
        <f>IFERROR(VLOOKUP(Table1[[#This Row],[Tên đối tượng]],'DANH MỤC ĐỐI TƯỢNG'!A:E,5,0),"")</f>
        <v/>
      </c>
      <c r="G1039" t="str">
        <f>_xlfn.IFNA(VLOOKUP(Table1[[#This Row],[Tên đối tượng]],'DANH MỤC ĐỐI TƯỢNG'!A:F,6,0),"")</f>
        <v/>
      </c>
      <c r="H1039" t="str">
        <f>_xlfn.IFNA(VLOOKUP(Table1[[#This Row],[Tên đối tượng]],'DANH MỤC ĐỐI TƯỢNG'!A:I,9,0),"")</f>
        <v/>
      </c>
      <c r="I1039" t="str">
        <f>_xlfn.IFNA(VLOOKUP(Table1[[#This Row],[Tên đối tượng]],'DANH MỤC ĐỐI TƯỢNG'!A:J,10,0),"")</f>
        <v/>
      </c>
    </row>
    <row r="1040" spans="1:9" x14ac:dyDescent="0.3">
      <c r="A1040" t="str">
        <f t="shared" si="33"/>
        <v/>
      </c>
      <c r="D1040" t="str">
        <f t="shared" si="34"/>
        <v xml:space="preserve">. </v>
      </c>
      <c r="E1040" s="5" t="str">
        <f t="shared" si="35"/>
        <v/>
      </c>
      <c r="F1040" t="str">
        <f>IFERROR(VLOOKUP(Table1[[#This Row],[Tên đối tượng]],'DANH MỤC ĐỐI TƯỢNG'!A:E,5,0),"")</f>
        <v/>
      </c>
      <c r="G1040" t="str">
        <f>_xlfn.IFNA(VLOOKUP(Table1[[#This Row],[Tên đối tượng]],'DANH MỤC ĐỐI TƯỢNG'!A:F,6,0),"")</f>
        <v/>
      </c>
      <c r="H1040" t="str">
        <f>_xlfn.IFNA(VLOOKUP(Table1[[#This Row],[Tên đối tượng]],'DANH MỤC ĐỐI TƯỢNG'!A:I,9,0),"")</f>
        <v/>
      </c>
      <c r="I1040" t="str">
        <f>_xlfn.IFNA(VLOOKUP(Table1[[#This Row],[Tên đối tượng]],'DANH MỤC ĐỐI TƯỢNG'!A:J,10,0),"")</f>
        <v/>
      </c>
    </row>
    <row r="1041" spans="1:9" x14ac:dyDescent="0.3">
      <c r="A1041" t="str">
        <f t="shared" si="33"/>
        <v/>
      </c>
      <c r="D1041" t="str">
        <f t="shared" si="34"/>
        <v xml:space="preserve">. </v>
      </c>
      <c r="E1041" s="5" t="str">
        <f t="shared" si="35"/>
        <v/>
      </c>
      <c r="F1041" t="str">
        <f>IFERROR(VLOOKUP(Table1[[#This Row],[Tên đối tượng]],'DANH MỤC ĐỐI TƯỢNG'!A:E,5,0),"")</f>
        <v/>
      </c>
      <c r="G1041" t="str">
        <f>_xlfn.IFNA(VLOOKUP(Table1[[#This Row],[Tên đối tượng]],'DANH MỤC ĐỐI TƯỢNG'!A:F,6,0),"")</f>
        <v/>
      </c>
      <c r="H1041" t="str">
        <f>_xlfn.IFNA(VLOOKUP(Table1[[#This Row],[Tên đối tượng]],'DANH MỤC ĐỐI TƯỢNG'!A:I,9,0),"")</f>
        <v/>
      </c>
      <c r="I1041" t="str">
        <f>_xlfn.IFNA(VLOOKUP(Table1[[#This Row],[Tên đối tượng]],'DANH MỤC ĐỐI TƯỢNG'!A:J,10,0),"")</f>
        <v/>
      </c>
    </row>
    <row r="1042" spans="1:9" x14ac:dyDescent="0.3">
      <c r="A1042" t="str">
        <f t="shared" si="33"/>
        <v/>
      </c>
      <c r="D1042" t="str">
        <f t="shared" si="34"/>
        <v xml:space="preserve">. </v>
      </c>
      <c r="E1042" s="5" t="str">
        <f t="shared" si="35"/>
        <v/>
      </c>
      <c r="F1042" t="str">
        <f>IFERROR(VLOOKUP(Table1[[#This Row],[Tên đối tượng]],'DANH MỤC ĐỐI TƯỢNG'!A:E,5,0),"")</f>
        <v/>
      </c>
      <c r="G1042" t="str">
        <f>_xlfn.IFNA(VLOOKUP(Table1[[#This Row],[Tên đối tượng]],'DANH MỤC ĐỐI TƯỢNG'!A:F,6,0),"")</f>
        <v/>
      </c>
      <c r="H1042" t="str">
        <f>_xlfn.IFNA(VLOOKUP(Table1[[#This Row],[Tên đối tượng]],'DANH MỤC ĐỐI TƯỢNG'!A:I,9,0),"")</f>
        <v/>
      </c>
      <c r="I1042" t="str">
        <f>_xlfn.IFNA(VLOOKUP(Table1[[#This Row],[Tên đối tượng]],'DANH MỤC ĐỐI TƯỢNG'!A:J,10,0),"")</f>
        <v/>
      </c>
    </row>
    <row r="1043" spans="1:9" x14ac:dyDescent="0.3">
      <c r="A1043" t="str">
        <f t="shared" si="33"/>
        <v/>
      </c>
      <c r="D1043" t="str">
        <f t="shared" si="34"/>
        <v xml:space="preserve">. </v>
      </c>
      <c r="E1043" s="5" t="str">
        <f t="shared" si="35"/>
        <v/>
      </c>
      <c r="F1043" t="str">
        <f>IFERROR(VLOOKUP(Table1[[#This Row],[Tên đối tượng]],'DANH MỤC ĐỐI TƯỢNG'!A:E,5,0),"")</f>
        <v/>
      </c>
      <c r="G1043" t="str">
        <f>_xlfn.IFNA(VLOOKUP(Table1[[#This Row],[Tên đối tượng]],'DANH MỤC ĐỐI TƯỢNG'!A:F,6,0),"")</f>
        <v/>
      </c>
      <c r="H1043" t="str">
        <f>_xlfn.IFNA(VLOOKUP(Table1[[#This Row],[Tên đối tượng]],'DANH MỤC ĐỐI TƯỢNG'!A:I,9,0),"")</f>
        <v/>
      </c>
      <c r="I1043" t="str">
        <f>_xlfn.IFNA(VLOOKUP(Table1[[#This Row],[Tên đối tượng]],'DANH MỤC ĐỐI TƯỢNG'!A:J,10,0),"")</f>
        <v/>
      </c>
    </row>
    <row r="1044" spans="1:9" x14ac:dyDescent="0.3">
      <c r="A1044" t="str">
        <f t="shared" si="33"/>
        <v/>
      </c>
      <c r="D1044" t="str">
        <f t="shared" si="34"/>
        <v xml:space="preserve">. </v>
      </c>
      <c r="E1044" s="5" t="str">
        <f t="shared" si="35"/>
        <v/>
      </c>
      <c r="F1044" t="str">
        <f>IFERROR(VLOOKUP(Table1[[#This Row],[Tên đối tượng]],'DANH MỤC ĐỐI TƯỢNG'!A:E,5,0),"")</f>
        <v/>
      </c>
      <c r="G1044" t="str">
        <f>_xlfn.IFNA(VLOOKUP(Table1[[#This Row],[Tên đối tượng]],'DANH MỤC ĐỐI TƯỢNG'!A:F,6,0),"")</f>
        <v/>
      </c>
      <c r="H1044" t="str">
        <f>_xlfn.IFNA(VLOOKUP(Table1[[#This Row],[Tên đối tượng]],'DANH MỤC ĐỐI TƯỢNG'!A:I,9,0),"")</f>
        <v/>
      </c>
      <c r="I1044" t="str">
        <f>_xlfn.IFNA(VLOOKUP(Table1[[#This Row],[Tên đối tượng]],'DANH MỤC ĐỐI TƯỢNG'!A:J,10,0),"")</f>
        <v/>
      </c>
    </row>
    <row r="1045" spans="1:9" x14ac:dyDescent="0.3">
      <c r="A1045" t="str">
        <f t="shared" si="33"/>
        <v/>
      </c>
      <c r="D1045" t="str">
        <f t="shared" si="34"/>
        <v xml:space="preserve">. </v>
      </c>
      <c r="E1045" s="5" t="str">
        <f t="shared" si="35"/>
        <v/>
      </c>
      <c r="F1045" t="str">
        <f>IFERROR(VLOOKUP(Table1[[#This Row],[Tên đối tượng]],'DANH MỤC ĐỐI TƯỢNG'!A:E,5,0),"")</f>
        <v/>
      </c>
      <c r="G1045" t="str">
        <f>_xlfn.IFNA(VLOOKUP(Table1[[#This Row],[Tên đối tượng]],'DANH MỤC ĐỐI TƯỢNG'!A:F,6,0),"")</f>
        <v/>
      </c>
      <c r="H1045" t="str">
        <f>_xlfn.IFNA(VLOOKUP(Table1[[#This Row],[Tên đối tượng]],'DANH MỤC ĐỐI TƯỢNG'!A:I,9,0),"")</f>
        <v/>
      </c>
      <c r="I1045" t="str">
        <f>_xlfn.IFNA(VLOOKUP(Table1[[#This Row],[Tên đối tượng]],'DANH MỤC ĐỐI TƯỢNG'!A:J,10,0),"")</f>
        <v/>
      </c>
    </row>
    <row r="1046" spans="1:9" x14ac:dyDescent="0.3">
      <c r="A1046" t="str">
        <f t="shared" si="33"/>
        <v/>
      </c>
      <c r="D1046" t="str">
        <f t="shared" si="34"/>
        <v xml:space="preserve">. </v>
      </c>
      <c r="E1046" s="5" t="str">
        <f t="shared" si="35"/>
        <v/>
      </c>
      <c r="F1046" t="str">
        <f>IFERROR(VLOOKUP(Table1[[#This Row],[Tên đối tượng]],'DANH MỤC ĐỐI TƯỢNG'!A:E,5,0),"")</f>
        <v/>
      </c>
      <c r="G1046" t="str">
        <f>_xlfn.IFNA(VLOOKUP(Table1[[#This Row],[Tên đối tượng]],'DANH MỤC ĐỐI TƯỢNG'!A:F,6,0),"")</f>
        <v/>
      </c>
      <c r="H1046" t="str">
        <f>_xlfn.IFNA(VLOOKUP(Table1[[#This Row],[Tên đối tượng]],'DANH MỤC ĐỐI TƯỢNG'!A:I,9,0),"")</f>
        <v/>
      </c>
      <c r="I1046" t="str">
        <f>_xlfn.IFNA(VLOOKUP(Table1[[#This Row],[Tên đối tượng]],'DANH MỤC ĐỐI TƯỢNG'!A:J,10,0),"")</f>
        <v/>
      </c>
    </row>
    <row r="1047" spans="1:9" x14ac:dyDescent="0.3">
      <c r="A1047" t="str">
        <f t="shared" si="33"/>
        <v/>
      </c>
      <c r="D1047" t="str">
        <f t="shared" si="34"/>
        <v xml:space="preserve">. </v>
      </c>
      <c r="E1047" s="5" t="str">
        <f t="shared" si="35"/>
        <v/>
      </c>
      <c r="F1047" t="str">
        <f>IFERROR(VLOOKUP(Table1[[#This Row],[Tên đối tượng]],'DANH MỤC ĐỐI TƯỢNG'!A:E,5,0),"")</f>
        <v/>
      </c>
      <c r="G1047" t="str">
        <f>_xlfn.IFNA(VLOOKUP(Table1[[#This Row],[Tên đối tượng]],'DANH MỤC ĐỐI TƯỢNG'!A:F,6,0),"")</f>
        <v/>
      </c>
      <c r="H1047" t="str">
        <f>_xlfn.IFNA(VLOOKUP(Table1[[#This Row],[Tên đối tượng]],'DANH MỤC ĐỐI TƯỢNG'!A:I,9,0),"")</f>
        <v/>
      </c>
      <c r="I1047" t="str">
        <f>_xlfn.IFNA(VLOOKUP(Table1[[#This Row],[Tên đối tượng]],'DANH MỤC ĐỐI TƯỢNG'!A:J,10,0),"")</f>
        <v/>
      </c>
    </row>
    <row r="1048" spans="1:9" x14ac:dyDescent="0.3">
      <c r="A1048" t="str">
        <f t="shared" si="33"/>
        <v/>
      </c>
      <c r="D1048" t="str">
        <f t="shared" si="34"/>
        <v xml:space="preserve">. </v>
      </c>
      <c r="E1048" s="5" t="str">
        <f t="shared" si="35"/>
        <v/>
      </c>
      <c r="F1048" t="str">
        <f>IFERROR(VLOOKUP(Table1[[#This Row],[Tên đối tượng]],'DANH MỤC ĐỐI TƯỢNG'!A:E,5,0),"")</f>
        <v/>
      </c>
      <c r="G1048" t="str">
        <f>_xlfn.IFNA(VLOOKUP(Table1[[#This Row],[Tên đối tượng]],'DANH MỤC ĐỐI TƯỢNG'!A:F,6,0),"")</f>
        <v/>
      </c>
      <c r="H1048" t="str">
        <f>_xlfn.IFNA(VLOOKUP(Table1[[#This Row],[Tên đối tượng]],'DANH MỤC ĐỐI TƯỢNG'!A:I,9,0),"")</f>
        <v/>
      </c>
      <c r="I1048" t="str">
        <f>_xlfn.IFNA(VLOOKUP(Table1[[#This Row],[Tên đối tượng]],'DANH MỤC ĐỐI TƯỢNG'!A:J,10,0),"")</f>
        <v/>
      </c>
    </row>
    <row r="1049" spans="1:9" x14ac:dyDescent="0.3">
      <c r="A1049" t="str">
        <f t="shared" si="33"/>
        <v/>
      </c>
      <c r="D1049" t="str">
        <f t="shared" si="34"/>
        <v xml:space="preserve">. </v>
      </c>
      <c r="E1049" s="5" t="str">
        <f t="shared" si="35"/>
        <v/>
      </c>
      <c r="F1049" t="str">
        <f>IFERROR(VLOOKUP(Table1[[#This Row],[Tên đối tượng]],'DANH MỤC ĐỐI TƯỢNG'!A:E,5,0),"")</f>
        <v/>
      </c>
      <c r="G1049" t="str">
        <f>_xlfn.IFNA(VLOOKUP(Table1[[#This Row],[Tên đối tượng]],'DANH MỤC ĐỐI TƯỢNG'!A:F,6,0),"")</f>
        <v/>
      </c>
      <c r="H1049" t="str">
        <f>_xlfn.IFNA(VLOOKUP(Table1[[#This Row],[Tên đối tượng]],'DANH MỤC ĐỐI TƯỢNG'!A:I,9,0),"")</f>
        <v/>
      </c>
      <c r="I1049" t="str">
        <f>_xlfn.IFNA(VLOOKUP(Table1[[#This Row],[Tên đối tượng]],'DANH MỤC ĐỐI TƯỢNG'!A:J,10,0),"")</f>
        <v/>
      </c>
    </row>
    <row r="1050" spans="1:9" x14ac:dyDescent="0.3">
      <c r="A1050" t="str">
        <f t="shared" si="33"/>
        <v/>
      </c>
      <c r="D1050" t="str">
        <f t="shared" si="34"/>
        <v xml:space="preserve">. </v>
      </c>
      <c r="E1050" s="5" t="str">
        <f t="shared" si="35"/>
        <v/>
      </c>
      <c r="F1050" t="str">
        <f>IFERROR(VLOOKUP(Table1[[#This Row],[Tên đối tượng]],'DANH MỤC ĐỐI TƯỢNG'!A:E,5,0),"")</f>
        <v/>
      </c>
      <c r="G1050" t="str">
        <f>_xlfn.IFNA(VLOOKUP(Table1[[#This Row],[Tên đối tượng]],'DANH MỤC ĐỐI TƯỢNG'!A:F,6,0),"")</f>
        <v/>
      </c>
      <c r="H1050" t="str">
        <f>_xlfn.IFNA(VLOOKUP(Table1[[#This Row],[Tên đối tượng]],'DANH MỤC ĐỐI TƯỢNG'!A:I,9,0),"")</f>
        <v/>
      </c>
      <c r="I1050" t="str">
        <f>_xlfn.IFNA(VLOOKUP(Table1[[#This Row],[Tên đối tượng]],'DANH MỤC ĐỐI TƯỢNG'!A:J,10,0),"")</f>
        <v/>
      </c>
    </row>
    <row r="1051" spans="1:9" x14ac:dyDescent="0.3">
      <c r="A1051" t="str">
        <f t="shared" si="33"/>
        <v/>
      </c>
      <c r="D1051" t="str">
        <f t="shared" si="34"/>
        <v xml:space="preserve">. </v>
      </c>
      <c r="E1051" s="5" t="str">
        <f t="shared" si="35"/>
        <v/>
      </c>
      <c r="F1051" t="str">
        <f>IFERROR(VLOOKUP(Table1[[#This Row],[Tên đối tượng]],'DANH MỤC ĐỐI TƯỢNG'!A:E,5,0),"")</f>
        <v/>
      </c>
      <c r="G1051" t="str">
        <f>_xlfn.IFNA(VLOOKUP(Table1[[#This Row],[Tên đối tượng]],'DANH MỤC ĐỐI TƯỢNG'!A:F,6,0),"")</f>
        <v/>
      </c>
      <c r="H1051" t="str">
        <f>_xlfn.IFNA(VLOOKUP(Table1[[#This Row],[Tên đối tượng]],'DANH MỤC ĐỐI TƯỢNG'!A:I,9,0),"")</f>
        <v/>
      </c>
      <c r="I1051" t="str">
        <f>_xlfn.IFNA(VLOOKUP(Table1[[#This Row],[Tên đối tượng]],'DANH MỤC ĐỐI TƯỢNG'!A:J,10,0),"")</f>
        <v/>
      </c>
    </row>
    <row r="1052" spans="1:9" x14ac:dyDescent="0.3">
      <c r="A1052" t="str">
        <f t="shared" si="33"/>
        <v/>
      </c>
      <c r="D1052" t="str">
        <f t="shared" si="34"/>
        <v xml:space="preserve">. </v>
      </c>
      <c r="E1052" s="5" t="str">
        <f t="shared" si="35"/>
        <v/>
      </c>
      <c r="F1052" t="str">
        <f>IFERROR(VLOOKUP(Table1[[#This Row],[Tên đối tượng]],'DANH MỤC ĐỐI TƯỢNG'!A:E,5,0),"")</f>
        <v/>
      </c>
      <c r="G1052" t="str">
        <f>_xlfn.IFNA(VLOOKUP(Table1[[#This Row],[Tên đối tượng]],'DANH MỤC ĐỐI TƯỢNG'!A:F,6,0),"")</f>
        <v/>
      </c>
      <c r="H1052" t="str">
        <f>_xlfn.IFNA(VLOOKUP(Table1[[#This Row],[Tên đối tượng]],'DANH MỤC ĐỐI TƯỢNG'!A:I,9,0),"")</f>
        <v/>
      </c>
      <c r="I1052" t="str">
        <f>_xlfn.IFNA(VLOOKUP(Table1[[#This Row],[Tên đối tượng]],'DANH MỤC ĐỐI TƯỢNG'!A:J,10,0),"")</f>
        <v/>
      </c>
    </row>
    <row r="1053" spans="1:9" x14ac:dyDescent="0.3">
      <c r="A1053" t="str">
        <f t="shared" si="33"/>
        <v/>
      </c>
      <c r="D1053" t="str">
        <f t="shared" si="34"/>
        <v xml:space="preserve">. </v>
      </c>
      <c r="E1053" s="5" t="str">
        <f t="shared" si="35"/>
        <v/>
      </c>
      <c r="F1053" t="str">
        <f>IFERROR(VLOOKUP(Table1[[#This Row],[Tên đối tượng]],'DANH MỤC ĐỐI TƯỢNG'!A:E,5,0),"")</f>
        <v/>
      </c>
      <c r="G1053" t="str">
        <f>_xlfn.IFNA(VLOOKUP(Table1[[#This Row],[Tên đối tượng]],'DANH MỤC ĐỐI TƯỢNG'!A:F,6,0),"")</f>
        <v/>
      </c>
      <c r="H1053" t="str">
        <f>_xlfn.IFNA(VLOOKUP(Table1[[#This Row],[Tên đối tượng]],'DANH MỤC ĐỐI TƯỢNG'!A:I,9,0),"")</f>
        <v/>
      </c>
      <c r="I1053" t="str">
        <f>_xlfn.IFNA(VLOOKUP(Table1[[#This Row],[Tên đối tượng]],'DANH MỤC ĐỐI TƯỢNG'!A:J,10,0),"")</f>
        <v/>
      </c>
    </row>
    <row r="1054" spans="1:9" x14ac:dyDescent="0.3">
      <c r="A1054" t="str">
        <f t="shared" si="33"/>
        <v/>
      </c>
      <c r="D1054" t="str">
        <f t="shared" si="34"/>
        <v xml:space="preserve">. </v>
      </c>
      <c r="E1054" s="5" t="str">
        <f t="shared" si="35"/>
        <v/>
      </c>
      <c r="F1054" t="str">
        <f>IFERROR(VLOOKUP(Table1[[#This Row],[Tên đối tượng]],'DANH MỤC ĐỐI TƯỢNG'!A:E,5,0),"")</f>
        <v/>
      </c>
      <c r="G1054" t="str">
        <f>_xlfn.IFNA(VLOOKUP(Table1[[#This Row],[Tên đối tượng]],'DANH MỤC ĐỐI TƯỢNG'!A:F,6,0),"")</f>
        <v/>
      </c>
      <c r="H1054" t="str">
        <f>_xlfn.IFNA(VLOOKUP(Table1[[#This Row],[Tên đối tượng]],'DANH MỤC ĐỐI TƯỢNG'!A:I,9,0),"")</f>
        <v/>
      </c>
      <c r="I1054" t="str">
        <f>_xlfn.IFNA(VLOOKUP(Table1[[#This Row],[Tên đối tượng]],'DANH MỤC ĐỐI TƯỢNG'!A:J,10,0),"")</f>
        <v/>
      </c>
    </row>
    <row r="1055" spans="1:9" x14ac:dyDescent="0.3">
      <c r="A1055" t="str">
        <f t="shared" si="33"/>
        <v/>
      </c>
      <c r="D1055" t="str">
        <f t="shared" si="34"/>
        <v xml:space="preserve">. </v>
      </c>
      <c r="E1055" s="5" t="str">
        <f t="shared" si="35"/>
        <v/>
      </c>
      <c r="F1055" t="str">
        <f>IFERROR(VLOOKUP(Table1[[#This Row],[Tên đối tượng]],'DANH MỤC ĐỐI TƯỢNG'!A:E,5,0),"")</f>
        <v/>
      </c>
      <c r="G1055" t="str">
        <f>_xlfn.IFNA(VLOOKUP(Table1[[#This Row],[Tên đối tượng]],'DANH MỤC ĐỐI TƯỢNG'!A:F,6,0),"")</f>
        <v/>
      </c>
      <c r="H1055" t="str">
        <f>_xlfn.IFNA(VLOOKUP(Table1[[#This Row],[Tên đối tượng]],'DANH MỤC ĐỐI TƯỢNG'!A:I,9,0),"")</f>
        <v/>
      </c>
      <c r="I1055" t="str">
        <f>_xlfn.IFNA(VLOOKUP(Table1[[#This Row],[Tên đối tượng]],'DANH MỤC ĐỐI TƯỢNG'!A:J,10,0),"")</f>
        <v/>
      </c>
    </row>
    <row r="1056" spans="1:9" x14ac:dyDescent="0.3">
      <c r="A1056" t="str">
        <f t="shared" si="33"/>
        <v/>
      </c>
      <c r="D1056" t="str">
        <f t="shared" si="34"/>
        <v xml:space="preserve">. </v>
      </c>
      <c r="E1056" s="5" t="str">
        <f t="shared" si="35"/>
        <v/>
      </c>
      <c r="F1056" t="str">
        <f>IFERROR(VLOOKUP(Table1[[#This Row],[Tên đối tượng]],'DANH MỤC ĐỐI TƯỢNG'!A:E,5,0),"")</f>
        <v/>
      </c>
      <c r="G1056" t="str">
        <f>_xlfn.IFNA(VLOOKUP(Table1[[#This Row],[Tên đối tượng]],'DANH MỤC ĐỐI TƯỢNG'!A:F,6,0),"")</f>
        <v/>
      </c>
      <c r="H1056" t="str">
        <f>_xlfn.IFNA(VLOOKUP(Table1[[#This Row],[Tên đối tượng]],'DANH MỤC ĐỐI TƯỢNG'!A:I,9,0),"")</f>
        <v/>
      </c>
      <c r="I1056" t="str">
        <f>_xlfn.IFNA(VLOOKUP(Table1[[#This Row],[Tên đối tượng]],'DANH MỤC ĐỐI TƯỢNG'!A:J,10,0),"")</f>
        <v/>
      </c>
    </row>
    <row r="1057" spans="1:9" x14ac:dyDescent="0.3">
      <c r="A1057" t="str">
        <f t="shared" si="33"/>
        <v/>
      </c>
      <c r="D1057" t="str">
        <f t="shared" si="34"/>
        <v xml:space="preserve">. </v>
      </c>
      <c r="E1057" s="5" t="str">
        <f t="shared" si="35"/>
        <v/>
      </c>
      <c r="F1057" t="str">
        <f>IFERROR(VLOOKUP(Table1[[#This Row],[Tên đối tượng]],'DANH MỤC ĐỐI TƯỢNG'!A:E,5,0),"")</f>
        <v/>
      </c>
      <c r="G1057" t="str">
        <f>_xlfn.IFNA(VLOOKUP(Table1[[#This Row],[Tên đối tượng]],'DANH MỤC ĐỐI TƯỢNG'!A:F,6,0),"")</f>
        <v/>
      </c>
      <c r="H1057" t="str">
        <f>_xlfn.IFNA(VLOOKUP(Table1[[#This Row],[Tên đối tượng]],'DANH MỤC ĐỐI TƯỢNG'!A:I,9,0),"")</f>
        <v/>
      </c>
      <c r="I1057" t="str">
        <f>_xlfn.IFNA(VLOOKUP(Table1[[#This Row],[Tên đối tượng]],'DANH MỤC ĐỐI TƯỢNG'!A:J,10,0),"")</f>
        <v/>
      </c>
    </row>
    <row r="1058" spans="1:9" x14ac:dyDescent="0.3">
      <c r="A1058" t="str">
        <f t="shared" si="33"/>
        <v/>
      </c>
      <c r="D1058" t="str">
        <f t="shared" si="34"/>
        <v xml:space="preserve">. </v>
      </c>
      <c r="E1058" s="5" t="str">
        <f t="shared" si="35"/>
        <v/>
      </c>
      <c r="F1058" t="str">
        <f>IFERROR(VLOOKUP(Table1[[#This Row],[Tên đối tượng]],'DANH MỤC ĐỐI TƯỢNG'!A:E,5,0),"")</f>
        <v/>
      </c>
      <c r="G1058" t="str">
        <f>_xlfn.IFNA(VLOOKUP(Table1[[#This Row],[Tên đối tượng]],'DANH MỤC ĐỐI TƯỢNG'!A:F,6,0),"")</f>
        <v/>
      </c>
      <c r="H1058" t="str">
        <f>_xlfn.IFNA(VLOOKUP(Table1[[#This Row],[Tên đối tượng]],'DANH MỤC ĐỐI TƯỢNG'!A:I,9,0),"")</f>
        <v/>
      </c>
      <c r="I1058" t="str">
        <f>_xlfn.IFNA(VLOOKUP(Table1[[#This Row],[Tên đối tượng]],'DANH MỤC ĐỐI TƯỢNG'!A:J,10,0),"")</f>
        <v/>
      </c>
    </row>
    <row r="1059" spans="1:9" x14ac:dyDescent="0.3">
      <c r="A1059" t="str">
        <f t="shared" si="33"/>
        <v/>
      </c>
      <c r="D1059" t="str">
        <f t="shared" si="34"/>
        <v xml:space="preserve">. </v>
      </c>
      <c r="E1059" s="5" t="str">
        <f t="shared" si="35"/>
        <v/>
      </c>
      <c r="F1059" t="str">
        <f>IFERROR(VLOOKUP(Table1[[#This Row],[Tên đối tượng]],'DANH MỤC ĐỐI TƯỢNG'!A:E,5,0),"")</f>
        <v/>
      </c>
      <c r="G1059" t="str">
        <f>_xlfn.IFNA(VLOOKUP(Table1[[#This Row],[Tên đối tượng]],'DANH MỤC ĐỐI TƯỢNG'!A:F,6,0),"")</f>
        <v/>
      </c>
      <c r="H1059" t="str">
        <f>_xlfn.IFNA(VLOOKUP(Table1[[#This Row],[Tên đối tượng]],'DANH MỤC ĐỐI TƯỢNG'!A:I,9,0),"")</f>
        <v/>
      </c>
      <c r="I1059" t="str">
        <f>_xlfn.IFNA(VLOOKUP(Table1[[#This Row],[Tên đối tượng]],'DANH MỤC ĐỐI TƯỢNG'!A:J,10,0),"")</f>
        <v/>
      </c>
    </row>
    <row r="1060" spans="1:9" x14ac:dyDescent="0.3">
      <c r="A1060" t="str">
        <f t="shared" si="33"/>
        <v/>
      </c>
      <c r="D1060" t="str">
        <f t="shared" si="34"/>
        <v xml:space="preserve">. </v>
      </c>
      <c r="E1060" s="5" t="str">
        <f t="shared" si="35"/>
        <v/>
      </c>
      <c r="F1060" t="str">
        <f>IFERROR(VLOOKUP(Table1[[#This Row],[Tên đối tượng]],'DANH MỤC ĐỐI TƯỢNG'!A:E,5,0),"")</f>
        <v/>
      </c>
      <c r="G1060" t="str">
        <f>_xlfn.IFNA(VLOOKUP(Table1[[#This Row],[Tên đối tượng]],'DANH MỤC ĐỐI TƯỢNG'!A:F,6,0),"")</f>
        <v/>
      </c>
      <c r="H1060" t="str">
        <f>_xlfn.IFNA(VLOOKUP(Table1[[#This Row],[Tên đối tượng]],'DANH MỤC ĐỐI TƯỢNG'!A:I,9,0),"")</f>
        <v/>
      </c>
      <c r="I1060" t="str">
        <f>_xlfn.IFNA(VLOOKUP(Table1[[#This Row],[Tên đối tượng]],'DANH MỤC ĐỐI TƯỢNG'!A:J,10,0),"")</f>
        <v/>
      </c>
    </row>
    <row r="1061" spans="1:9" x14ac:dyDescent="0.3">
      <c r="A1061" t="str">
        <f t="shared" si="33"/>
        <v/>
      </c>
      <c r="D1061" t="str">
        <f t="shared" si="34"/>
        <v xml:space="preserve">. </v>
      </c>
      <c r="E1061" s="5" t="str">
        <f t="shared" si="35"/>
        <v/>
      </c>
      <c r="F1061" t="str">
        <f>IFERROR(VLOOKUP(Table1[[#This Row],[Tên đối tượng]],'DANH MỤC ĐỐI TƯỢNG'!A:E,5,0),"")</f>
        <v/>
      </c>
      <c r="G1061" t="str">
        <f>_xlfn.IFNA(VLOOKUP(Table1[[#This Row],[Tên đối tượng]],'DANH MỤC ĐỐI TƯỢNG'!A:F,6,0),"")</f>
        <v/>
      </c>
      <c r="H1061" t="str">
        <f>_xlfn.IFNA(VLOOKUP(Table1[[#This Row],[Tên đối tượng]],'DANH MỤC ĐỐI TƯỢNG'!A:I,9,0),"")</f>
        <v/>
      </c>
      <c r="I1061" t="str">
        <f>_xlfn.IFNA(VLOOKUP(Table1[[#This Row],[Tên đối tượng]],'DANH MỤC ĐỐI TƯỢNG'!A:J,10,0),"")</f>
        <v/>
      </c>
    </row>
    <row r="1062" spans="1:9" x14ac:dyDescent="0.3">
      <c r="A1062" t="str">
        <f t="shared" si="33"/>
        <v/>
      </c>
      <c r="D1062" t="str">
        <f t="shared" si="34"/>
        <v xml:space="preserve">. </v>
      </c>
      <c r="E1062" s="5" t="str">
        <f t="shared" si="35"/>
        <v/>
      </c>
      <c r="F1062" t="str">
        <f>IFERROR(VLOOKUP(Table1[[#This Row],[Tên đối tượng]],'DANH MỤC ĐỐI TƯỢNG'!A:E,5,0),"")</f>
        <v/>
      </c>
      <c r="G1062" t="str">
        <f>_xlfn.IFNA(VLOOKUP(Table1[[#This Row],[Tên đối tượng]],'DANH MỤC ĐỐI TƯỢNG'!A:F,6,0),"")</f>
        <v/>
      </c>
      <c r="H1062" t="str">
        <f>_xlfn.IFNA(VLOOKUP(Table1[[#This Row],[Tên đối tượng]],'DANH MỤC ĐỐI TƯỢNG'!A:I,9,0),"")</f>
        <v/>
      </c>
      <c r="I1062" t="str">
        <f>_xlfn.IFNA(VLOOKUP(Table1[[#This Row],[Tên đối tượng]],'DANH MỤC ĐỐI TƯỢNG'!A:J,10,0),"")</f>
        <v/>
      </c>
    </row>
    <row r="1063" spans="1:9" x14ac:dyDescent="0.3">
      <c r="A1063" t="str">
        <f t="shared" si="33"/>
        <v/>
      </c>
      <c r="D1063" t="str">
        <f t="shared" si="34"/>
        <v xml:space="preserve">. </v>
      </c>
      <c r="E1063" s="5" t="str">
        <f t="shared" si="35"/>
        <v/>
      </c>
      <c r="F1063" t="str">
        <f>IFERROR(VLOOKUP(Table1[[#This Row],[Tên đối tượng]],'DANH MỤC ĐỐI TƯỢNG'!A:E,5,0),"")</f>
        <v/>
      </c>
      <c r="G1063" t="str">
        <f>_xlfn.IFNA(VLOOKUP(Table1[[#This Row],[Tên đối tượng]],'DANH MỤC ĐỐI TƯỢNG'!A:F,6,0),"")</f>
        <v/>
      </c>
      <c r="H1063" t="str">
        <f>_xlfn.IFNA(VLOOKUP(Table1[[#This Row],[Tên đối tượng]],'DANH MỤC ĐỐI TƯỢNG'!A:I,9,0),"")</f>
        <v/>
      </c>
      <c r="I1063" t="str">
        <f>_xlfn.IFNA(VLOOKUP(Table1[[#This Row],[Tên đối tượng]],'DANH MỤC ĐỐI TƯỢNG'!A:J,10,0),"")</f>
        <v/>
      </c>
    </row>
    <row r="1064" spans="1:9" x14ac:dyDescent="0.3">
      <c r="A1064" t="str">
        <f t="shared" si="33"/>
        <v/>
      </c>
      <c r="D1064" t="str">
        <f t="shared" si="34"/>
        <v xml:space="preserve">. </v>
      </c>
      <c r="E1064" s="5" t="str">
        <f t="shared" si="35"/>
        <v/>
      </c>
      <c r="F1064" t="str">
        <f>IFERROR(VLOOKUP(Table1[[#This Row],[Tên đối tượng]],'DANH MỤC ĐỐI TƯỢNG'!A:E,5,0),"")</f>
        <v/>
      </c>
      <c r="G1064" t="str">
        <f>_xlfn.IFNA(VLOOKUP(Table1[[#This Row],[Tên đối tượng]],'DANH MỤC ĐỐI TƯỢNG'!A:F,6,0),"")</f>
        <v/>
      </c>
      <c r="H1064" t="str">
        <f>_xlfn.IFNA(VLOOKUP(Table1[[#This Row],[Tên đối tượng]],'DANH MỤC ĐỐI TƯỢNG'!A:I,9,0),"")</f>
        <v/>
      </c>
      <c r="I1064" t="str">
        <f>_xlfn.IFNA(VLOOKUP(Table1[[#This Row],[Tên đối tượng]],'DANH MỤC ĐỐI TƯỢNG'!A:J,10,0),"")</f>
        <v/>
      </c>
    </row>
    <row r="1065" spans="1:9" x14ac:dyDescent="0.3">
      <c r="A1065" t="str">
        <f t="shared" si="33"/>
        <v/>
      </c>
      <c r="D1065" t="str">
        <f t="shared" si="34"/>
        <v xml:space="preserve">. </v>
      </c>
      <c r="E1065" s="5" t="str">
        <f t="shared" si="35"/>
        <v/>
      </c>
      <c r="F1065" t="str">
        <f>IFERROR(VLOOKUP(Table1[[#This Row],[Tên đối tượng]],'DANH MỤC ĐỐI TƯỢNG'!A:E,5,0),"")</f>
        <v/>
      </c>
      <c r="G1065" t="str">
        <f>_xlfn.IFNA(VLOOKUP(Table1[[#This Row],[Tên đối tượng]],'DANH MỤC ĐỐI TƯỢNG'!A:F,6,0),"")</f>
        <v/>
      </c>
      <c r="H1065" t="str">
        <f>_xlfn.IFNA(VLOOKUP(Table1[[#This Row],[Tên đối tượng]],'DANH MỤC ĐỐI TƯỢNG'!A:I,9,0),"")</f>
        <v/>
      </c>
      <c r="I1065" t="str">
        <f>_xlfn.IFNA(VLOOKUP(Table1[[#This Row],[Tên đối tượng]],'DANH MỤC ĐỐI TƯỢNG'!A:J,10,0),"")</f>
        <v/>
      </c>
    </row>
    <row r="1066" spans="1:9" x14ac:dyDescent="0.3">
      <c r="A1066" t="str">
        <f t="shared" si="33"/>
        <v/>
      </c>
      <c r="D1066" t="str">
        <f t="shared" si="34"/>
        <v xml:space="preserve">. </v>
      </c>
      <c r="E1066" s="5" t="str">
        <f t="shared" si="35"/>
        <v/>
      </c>
      <c r="F1066" t="str">
        <f>IFERROR(VLOOKUP(Table1[[#This Row],[Tên đối tượng]],'DANH MỤC ĐỐI TƯỢNG'!A:E,5,0),"")</f>
        <v/>
      </c>
      <c r="G1066" t="str">
        <f>_xlfn.IFNA(VLOOKUP(Table1[[#This Row],[Tên đối tượng]],'DANH MỤC ĐỐI TƯỢNG'!A:F,6,0),"")</f>
        <v/>
      </c>
      <c r="H1066" t="str">
        <f>_xlfn.IFNA(VLOOKUP(Table1[[#This Row],[Tên đối tượng]],'DANH MỤC ĐỐI TƯỢNG'!A:I,9,0),"")</f>
        <v/>
      </c>
      <c r="I1066" t="str">
        <f>_xlfn.IFNA(VLOOKUP(Table1[[#This Row],[Tên đối tượng]],'DANH MỤC ĐỐI TƯỢNG'!A:J,10,0),"")</f>
        <v/>
      </c>
    </row>
    <row r="1067" spans="1:9" x14ac:dyDescent="0.3">
      <c r="A1067" t="str">
        <f t="shared" si="33"/>
        <v/>
      </c>
      <c r="D1067" t="str">
        <f t="shared" si="34"/>
        <v xml:space="preserve">. </v>
      </c>
      <c r="E1067" s="5" t="str">
        <f t="shared" si="35"/>
        <v/>
      </c>
      <c r="F1067" t="str">
        <f>IFERROR(VLOOKUP(Table1[[#This Row],[Tên đối tượng]],'DANH MỤC ĐỐI TƯỢNG'!A:E,5,0),"")</f>
        <v/>
      </c>
      <c r="G1067" t="str">
        <f>_xlfn.IFNA(VLOOKUP(Table1[[#This Row],[Tên đối tượng]],'DANH MỤC ĐỐI TƯỢNG'!A:F,6,0),"")</f>
        <v/>
      </c>
      <c r="H1067" t="str">
        <f>_xlfn.IFNA(VLOOKUP(Table1[[#This Row],[Tên đối tượng]],'DANH MỤC ĐỐI TƯỢNG'!A:I,9,0),"")</f>
        <v/>
      </c>
      <c r="I1067" t="str">
        <f>_xlfn.IFNA(VLOOKUP(Table1[[#This Row],[Tên đối tượng]],'DANH MỤC ĐỐI TƯỢNG'!A:J,10,0),"")</f>
        <v/>
      </c>
    </row>
    <row r="1068" spans="1:9" x14ac:dyDescent="0.3">
      <c r="A1068" t="str">
        <f t="shared" si="33"/>
        <v/>
      </c>
      <c r="D1068" t="str">
        <f t="shared" si="34"/>
        <v xml:space="preserve">. </v>
      </c>
      <c r="E1068" s="5" t="str">
        <f t="shared" si="35"/>
        <v/>
      </c>
      <c r="F1068" t="str">
        <f>IFERROR(VLOOKUP(Table1[[#This Row],[Tên đối tượng]],'DANH MỤC ĐỐI TƯỢNG'!A:E,5,0),"")</f>
        <v/>
      </c>
      <c r="G1068" t="str">
        <f>_xlfn.IFNA(VLOOKUP(Table1[[#This Row],[Tên đối tượng]],'DANH MỤC ĐỐI TƯỢNG'!A:F,6,0),"")</f>
        <v/>
      </c>
      <c r="H1068" t="str">
        <f>_xlfn.IFNA(VLOOKUP(Table1[[#This Row],[Tên đối tượng]],'DANH MỤC ĐỐI TƯỢNG'!A:I,9,0),"")</f>
        <v/>
      </c>
      <c r="I1068" t="str">
        <f>_xlfn.IFNA(VLOOKUP(Table1[[#This Row],[Tên đối tượng]],'DANH MỤC ĐỐI TƯỢNG'!A:J,10,0),"")</f>
        <v/>
      </c>
    </row>
    <row r="1069" spans="1:9" x14ac:dyDescent="0.3">
      <c r="A1069" t="str">
        <f t="shared" si="33"/>
        <v/>
      </c>
      <c r="D1069" t="str">
        <f t="shared" si="34"/>
        <v xml:space="preserve">. </v>
      </c>
      <c r="E1069" s="5" t="str">
        <f t="shared" si="35"/>
        <v/>
      </c>
      <c r="F1069" t="str">
        <f>IFERROR(VLOOKUP(Table1[[#This Row],[Tên đối tượng]],'DANH MỤC ĐỐI TƯỢNG'!A:E,5,0),"")</f>
        <v/>
      </c>
      <c r="G1069" t="str">
        <f>_xlfn.IFNA(VLOOKUP(Table1[[#This Row],[Tên đối tượng]],'DANH MỤC ĐỐI TƯỢNG'!A:F,6,0),"")</f>
        <v/>
      </c>
      <c r="H1069" t="str">
        <f>_xlfn.IFNA(VLOOKUP(Table1[[#This Row],[Tên đối tượng]],'DANH MỤC ĐỐI TƯỢNG'!A:I,9,0),"")</f>
        <v/>
      </c>
      <c r="I1069" t="str">
        <f>_xlfn.IFNA(VLOOKUP(Table1[[#This Row],[Tên đối tượng]],'DANH MỤC ĐỐI TƯỢNG'!A:J,10,0),"")</f>
        <v/>
      </c>
    </row>
    <row r="1070" spans="1:9" x14ac:dyDescent="0.3">
      <c r="A1070" t="str">
        <f t="shared" si="33"/>
        <v/>
      </c>
      <c r="D1070" t="str">
        <f t="shared" si="34"/>
        <v xml:space="preserve">. </v>
      </c>
      <c r="E1070" s="5" t="str">
        <f t="shared" si="35"/>
        <v/>
      </c>
      <c r="F1070" t="str">
        <f>IFERROR(VLOOKUP(Table1[[#This Row],[Tên đối tượng]],'DANH MỤC ĐỐI TƯỢNG'!A:E,5,0),"")</f>
        <v/>
      </c>
      <c r="G1070" t="str">
        <f>_xlfn.IFNA(VLOOKUP(Table1[[#This Row],[Tên đối tượng]],'DANH MỤC ĐỐI TƯỢNG'!A:F,6,0),"")</f>
        <v/>
      </c>
      <c r="H1070" t="str">
        <f>_xlfn.IFNA(VLOOKUP(Table1[[#This Row],[Tên đối tượng]],'DANH MỤC ĐỐI TƯỢNG'!A:I,9,0),"")</f>
        <v/>
      </c>
      <c r="I1070" t="str">
        <f>_xlfn.IFNA(VLOOKUP(Table1[[#This Row],[Tên đối tượng]],'DANH MỤC ĐỐI TƯỢNG'!A:J,10,0),"")</f>
        <v/>
      </c>
    </row>
    <row r="1071" spans="1:9" x14ac:dyDescent="0.3">
      <c r="A1071" t="str">
        <f t="shared" si="33"/>
        <v/>
      </c>
      <c r="D1071" t="str">
        <f t="shared" si="34"/>
        <v xml:space="preserve">. </v>
      </c>
      <c r="E1071" s="5" t="str">
        <f t="shared" si="35"/>
        <v/>
      </c>
      <c r="F1071" t="str">
        <f>IFERROR(VLOOKUP(Table1[[#This Row],[Tên đối tượng]],'DANH MỤC ĐỐI TƯỢNG'!A:E,5,0),"")</f>
        <v/>
      </c>
      <c r="G1071" t="str">
        <f>_xlfn.IFNA(VLOOKUP(Table1[[#This Row],[Tên đối tượng]],'DANH MỤC ĐỐI TƯỢNG'!A:F,6,0),"")</f>
        <v/>
      </c>
      <c r="H1071" t="str">
        <f>_xlfn.IFNA(VLOOKUP(Table1[[#This Row],[Tên đối tượng]],'DANH MỤC ĐỐI TƯỢNG'!A:I,9,0),"")</f>
        <v/>
      </c>
      <c r="I1071" t="str">
        <f>_xlfn.IFNA(VLOOKUP(Table1[[#This Row],[Tên đối tượng]],'DANH MỤC ĐỐI TƯỢNG'!A:J,10,0),"")</f>
        <v/>
      </c>
    </row>
    <row r="1072" spans="1:9" x14ac:dyDescent="0.3">
      <c r="A1072" t="str">
        <f t="shared" si="33"/>
        <v/>
      </c>
      <c r="D1072" t="str">
        <f t="shared" si="34"/>
        <v xml:space="preserve">. </v>
      </c>
      <c r="E1072" s="5" t="str">
        <f t="shared" si="35"/>
        <v/>
      </c>
      <c r="F1072" t="str">
        <f>IFERROR(VLOOKUP(Table1[[#This Row],[Tên đối tượng]],'DANH MỤC ĐỐI TƯỢNG'!A:E,5,0),"")</f>
        <v/>
      </c>
      <c r="G1072" t="str">
        <f>_xlfn.IFNA(VLOOKUP(Table1[[#This Row],[Tên đối tượng]],'DANH MỤC ĐỐI TƯỢNG'!A:F,6,0),"")</f>
        <v/>
      </c>
      <c r="H1072" t="str">
        <f>_xlfn.IFNA(VLOOKUP(Table1[[#This Row],[Tên đối tượng]],'DANH MỤC ĐỐI TƯỢNG'!A:I,9,0),"")</f>
        <v/>
      </c>
      <c r="I1072" t="str">
        <f>_xlfn.IFNA(VLOOKUP(Table1[[#This Row],[Tên đối tượng]],'DANH MỤC ĐỐI TƯỢNG'!A:J,10,0),"")</f>
        <v/>
      </c>
    </row>
    <row r="1073" spans="1:9" x14ac:dyDescent="0.3">
      <c r="A1073" t="str">
        <f t="shared" si="33"/>
        <v/>
      </c>
      <c r="D1073" t="str">
        <f t="shared" si="34"/>
        <v xml:space="preserve">. </v>
      </c>
      <c r="E1073" s="5" t="str">
        <f t="shared" si="35"/>
        <v/>
      </c>
      <c r="F1073" t="str">
        <f>IFERROR(VLOOKUP(Table1[[#This Row],[Tên đối tượng]],'DANH MỤC ĐỐI TƯỢNG'!A:E,5,0),"")</f>
        <v/>
      </c>
      <c r="G1073" t="str">
        <f>_xlfn.IFNA(VLOOKUP(Table1[[#This Row],[Tên đối tượng]],'DANH MỤC ĐỐI TƯỢNG'!A:F,6,0),"")</f>
        <v/>
      </c>
      <c r="H1073" t="str">
        <f>_xlfn.IFNA(VLOOKUP(Table1[[#This Row],[Tên đối tượng]],'DANH MỤC ĐỐI TƯỢNG'!A:I,9,0),"")</f>
        <v/>
      </c>
      <c r="I1073" t="str">
        <f>_xlfn.IFNA(VLOOKUP(Table1[[#This Row],[Tên đối tượng]],'DANH MỤC ĐỐI TƯỢNG'!A:J,10,0),"")</f>
        <v/>
      </c>
    </row>
    <row r="1074" spans="1:9" x14ac:dyDescent="0.3">
      <c r="A1074" t="str">
        <f t="shared" si="33"/>
        <v/>
      </c>
      <c r="D1074" t="str">
        <f t="shared" si="34"/>
        <v xml:space="preserve">. </v>
      </c>
      <c r="E1074" s="5" t="str">
        <f t="shared" si="35"/>
        <v/>
      </c>
      <c r="F1074" t="str">
        <f>IFERROR(VLOOKUP(Table1[[#This Row],[Tên đối tượng]],'DANH MỤC ĐỐI TƯỢNG'!A:E,5,0),"")</f>
        <v/>
      </c>
      <c r="G1074" t="str">
        <f>_xlfn.IFNA(VLOOKUP(Table1[[#This Row],[Tên đối tượng]],'DANH MỤC ĐỐI TƯỢNG'!A:F,6,0),"")</f>
        <v/>
      </c>
      <c r="H1074" t="str">
        <f>_xlfn.IFNA(VLOOKUP(Table1[[#This Row],[Tên đối tượng]],'DANH MỤC ĐỐI TƯỢNG'!A:I,9,0),"")</f>
        <v/>
      </c>
      <c r="I1074" t="str">
        <f>_xlfn.IFNA(VLOOKUP(Table1[[#This Row],[Tên đối tượng]],'DANH MỤC ĐỐI TƯỢNG'!A:J,10,0),"")</f>
        <v/>
      </c>
    </row>
    <row r="1075" spans="1:9" x14ac:dyDescent="0.3">
      <c r="A1075" t="str">
        <f t="shared" si="33"/>
        <v/>
      </c>
      <c r="D1075" t="str">
        <f t="shared" si="34"/>
        <v xml:space="preserve">. </v>
      </c>
      <c r="E1075" s="5" t="str">
        <f t="shared" si="35"/>
        <v/>
      </c>
      <c r="F1075" t="str">
        <f>IFERROR(VLOOKUP(Table1[[#This Row],[Tên đối tượng]],'DANH MỤC ĐỐI TƯỢNG'!A:E,5,0),"")</f>
        <v/>
      </c>
      <c r="G1075" t="str">
        <f>_xlfn.IFNA(VLOOKUP(Table1[[#This Row],[Tên đối tượng]],'DANH MỤC ĐỐI TƯỢNG'!A:F,6,0),"")</f>
        <v/>
      </c>
      <c r="H1075" t="str">
        <f>_xlfn.IFNA(VLOOKUP(Table1[[#This Row],[Tên đối tượng]],'DANH MỤC ĐỐI TƯỢNG'!A:I,9,0),"")</f>
        <v/>
      </c>
      <c r="I1075" t="str">
        <f>_xlfn.IFNA(VLOOKUP(Table1[[#This Row],[Tên đối tượng]],'DANH MỤC ĐỐI TƯỢNG'!A:J,10,0),"")</f>
        <v/>
      </c>
    </row>
    <row r="1076" spans="1:9" x14ac:dyDescent="0.3">
      <c r="A1076" t="str">
        <f t="shared" si="33"/>
        <v/>
      </c>
      <c r="D1076" t="str">
        <f t="shared" si="34"/>
        <v xml:space="preserve">. </v>
      </c>
      <c r="E1076" s="5" t="str">
        <f t="shared" si="35"/>
        <v/>
      </c>
      <c r="F1076" t="str">
        <f>IFERROR(VLOOKUP(Table1[[#This Row],[Tên đối tượng]],'DANH MỤC ĐỐI TƯỢNG'!A:E,5,0),"")</f>
        <v/>
      </c>
      <c r="G1076" t="str">
        <f>_xlfn.IFNA(VLOOKUP(Table1[[#This Row],[Tên đối tượng]],'DANH MỤC ĐỐI TƯỢNG'!A:F,6,0),"")</f>
        <v/>
      </c>
      <c r="H1076" t="str">
        <f>_xlfn.IFNA(VLOOKUP(Table1[[#This Row],[Tên đối tượng]],'DANH MỤC ĐỐI TƯỢNG'!A:I,9,0),"")</f>
        <v/>
      </c>
      <c r="I1076" t="str">
        <f>_xlfn.IFNA(VLOOKUP(Table1[[#This Row],[Tên đối tượng]],'DANH MỤC ĐỐI TƯỢNG'!A:J,10,0),"")</f>
        <v/>
      </c>
    </row>
    <row r="1077" spans="1:9" x14ac:dyDescent="0.3">
      <c r="A1077" t="str">
        <f t="shared" si="33"/>
        <v/>
      </c>
      <c r="D1077" t="str">
        <f t="shared" si="34"/>
        <v xml:space="preserve">. </v>
      </c>
      <c r="E1077" s="5" t="str">
        <f t="shared" si="35"/>
        <v/>
      </c>
      <c r="F1077" t="str">
        <f>IFERROR(VLOOKUP(Table1[[#This Row],[Tên đối tượng]],'DANH MỤC ĐỐI TƯỢNG'!A:E,5,0),"")</f>
        <v/>
      </c>
      <c r="G1077" t="str">
        <f>_xlfn.IFNA(VLOOKUP(Table1[[#This Row],[Tên đối tượng]],'DANH MỤC ĐỐI TƯỢNG'!A:F,6,0),"")</f>
        <v/>
      </c>
      <c r="H1077" t="str">
        <f>_xlfn.IFNA(VLOOKUP(Table1[[#This Row],[Tên đối tượng]],'DANH MỤC ĐỐI TƯỢNG'!A:I,9,0),"")</f>
        <v/>
      </c>
      <c r="I1077" t="str">
        <f>_xlfn.IFNA(VLOOKUP(Table1[[#This Row],[Tên đối tượng]],'DANH MỤC ĐỐI TƯỢNG'!A:J,10,0),"")</f>
        <v/>
      </c>
    </row>
    <row r="1078" spans="1:9" x14ac:dyDescent="0.3">
      <c r="A1078" t="str">
        <f t="shared" si="33"/>
        <v/>
      </c>
      <c r="D1078" t="str">
        <f t="shared" si="34"/>
        <v xml:space="preserve">. </v>
      </c>
      <c r="E1078" s="5" t="str">
        <f t="shared" si="35"/>
        <v/>
      </c>
      <c r="F1078" t="str">
        <f>IFERROR(VLOOKUP(Table1[[#This Row],[Tên đối tượng]],'DANH MỤC ĐỐI TƯỢNG'!A:E,5,0),"")</f>
        <v/>
      </c>
      <c r="G1078" t="str">
        <f>_xlfn.IFNA(VLOOKUP(Table1[[#This Row],[Tên đối tượng]],'DANH MỤC ĐỐI TƯỢNG'!A:F,6,0),"")</f>
        <v/>
      </c>
      <c r="H1078" t="str">
        <f>_xlfn.IFNA(VLOOKUP(Table1[[#This Row],[Tên đối tượng]],'DANH MỤC ĐỐI TƯỢNG'!A:I,9,0),"")</f>
        <v/>
      </c>
      <c r="I1078" t="str">
        <f>_xlfn.IFNA(VLOOKUP(Table1[[#This Row],[Tên đối tượng]],'DANH MỤC ĐỐI TƯỢNG'!A:J,10,0),"")</f>
        <v/>
      </c>
    </row>
    <row r="1079" spans="1:9" x14ac:dyDescent="0.3">
      <c r="A1079" t="str">
        <f t="shared" si="33"/>
        <v/>
      </c>
      <c r="D1079" t="str">
        <f t="shared" si="34"/>
        <v xml:space="preserve">. </v>
      </c>
      <c r="E1079" s="5" t="str">
        <f t="shared" si="35"/>
        <v/>
      </c>
      <c r="F1079" t="str">
        <f>IFERROR(VLOOKUP(Table1[[#This Row],[Tên đối tượng]],'DANH MỤC ĐỐI TƯỢNG'!A:E,5,0),"")</f>
        <v/>
      </c>
      <c r="G1079" t="str">
        <f>_xlfn.IFNA(VLOOKUP(Table1[[#This Row],[Tên đối tượng]],'DANH MỤC ĐỐI TƯỢNG'!A:F,6,0),"")</f>
        <v/>
      </c>
      <c r="H1079" t="str">
        <f>_xlfn.IFNA(VLOOKUP(Table1[[#This Row],[Tên đối tượng]],'DANH MỤC ĐỐI TƯỢNG'!A:I,9,0),"")</f>
        <v/>
      </c>
      <c r="I1079" t="str">
        <f>_xlfn.IFNA(VLOOKUP(Table1[[#This Row],[Tên đối tượng]],'DANH MỤC ĐỐI TƯỢNG'!A:J,10,0),"")</f>
        <v/>
      </c>
    </row>
    <row r="1080" spans="1:9" x14ac:dyDescent="0.3">
      <c r="A1080" t="str">
        <f t="shared" si="33"/>
        <v/>
      </c>
      <c r="D1080" t="str">
        <f t="shared" si="34"/>
        <v xml:space="preserve">. </v>
      </c>
      <c r="E1080" s="5" t="str">
        <f t="shared" si="35"/>
        <v/>
      </c>
      <c r="F1080" t="str">
        <f>IFERROR(VLOOKUP(Table1[[#This Row],[Tên đối tượng]],'DANH MỤC ĐỐI TƯỢNG'!A:E,5,0),"")</f>
        <v/>
      </c>
      <c r="G1080" t="str">
        <f>_xlfn.IFNA(VLOOKUP(Table1[[#This Row],[Tên đối tượng]],'DANH MỤC ĐỐI TƯỢNG'!A:F,6,0),"")</f>
        <v/>
      </c>
      <c r="H1080" t="str">
        <f>_xlfn.IFNA(VLOOKUP(Table1[[#This Row],[Tên đối tượng]],'DANH MỤC ĐỐI TƯỢNG'!A:I,9,0),"")</f>
        <v/>
      </c>
      <c r="I1080" t="str">
        <f>_xlfn.IFNA(VLOOKUP(Table1[[#This Row],[Tên đối tượng]],'DANH MỤC ĐỐI TƯỢNG'!A:J,10,0),"")</f>
        <v/>
      </c>
    </row>
    <row r="1081" spans="1:9" x14ac:dyDescent="0.3">
      <c r="A1081" t="str">
        <f t="shared" si="33"/>
        <v/>
      </c>
      <c r="D1081" t="str">
        <f t="shared" si="34"/>
        <v xml:space="preserve">. </v>
      </c>
      <c r="E1081" s="5" t="str">
        <f t="shared" si="35"/>
        <v/>
      </c>
      <c r="F1081" t="str">
        <f>IFERROR(VLOOKUP(Table1[[#This Row],[Tên đối tượng]],'DANH MỤC ĐỐI TƯỢNG'!A:E,5,0),"")</f>
        <v/>
      </c>
      <c r="G1081" t="str">
        <f>_xlfn.IFNA(VLOOKUP(Table1[[#This Row],[Tên đối tượng]],'DANH MỤC ĐỐI TƯỢNG'!A:F,6,0),"")</f>
        <v/>
      </c>
      <c r="H1081" t="str">
        <f>_xlfn.IFNA(VLOOKUP(Table1[[#This Row],[Tên đối tượng]],'DANH MỤC ĐỐI TƯỢNG'!A:I,9,0),"")</f>
        <v/>
      </c>
      <c r="I1081" t="str">
        <f>_xlfn.IFNA(VLOOKUP(Table1[[#This Row],[Tên đối tượng]],'DANH MỤC ĐỐI TƯỢNG'!A:J,10,0),"")</f>
        <v/>
      </c>
    </row>
    <row r="1082" spans="1:9" x14ac:dyDescent="0.3">
      <c r="A1082" t="str">
        <f t="shared" si="33"/>
        <v/>
      </c>
      <c r="D1082" t="str">
        <f t="shared" si="34"/>
        <v xml:space="preserve">. </v>
      </c>
      <c r="E1082" s="5" t="str">
        <f t="shared" si="35"/>
        <v/>
      </c>
      <c r="F1082" t="str">
        <f>IFERROR(VLOOKUP(Table1[[#This Row],[Tên đối tượng]],'DANH MỤC ĐỐI TƯỢNG'!A:E,5,0),"")</f>
        <v/>
      </c>
      <c r="G1082" t="str">
        <f>_xlfn.IFNA(VLOOKUP(Table1[[#This Row],[Tên đối tượng]],'DANH MỤC ĐỐI TƯỢNG'!A:F,6,0),"")</f>
        <v/>
      </c>
      <c r="H1082" t="str">
        <f>_xlfn.IFNA(VLOOKUP(Table1[[#This Row],[Tên đối tượng]],'DANH MỤC ĐỐI TƯỢNG'!A:I,9,0),"")</f>
        <v/>
      </c>
      <c r="I1082" t="str">
        <f>_xlfn.IFNA(VLOOKUP(Table1[[#This Row],[Tên đối tượng]],'DANH MỤC ĐỐI TƯỢNG'!A:J,10,0),"")</f>
        <v/>
      </c>
    </row>
    <row r="1083" spans="1:9" x14ac:dyDescent="0.3">
      <c r="A1083" t="str">
        <f t="shared" si="33"/>
        <v/>
      </c>
      <c r="D1083" t="str">
        <f t="shared" si="34"/>
        <v xml:space="preserve">. </v>
      </c>
      <c r="E1083" s="5" t="str">
        <f t="shared" si="35"/>
        <v/>
      </c>
      <c r="F1083" t="str">
        <f>IFERROR(VLOOKUP(Table1[[#This Row],[Tên đối tượng]],'DANH MỤC ĐỐI TƯỢNG'!A:E,5,0),"")</f>
        <v/>
      </c>
      <c r="G1083" t="str">
        <f>_xlfn.IFNA(VLOOKUP(Table1[[#This Row],[Tên đối tượng]],'DANH MỤC ĐỐI TƯỢNG'!A:F,6,0),"")</f>
        <v/>
      </c>
      <c r="H1083" t="str">
        <f>_xlfn.IFNA(VLOOKUP(Table1[[#This Row],[Tên đối tượng]],'DANH MỤC ĐỐI TƯỢNG'!A:I,9,0),"")</f>
        <v/>
      </c>
      <c r="I1083" t="str">
        <f>_xlfn.IFNA(VLOOKUP(Table1[[#This Row],[Tên đối tượng]],'DANH MỤC ĐỐI TƯỢNG'!A:J,10,0),"")</f>
        <v/>
      </c>
    </row>
    <row r="1084" spans="1:9" x14ac:dyDescent="0.3">
      <c r="A1084" t="str">
        <f t="shared" si="33"/>
        <v/>
      </c>
      <c r="D1084" t="str">
        <f t="shared" si="34"/>
        <v xml:space="preserve">. </v>
      </c>
      <c r="E1084" s="5" t="str">
        <f t="shared" si="35"/>
        <v/>
      </c>
      <c r="F1084" t="str">
        <f>IFERROR(VLOOKUP(Table1[[#This Row],[Tên đối tượng]],'DANH MỤC ĐỐI TƯỢNG'!A:E,5,0),"")</f>
        <v/>
      </c>
      <c r="G1084" t="str">
        <f>_xlfn.IFNA(VLOOKUP(Table1[[#This Row],[Tên đối tượng]],'DANH MỤC ĐỐI TƯỢNG'!A:F,6,0),"")</f>
        <v/>
      </c>
      <c r="H1084" t="str">
        <f>_xlfn.IFNA(VLOOKUP(Table1[[#This Row],[Tên đối tượng]],'DANH MỤC ĐỐI TƯỢNG'!A:I,9,0),"")</f>
        <v/>
      </c>
      <c r="I1084" t="str">
        <f>_xlfn.IFNA(VLOOKUP(Table1[[#This Row],[Tên đối tượng]],'DANH MỤC ĐỐI TƯỢNG'!A:J,10,0),"")</f>
        <v/>
      </c>
    </row>
    <row r="1085" spans="1:9" x14ac:dyDescent="0.3">
      <c r="A1085" t="str">
        <f t="shared" si="33"/>
        <v/>
      </c>
      <c r="D1085" t="str">
        <f t="shared" si="34"/>
        <v xml:space="preserve">. </v>
      </c>
      <c r="E1085" s="5" t="str">
        <f t="shared" si="35"/>
        <v/>
      </c>
      <c r="F1085" t="str">
        <f>IFERROR(VLOOKUP(Table1[[#This Row],[Tên đối tượng]],'DANH MỤC ĐỐI TƯỢNG'!A:E,5,0),"")</f>
        <v/>
      </c>
      <c r="G1085" t="str">
        <f>_xlfn.IFNA(VLOOKUP(Table1[[#This Row],[Tên đối tượng]],'DANH MỤC ĐỐI TƯỢNG'!A:F,6,0),"")</f>
        <v/>
      </c>
      <c r="H1085" t="str">
        <f>_xlfn.IFNA(VLOOKUP(Table1[[#This Row],[Tên đối tượng]],'DANH MỤC ĐỐI TƯỢNG'!A:I,9,0),"")</f>
        <v/>
      </c>
      <c r="I1085" t="str">
        <f>_xlfn.IFNA(VLOOKUP(Table1[[#This Row],[Tên đối tượng]],'DANH MỤC ĐỐI TƯỢNG'!A:J,10,0),"")</f>
        <v/>
      </c>
    </row>
    <row r="1086" spans="1:9" x14ac:dyDescent="0.3">
      <c r="A1086" t="str">
        <f t="shared" si="33"/>
        <v/>
      </c>
      <c r="D1086" t="str">
        <f t="shared" si="34"/>
        <v xml:space="preserve">. </v>
      </c>
      <c r="E1086" s="5" t="str">
        <f t="shared" si="35"/>
        <v/>
      </c>
      <c r="F1086" t="str">
        <f>IFERROR(VLOOKUP(Table1[[#This Row],[Tên đối tượng]],'DANH MỤC ĐỐI TƯỢNG'!A:E,5,0),"")</f>
        <v/>
      </c>
      <c r="G1086" t="str">
        <f>_xlfn.IFNA(VLOOKUP(Table1[[#This Row],[Tên đối tượng]],'DANH MỤC ĐỐI TƯỢNG'!A:F,6,0),"")</f>
        <v/>
      </c>
      <c r="H1086" t="str">
        <f>_xlfn.IFNA(VLOOKUP(Table1[[#This Row],[Tên đối tượng]],'DANH MỤC ĐỐI TƯỢNG'!A:I,9,0),"")</f>
        <v/>
      </c>
      <c r="I1086" t="str">
        <f>_xlfn.IFNA(VLOOKUP(Table1[[#This Row],[Tên đối tượng]],'DANH MỤC ĐỐI TƯỢNG'!A:J,10,0),"")</f>
        <v/>
      </c>
    </row>
    <row r="1087" spans="1:9" x14ac:dyDescent="0.3">
      <c r="A1087" t="str">
        <f t="shared" si="33"/>
        <v/>
      </c>
      <c r="D1087" t="str">
        <f t="shared" si="34"/>
        <v xml:space="preserve">. </v>
      </c>
      <c r="E1087" s="5" t="str">
        <f t="shared" si="35"/>
        <v/>
      </c>
      <c r="F1087" t="str">
        <f>IFERROR(VLOOKUP(Table1[[#This Row],[Tên đối tượng]],'DANH MỤC ĐỐI TƯỢNG'!A:E,5,0),"")</f>
        <v/>
      </c>
      <c r="G1087" t="str">
        <f>_xlfn.IFNA(VLOOKUP(Table1[[#This Row],[Tên đối tượng]],'DANH MỤC ĐỐI TƯỢNG'!A:F,6,0),"")</f>
        <v/>
      </c>
      <c r="H1087" t="str">
        <f>_xlfn.IFNA(VLOOKUP(Table1[[#This Row],[Tên đối tượng]],'DANH MỤC ĐỐI TƯỢNG'!A:I,9,0),"")</f>
        <v/>
      </c>
      <c r="I1087" t="str">
        <f>_xlfn.IFNA(VLOOKUP(Table1[[#This Row],[Tên đối tượng]],'DANH MỤC ĐỐI TƯỢNG'!A:J,10,0),"")</f>
        <v/>
      </c>
    </row>
    <row r="1088" spans="1:9" x14ac:dyDescent="0.3">
      <c r="A1088" t="str">
        <f t="shared" ref="A1088:A1151" si="36">IF(B1088&lt;&gt;0,ROW()-3,"")</f>
        <v/>
      </c>
      <c r="D1088" t="str">
        <f t="shared" si="34"/>
        <v xml:space="preserve">. </v>
      </c>
      <c r="E1088" s="5" t="str">
        <f t="shared" si="35"/>
        <v/>
      </c>
      <c r="F1088" t="str">
        <f>IFERROR(VLOOKUP(Table1[[#This Row],[Tên đối tượng]],'DANH MỤC ĐỐI TƯỢNG'!A:E,5,0),"")</f>
        <v/>
      </c>
      <c r="G1088" t="str">
        <f>_xlfn.IFNA(VLOOKUP(Table1[[#This Row],[Tên đối tượng]],'DANH MỤC ĐỐI TƯỢNG'!A:F,6,0),"")</f>
        <v/>
      </c>
      <c r="H1088" t="str">
        <f>_xlfn.IFNA(VLOOKUP(Table1[[#This Row],[Tên đối tượng]],'DANH MỤC ĐỐI TƯỢNG'!A:I,9,0),"")</f>
        <v/>
      </c>
      <c r="I1088" t="str">
        <f>_xlfn.IFNA(VLOOKUP(Table1[[#This Row],[Tên đối tượng]],'DANH MỤC ĐỐI TƯỢNG'!A:J,10,0),"")</f>
        <v/>
      </c>
    </row>
    <row r="1089" spans="1:9" x14ac:dyDescent="0.3">
      <c r="A1089" t="str">
        <f t="shared" si="36"/>
        <v/>
      </c>
      <c r="D1089" t="str">
        <f t="shared" si="34"/>
        <v xml:space="preserve">. </v>
      </c>
      <c r="E1089" s="5" t="str">
        <f t="shared" si="35"/>
        <v/>
      </c>
      <c r="F1089" t="str">
        <f>IFERROR(VLOOKUP(Table1[[#This Row],[Tên đối tượng]],'DANH MỤC ĐỐI TƯỢNG'!A:E,5,0),"")</f>
        <v/>
      </c>
      <c r="G1089" t="str">
        <f>_xlfn.IFNA(VLOOKUP(Table1[[#This Row],[Tên đối tượng]],'DANH MỤC ĐỐI TƯỢNG'!A:F,6,0),"")</f>
        <v/>
      </c>
      <c r="H1089" t="str">
        <f>_xlfn.IFNA(VLOOKUP(Table1[[#This Row],[Tên đối tượng]],'DANH MỤC ĐỐI TƯỢNG'!A:I,9,0),"")</f>
        <v/>
      </c>
      <c r="I1089" t="str">
        <f>_xlfn.IFNA(VLOOKUP(Table1[[#This Row],[Tên đối tượng]],'DANH MỤC ĐỐI TƯỢNG'!A:J,10,0),"")</f>
        <v/>
      </c>
    </row>
    <row r="1090" spans="1:9" x14ac:dyDescent="0.3">
      <c r="A1090" t="str">
        <f t="shared" si="36"/>
        <v/>
      </c>
      <c r="D1090" t="str">
        <f t="shared" si="34"/>
        <v xml:space="preserve">. </v>
      </c>
      <c r="E1090" s="5" t="str">
        <f t="shared" si="35"/>
        <v/>
      </c>
      <c r="F1090" t="str">
        <f>IFERROR(VLOOKUP(Table1[[#This Row],[Tên đối tượng]],'DANH MỤC ĐỐI TƯỢNG'!A:E,5,0),"")</f>
        <v/>
      </c>
      <c r="G1090" t="str">
        <f>_xlfn.IFNA(VLOOKUP(Table1[[#This Row],[Tên đối tượng]],'DANH MỤC ĐỐI TƯỢNG'!A:F,6,0),"")</f>
        <v/>
      </c>
      <c r="H1090" t="str">
        <f>_xlfn.IFNA(VLOOKUP(Table1[[#This Row],[Tên đối tượng]],'DANH MỤC ĐỐI TƯỢNG'!A:I,9,0),"")</f>
        <v/>
      </c>
      <c r="I1090" t="str">
        <f>_xlfn.IFNA(VLOOKUP(Table1[[#This Row],[Tên đối tượng]],'DANH MỤC ĐỐI TƯỢNG'!A:J,10,0),"")</f>
        <v/>
      </c>
    </row>
    <row r="1091" spans="1:9" x14ac:dyDescent="0.3">
      <c r="A1091" t="str">
        <f t="shared" si="36"/>
        <v/>
      </c>
      <c r="D1091" t="str">
        <f t="shared" si="34"/>
        <v xml:space="preserve">. </v>
      </c>
      <c r="E1091" s="5" t="str">
        <f t="shared" si="35"/>
        <v/>
      </c>
      <c r="F1091" t="str">
        <f>IFERROR(VLOOKUP(Table1[[#This Row],[Tên đối tượng]],'DANH MỤC ĐỐI TƯỢNG'!A:E,5,0),"")</f>
        <v/>
      </c>
      <c r="G1091" t="str">
        <f>_xlfn.IFNA(VLOOKUP(Table1[[#This Row],[Tên đối tượng]],'DANH MỤC ĐỐI TƯỢNG'!A:F,6,0),"")</f>
        <v/>
      </c>
      <c r="H1091" t="str">
        <f>_xlfn.IFNA(VLOOKUP(Table1[[#This Row],[Tên đối tượng]],'DANH MỤC ĐỐI TƯỢNG'!A:I,9,0),"")</f>
        <v/>
      </c>
      <c r="I1091" t="str">
        <f>_xlfn.IFNA(VLOOKUP(Table1[[#This Row],[Tên đối tượng]],'DANH MỤC ĐỐI TƯỢNG'!A:J,10,0),"")</f>
        <v/>
      </c>
    </row>
    <row r="1092" spans="1:9" x14ac:dyDescent="0.3">
      <c r="A1092" t="str">
        <f t="shared" si="36"/>
        <v/>
      </c>
      <c r="D1092" t="str">
        <f t="shared" si="34"/>
        <v xml:space="preserve">. </v>
      </c>
      <c r="E1092" s="5" t="str">
        <f t="shared" si="35"/>
        <v/>
      </c>
      <c r="F1092" t="str">
        <f>IFERROR(VLOOKUP(Table1[[#This Row],[Tên đối tượng]],'DANH MỤC ĐỐI TƯỢNG'!A:E,5,0),"")</f>
        <v/>
      </c>
      <c r="G1092" t="str">
        <f>_xlfn.IFNA(VLOOKUP(Table1[[#This Row],[Tên đối tượng]],'DANH MỤC ĐỐI TƯỢNG'!A:F,6,0),"")</f>
        <v/>
      </c>
      <c r="H1092" t="str">
        <f>_xlfn.IFNA(VLOOKUP(Table1[[#This Row],[Tên đối tượng]],'DANH MỤC ĐỐI TƯỢNG'!A:I,9,0),"")</f>
        <v/>
      </c>
      <c r="I1092" t="str">
        <f>_xlfn.IFNA(VLOOKUP(Table1[[#This Row],[Tên đối tượng]],'DANH MỤC ĐỐI TƯỢNG'!A:J,10,0),"")</f>
        <v/>
      </c>
    </row>
    <row r="1093" spans="1:9" x14ac:dyDescent="0.3">
      <c r="A1093" t="str">
        <f t="shared" si="36"/>
        <v/>
      </c>
      <c r="D1093" t="str">
        <f t="shared" ref="D1093:D1156" si="37">A1093&amp;". "&amp;B1093</f>
        <v xml:space="preserve">. </v>
      </c>
      <c r="E1093" s="5" t="str">
        <f t="shared" ref="E1093:E1156" si="38">IF(B1093&lt;&gt;"",HYPERLINK($A$2&amp;D1093,C1093),"")</f>
        <v/>
      </c>
      <c r="F1093" t="str">
        <f>IFERROR(VLOOKUP(Table1[[#This Row],[Tên đối tượng]],'DANH MỤC ĐỐI TƯỢNG'!A:E,5,0),"")</f>
        <v/>
      </c>
      <c r="G1093" t="str">
        <f>_xlfn.IFNA(VLOOKUP(Table1[[#This Row],[Tên đối tượng]],'DANH MỤC ĐỐI TƯỢNG'!A:F,6,0),"")</f>
        <v/>
      </c>
      <c r="H1093" t="str">
        <f>_xlfn.IFNA(VLOOKUP(Table1[[#This Row],[Tên đối tượng]],'DANH MỤC ĐỐI TƯỢNG'!A:I,9,0),"")</f>
        <v/>
      </c>
      <c r="I1093" t="str">
        <f>_xlfn.IFNA(VLOOKUP(Table1[[#This Row],[Tên đối tượng]],'DANH MỤC ĐỐI TƯỢNG'!A:J,10,0),"")</f>
        <v/>
      </c>
    </row>
    <row r="1094" spans="1:9" x14ac:dyDescent="0.3">
      <c r="A1094" t="str">
        <f t="shared" si="36"/>
        <v/>
      </c>
      <c r="D1094" t="str">
        <f t="shared" si="37"/>
        <v xml:space="preserve">. </v>
      </c>
      <c r="E1094" s="5" t="str">
        <f t="shared" si="38"/>
        <v/>
      </c>
      <c r="F1094" t="str">
        <f>IFERROR(VLOOKUP(Table1[[#This Row],[Tên đối tượng]],'DANH MỤC ĐỐI TƯỢNG'!A:E,5,0),"")</f>
        <v/>
      </c>
      <c r="G1094" t="str">
        <f>_xlfn.IFNA(VLOOKUP(Table1[[#This Row],[Tên đối tượng]],'DANH MỤC ĐỐI TƯỢNG'!A:F,6,0),"")</f>
        <v/>
      </c>
      <c r="H1094" t="str">
        <f>_xlfn.IFNA(VLOOKUP(Table1[[#This Row],[Tên đối tượng]],'DANH MỤC ĐỐI TƯỢNG'!A:I,9,0),"")</f>
        <v/>
      </c>
      <c r="I1094" t="str">
        <f>_xlfn.IFNA(VLOOKUP(Table1[[#This Row],[Tên đối tượng]],'DANH MỤC ĐỐI TƯỢNG'!A:J,10,0),"")</f>
        <v/>
      </c>
    </row>
    <row r="1095" spans="1:9" x14ac:dyDescent="0.3">
      <c r="A1095" t="str">
        <f t="shared" si="36"/>
        <v/>
      </c>
      <c r="D1095" t="str">
        <f t="shared" si="37"/>
        <v xml:space="preserve">. </v>
      </c>
      <c r="E1095" s="5" t="str">
        <f t="shared" si="38"/>
        <v/>
      </c>
      <c r="F1095" t="str">
        <f>IFERROR(VLOOKUP(Table1[[#This Row],[Tên đối tượng]],'DANH MỤC ĐỐI TƯỢNG'!A:E,5,0),"")</f>
        <v/>
      </c>
      <c r="G1095" t="str">
        <f>_xlfn.IFNA(VLOOKUP(Table1[[#This Row],[Tên đối tượng]],'DANH MỤC ĐỐI TƯỢNG'!A:F,6,0),"")</f>
        <v/>
      </c>
      <c r="H1095" t="str">
        <f>_xlfn.IFNA(VLOOKUP(Table1[[#This Row],[Tên đối tượng]],'DANH MỤC ĐỐI TƯỢNG'!A:I,9,0),"")</f>
        <v/>
      </c>
      <c r="I1095" t="str">
        <f>_xlfn.IFNA(VLOOKUP(Table1[[#This Row],[Tên đối tượng]],'DANH MỤC ĐỐI TƯỢNG'!A:J,10,0),"")</f>
        <v/>
      </c>
    </row>
    <row r="1096" spans="1:9" x14ac:dyDescent="0.3">
      <c r="A1096" t="str">
        <f t="shared" si="36"/>
        <v/>
      </c>
      <c r="D1096" t="str">
        <f t="shared" si="37"/>
        <v xml:space="preserve">. </v>
      </c>
      <c r="E1096" s="5" t="str">
        <f t="shared" si="38"/>
        <v/>
      </c>
      <c r="F1096" t="str">
        <f>IFERROR(VLOOKUP(Table1[[#This Row],[Tên đối tượng]],'DANH MỤC ĐỐI TƯỢNG'!A:E,5,0),"")</f>
        <v/>
      </c>
      <c r="G1096" t="str">
        <f>_xlfn.IFNA(VLOOKUP(Table1[[#This Row],[Tên đối tượng]],'DANH MỤC ĐỐI TƯỢNG'!A:F,6,0),"")</f>
        <v/>
      </c>
      <c r="H1096" t="str">
        <f>_xlfn.IFNA(VLOOKUP(Table1[[#This Row],[Tên đối tượng]],'DANH MỤC ĐỐI TƯỢNG'!A:I,9,0),"")</f>
        <v/>
      </c>
      <c r="I1096" t="str">
        <f>_xlfn.IFNA(VLOOKUP(Table1[[#This Row],[Tên đối tượng]],'DANH MỤC ĐỐI TƯỢNG'!A:J,10,0),"")</f>
        <v/>
      </c>
    </row>
    <row r="1097" spans="1:9" x14ac:dyDescent="0.3">
      <c r="A1097" t="str">
        <f t="shared" si="36"/>
        <v/>
      </c>
      <c r="D1097" t="str">
        <f t="shared" si="37"/>
        <v xml:space="preserve">. </v>
      </c>
      <c r="E1097" s="5" t="str">
        <f t="shared" si="38"/>
        <v/>
      </c>
      <c r="F1097" t="str">
        <f>IFERROR(VLOOKUP(Table1[[#This Row],[Tên đối tượng]],'DANH MỤC ĐỐI TƯỢNG'!A:E,5,0),"")</f>
        <v/>
      </c>
      <c r="G1097" t="str">
        <f>_xlfn.IFNA(VLOOKUP(Table1[[#This Row],[Tên đối tượng]],'DANH MỤC ĐỐI TƯỢNG'!A:F,6,0),"")</f>
        <v/>
      </c>
      <c r="H1097" t="str">
        <f>_xlfn.IFNA(VLOOKUP(Table1[[#This Row],[Tên đối tượng]],'DANH MỤC ĐỐI TƯỢNG'!A:I,9,0),"")</f>
        <v/>
      </c>
      <c r="I1097" t="str">
        <f>_xlfn.IFNA(VLOOKUP(Table1[[#This Row],[Tên đối tượng]],'DANH MỤC ĐỐI TƯỢNG'!A:J,10,0),"")</f>
        <v/>
      </c>
    </row>
    <row r="1098" spans="1:9" x14ac:dyDescent="0.3">
      <c r="A1098" t="str">
        <f t="shared" si="36"/>
        <v/>
      </c>
      <c r="D1098" t="str">
        <f t="shared" si="37"/>
        <v xml:space="preserve">. </v>
      </c>
      <c r="E1098" s="5" t="str">
        <f t="shared" si="38"/>
        <v/>
      </c>
      <c r="F1098" t="str">
        <f>IFERROR(VLOOKUP(Table1[[#This Row],[Tên đối tượng]],'DANH MỤC ĐỐI TƯỢNG'!A:E,5,0),"")</f>
        <v/>
      </c>
      <c r="G1098" t="str">
        <f>_xlfn.IFNA(VLOOKUP(Table1[[#This Row],[Tên đối tượng]],'DANH MỤC ĐỐI TƯỢNG'!A:F,6,0),"")</f>
        <v/>
      </c>
      <c r="H1098" t="str">
        <f>_xlfn.IFNA(VLOOKUP(Table1[[#This Row],[Tên đối tượng]],'DANH MỤC ĐỐI TƯỢNG'!A:I,9,0),"")</f>
        <v/>
      </c>
      <c r="I1098" t="str">
        <f>_xlfn.IFNA(VLOOKUP(Table1[[#This Row],[Tên đối tượng]],'DANH MỤC ĐỐI TƯỢNG'!A:J,10,0),"")</f>
        <v/>
      </c>
    </row>
    <row r="1099" spans="1:9" x14ac:dyDescent="0.3">
      <c r="A1099" t="str">
        <f t="shared" si="36"/>
        <v/>
      </c>
      <c r="D1099" t="str">
        <f t="shared" si="37"/>
        <v xml:space="preserve">. </v>
      </c>
      <c r="E1099" s="5" t="str">
        <f t="shared" si="38"/>
        <v/>
      </c>
      <c r="F1099" t="str">
        <f>IFERROR(VLOOKUP(Table1[[#This Row],[Tên đối tượng]],'DANH MỤC ĐỐI TƯỢNG'!A:E,5,0),"")</f>
        <v/>
      </c>
      <c r="G1099" t="str">
        <f>_xlfn.IFNA(VLOOKUP(Table1[[#This Row],[Tên đối tượng]],'DANH MỤC ĐỐI TƯỢNG'!A:F,6,0),"")</f>
        <v/>
      </c>
      <c r="H1099" t="str">
        <f>_xlfn.IFNA(VLOOKUP(Table1[[#This Row],[Tên đối tượng]],'DANH MỤC ĐỐI TƯỢNG'!A:I,9,0),"")</f>
        <v/>
      </c>
      <c r="I1099" t="str">
        <f>_xlfn.IFNA(VLOOKUP(Table1[[#This Row],[Tên đối tượng]],'DANH MỤC ĐỐI TƯỢNG'!A:J,10,0),"")</f>
        <v/>
      </c>
    </row>
    <row r="1100" spans="1:9" x14ac:dyDescent="0.3">
      <c r="A1100" t="str">
        <f t="shared" si="36"/>
        <v/>
      </c>
      <c r="D1100" t="str">
        <f t="shared" si="37"/>
        <v xml:space="preserve">. </v>
      </c>
      <c r="E1100" s="5" t="str">
        <f t="shared" si="38"/>
        <v/>
      </c>
      <c r="F1100" t="str">
        <f>IFERROR(VLOOKUP(Table1[[#This Row],[Tên đối tượng]],'DANH MỤC ĐỐI TƯỢNG'!A:E,5,0),"")</f>
        <v/>
      </c>
      <c r="G1100" t="str">
        <f>_xlfn.IFNA(VLOOKUP(Table1[[#This Row],[Tên đối tượng]],'DANH MỤC ĐỐI TƯỢNG'!A:F,6,0),"")</f>
        <v/>
      </c>
      <c r="H1100" t="str">
        <f>_xlfn.IFNA(VLOOKUP(Table1[[#This Row],[Tên đối tượng]],'DANH MỤC ĐỐI TƯỢNG'!A:I,9,0),"")</f>
        <v/>
      </c>
      <c r="I1100" t="str">
        <f>_xlfn.IFNA(VLOOKUP(Table1[[#This Row],[Tên đối tượng]],'DANH MỤC ĐỐI TƯỢNG'!A:J,10,0),"")</f>
        <v/>
      </c>
    </row>
    <row r="1101" spans="1:9" x14ac:dyDescent="0.3">
      <c r="A1101" t="str">
        <f t="shared" si="36"/>
        <v/>
      </c>
      <c r="D1101" t="str">
        <f t="shared" si="37"/>
        <v xml:space="preserve">. </v>
      </c>
      <c r="E1101" s="5" t="str">
        <f t="shared" si="38"/>
        <v/>
      </c>
      <c r="F1101" t="str">
        <f>IFERROR(VLOOKUP(Table1[[#This Row],[Tên đối tượng]],'DANH MỤC ĐỐI TƯỢNG'!A:E,5,0),"")</f>
        <v/>
      </c>
      <c r="G1101" t="str">
        <f>_xlfn.IFNA(VLOOKUP(Table1[[#This Row],[Tên đối tượng]],'DANH MỤC ĐỐI TƯỢNG'!A:F,6,0),"")</f>
        <v/>
      </c>
      <c r="H1101" t="str">
        <f>_xlfn.IFNA(VLOOKUP(Table1[[#This Row],[Tên đối tượng]],'DANH MỤC ĐỐI TƯỢNG'!A:I,9,0),"")</f>
        <v/>
      </c>
      <c r="I1101" t="str">
        <f>_xlfn.IFNA(VLOOKUP(Table1[[#This Row],[Tên đối tượng]],'DANH MỤC ĐỐI TƯỢNG'!A:J,10,0),"")</f>
        <v/>
      </c>
    </row>
    <row r="1102" spans="1:9" x14ac:dyDescent="0.3">
      <c r="A1102" t="str">
        <f t="shared" si="36"/>
        <v/>
      </c>
      <c r="D1102" t="str">
        <f t="shared" si="37"/>
        <v xml:space="preserve">. </v>
      </c>
      <c r="E1102" s="5" t="str">
        <f t="shared" si="38"/>
        <v/>
      </c>
      <c r="F1102" t="str">
        <f>IFERROR(VLOOKUP(Table1[[#This Row],[Tên đối tượng]],'DANH MỤC ĐỐI TƯỢNG'!A:E,5,0),"")</f>
        <v/>
      </c>
      <c r="G1102" t="str">
        <f>_xlfn.IFNA(VLOOKUP(Table1[[#This Row],[Tên đối tượng]],'DANH MỤC ĐỐI TƯỢNG'!A:F,6,0),"")</f>
        <v/>
      </c>
      <c r="H1102" t="str">
        <f>_xlfn.IFNA(VLOOKUP(Table1[[#This Row],[Tên đối tượng]],'DANH MỤC ĐỐI TƯỢNG'!A:I,9,0),"")</f>
        <v/>
      </c>
      <c r="I1102" t="str">
        <f>_xlfn.IFNA(VLOOKUP(Table1[[#This Row],[Tên đối tượng]],'DANH MỤC ĐỐI TƯỢNG'!A:J,10,0),"")</f>
        <v/>
      </c>
    </row>
    <row r="1103" spans="1:9" x14ac:dyDescent="0.3">
      <c r="A1103" t="str">
        <f t="shared" si="36"/>
        <v/>
      </c>
      <c r="D1103" t="str">
        <f t="shared" si="37"/>
        <v xml:space="preserve">. </v>
      </c>
      <c r="E1103" s="5" t="str">
        <f t="shared" si="38"/>
        <v/>
      </c>
      <c r="F1103" t="str">
        <f>IFERROR(VLOOKUP(Table1[[#This Row],[Tên đối tượng]],'DANH MỤC ĐỐI TƯỢNG'!A:E,5,0),"")</f>
        <v/>
      </c>
      <c r="G1103" t="str">
        <f>_xlfn.IFNA(VLOOKUP(Table1[[#This Row],[Tên đối tượng]],'DANH MỤC ĐỐI TƯỢNG'!A:F,6,0),"")</f>
        <v/>
      </c>
      <c r="H1103" t="str">
        <f>_xlfn.IFNA(VLOOKUP(Table1[[#This Row],[Tên đối tượng]],'DANH MỤC ĐỐI TƯỢNG'!A:I,9,0),"")</f>
        <v/>
      </c>
      <c r="I1103" t="str">
        <f>_xlfn.IFNA(VLOOKUP(Table1[[#This Row],[Tên đối tượng]],'DANH MỤC ĐỐI TƯỢNG'!A:J,10,0),"")</f>
        <v/>
      </c>
    </row>
    <row r="1104" spans="1:9" x14ac:dyDescent="0.3">
      <c r="A1104" t="str">
        <f t="shared" si="36"/>
        <v/>
      </c>
      <c r="D1104" t="str">
        <f t="shared" si="37"/>
        <v xml:space="preserve">. </v>
      </c>
      <c r="E1104" s="5" t="str">
        <f t="shared" si="38"/>
        <v/>
      </c>
      <c r="F1104" t="str">
        <f>IFERROR(VLOOKUP(Table1[[#This Row],[Tên đối tượng]],'DANH MỤC ĐỐI TƯỢNG'!A:E,5,0),"")</f>
        <v/>
      </c>
      <c r="G1104" t="str">
        <f>_xlfn.IFNA(VLOOKUP(Table1[[#This Row],[Tên đối tượng]],'DANH MỤC ĐỐI TƯỢNG'!A:F,6,0),"")</f>
        <v/>
      </c>
      <c r="H1104" t="str">
        <f>_xlfn.IFNA(VLOOKUP(Table1[[#This Row],[Tên đối tượng]],'DANH MỤC ĐỐI TƯỢNG'!A:I,9,0),"")</f>
        <v/>
      </c>
      <c r="I1104" t="str">
        <f>_xlfn.IFNA(VLOOKUP(Table1[[#This Row],[Tên đối tượng]],'DANH MỤC ĐỐI TƯỢNG'!A:J,10,0),"")</f>
        <v/>
      </c>
    </row>
    <row r="1105" spans="1:9" x14ac:dyDescent="0.3">
      <c r="A1105" t="str">
        <f t="shared" si="36"/>
        <v/>
      </c>
      <c r="D1105" t="str">
        <f t="shared" si="37"/>
        <v xml:space="preserve">. </v>
      </c>
      <c r="E1105" s="5" t="str">
        <f t="shared" si="38"/>
        <v/>
      </c>
      <c r="F1105" t="str">
        <f>IFERROR(VLOOKUP(Table1[[#This Row],[Tên đối tượng]],'DANH MỤC ĐỐI TƯỢNG'!A:E,5,0),"")</f>
        <v/>
      </c>
      <c r="G1105" t="str">
        <f>_xlfn.IFNA(VLOOKUP(Table1[[#This Row],[Tên đối tượng]],'DANH MỤC ĐỐI TƯỢNG'!A:F,6,0),"")</f>
        <v/>
      </c>
      <c r="H1105" t="str">
        <f>_xlfn.IFNA(VLOOKUP(Table1[[#This Row],[Tên đối tượng]],'DANH MỤC ĐỐI TƯỢNG'!A:I,9,0),"")</f>
        <v/>
      </c>
      <c r="I1105" t="str">
        <f>_xlfn.IFNA(VLOOKUP(Table1[[#This Row],[Tên đối tượng]],'DANH MỤC ĐỐI TƯỢNG'!A:J,10,0),"")</f>
        <v/>
      </c>
    </row>
    <row r="1106" spans="1:9" x14ac:dyDescent="0.3">
      <c r="A1106" t="str">
        <f t="shared" si="36"/>
        <v/>
      </c>
      <c r="D1106" t="str">
        <f t="shared" si="37"/>
        <v xml:space="preserve">. </v>
      </c>
      <c r="E1106" s="5" t="str">
        <f t="shared" si="38"/>
        <v/>
      </c>
      <c r="F1106" t="str">
        <f>IFERROR(VLOOKUP(Table1[[#This Row],[Tên đối tượng]],'DANH MỤC ĐỐI TƯỢNG'!A:E,5,0),"")</f>
        <v/>
      </c>
      <c r="G1106" t="str">
        <f>_xlfn.IFNA(VLOOKUP(Table1[[#This Row],[Tên đối tượng]],'DANH MỤC ĐỐI TƯỢNG'!A:F,6,0),"")</f>
        <v/>
      </c>
      <c r="H1106" t="str">
        <f>_xlfn.IFNA(VLOOKUP(Table1[[#This Row],[Tên đối tượng]],'DANH MỤC ĐỐI TƯỢNG'!A:I,9,0),"")</f>
        <v/>
      </c>
      <c r="I1106" t="str">
        <f>_xlfn.IFNA(VLOOKUP(Table1[[#This Row],[Tên đối tượng]],'DANH MỤC ĐỐI TƯỢNG'!A:J,10,0),"")</f>
        <v/>
      </c>
    </row>
    <row r="1107" spans="1:9" x14ac:dyDescent="0.3">
      <c r="A1107" t="str">
        <f t="shared" si="36"/>
        <v/>
      </c>
      <c r="D1107" t="str">
        <f t="shared" si="37"/>
        <v xml:space="preserve">. </v>
      </c>
      <c r="E1107" s="5" t="str">
        <f t="shared" si="38"/>
        <v/>
      </c>
      <c r="F1107" t="str">
        <f>IFERROR(VLOOKUP(Table1[[#This Row],[Tên đối tượng]],'DANH MỤC ĐỐI TƯỢNG'!A:E,5,0),"")</f>
        <v/>
      </c>
      <c r="G1107" t="str">
        <f>_xlfn.IFNA(VLOOKUP(Table1[[#This Row],[Tên đối tượng]],'DANH MỤC ĐỐI TƯỢNG'!A:F,6,0),"")</f>
        <v/>
      </c>
      <c r="H1107" t="str">
        <f>_xlfn.IFNA(VLOOKUP(Table1[[#This Row],[Tên đối tượng]],'DANH MỤC ĐỐI TƯỢNG'!A:I,9,0),"")</f>
        <v/>
      </c>
      <c r="I1107" t="str">
        <f>_xlfn.IFNA(VLOOKUP(Table1[[#This Row],[Tên đối tượng]],'DANH MỤC ĐỐI TƯỢNG'!A:J,10,0),"")</f>
        <v/>
      </c>
    </row>
    <row r="1108" spans="1:9" x14ac:dyDescent="0.3">
      <c r="A1108" t="str">
        <f t="shared" si="36"/>
        <v/>
      </c>
      <c r="D1108" t="str">
        <f t="shared" si="37"/>
        <v xml:space="preserve">. </v>
      </c>
      <c r="E1108" s="5" t="str">
        <f t="shared" si="38"/>
        <v/>
      </c>
      <c r="F1108" t="str">
        <f>IFERROR(VLOOKUP(Table1[[#This Row],[Tên đối tượng]],'DANH MỤC ĐỐI TƯỢNG'!A:E,5,0),"")</f>
        <v/>
      </c>
      <c r="G1108" t="str">
        <f>_xlfn.IFNA(VLOOKUP(Table1[[#This Row],[Tên đối tượng]],'DANH MỤC ĐỐI TƯỢNG'!A:F,6,0),"")</f>
        <v/>
      </c>
      <c r="H1108" t="str">
        <f>_xlfn.IFNA(VLOOKUP(Table1[[#This Row],[Tên đối tượng]],'DANH MỤC ĐỐI TƯỢNG'!A:I,9,0),"")</f>
        <v/>
      </c>
      <c r="I1108" t="str">
        <f>_xlfn.IFNA(VLOOKUP(Table1[[#This Row],[Tên đối tượng]],'DANH MỤC ĐỐI TƯỢNG'!A:J,10,0),"")</f>
        <v/>
      </c>
    </row>
    <row r="1109" spans="1:9" x14ac:dyDescent="0.3">
      <c r="A1109" t="str">
        <f t="shared" si="36"/>
        <v/>
      </c>
      <c r="D1109" t="str">
        <f t="shared" si="37"/>
        <v xml:space="preserve">. </v>
      </c>
      <c r="E1109" s="5" t="str">
        <f t="shared" si="38"/>
        <v/>
      </c>
      <c r="F1109" t="str">
        <f>IFERROR(VLOOKUP(Table1[[#This Row],[Tên đối tượng]],'DANH MỤC ĐỐI TƯỢNG'!A:E,5,0),"")</f>
        <v/>
      </c>
      <c r="G1109" t="str">
        <f>_xlfn.IFNA(VLOOKUP(Table1[[#This Row],[Tên đối tượng]],'DANH MỤC ĐỐI TƯỢNG'!A:F,6,0),"")</f>
        <v/>
      </c>
      <c r="H1109" t="str">
        <f>_xlfn.IFNA(VLOOKUP(Table1[[#This Row],[Tên đối tượng]],'DANH MỤC ĐỐI TƯỢNG'!A:I,9,0),"")</f>
        <v/>
      </c>
      <c r="I1109" t="str">
        <f>_xlfn.IFNA(VLOOKUP(Table1[[#This Row],[Tên đối tượng]],'DANH MỤC ĐỐI TƯỢNG'!A:J,10,0),"")</f>
        <v/>
      </c>
    </row>
    <row r="1110" spans="1:9" x14ac:dyDescent="0.3">
      <c r="A1110" t="str">
        <f t="shared" si="36"/>
        <v/>
      </c>
      <c r="D1110" t="str">
        <f t="shared" si="37"/>
        <v xml:space="preserve">. </v>
      </c>
      <c r="E1110" s="5" t="str">
        <f t="shared" si="38"/>
        <v/>
      </c>
      <c r="F1110" t="str">
        <f>IFERROR(VLOOKUP(Table1[[#This Row],[Tên đối tượng]],'DANH MỤC ĐỐI TƯỢNG'!A:E,5,0),"")</f>
        <v/>
      </c>
      <c r="G1110" t="str">
        <f>_xlfn.IFNA(VLOOKUP(Table1[[#This Row],[Tên đối tượng]],'DANH MỤC ĐỐI TƯỢNG'!A:F,6,0),"")</f>
        <v/>
      </c>
      <c r="H1110" t="str">
        <f>_xlfn.IFNA(VLOOKUP(Table1[[#This Row],[Tên đối tượng]],'DANH MỤC ĐỐI TƯỢNG'!A:I,9,0),"")</f>
        <v/>
      </c>
      <c r="I1110" t="str">
        <f>_xlfn.IFNA(VLOOKUP(Table1[[#This Row],[Tên đối tượng]],'DANH MỤC ĐỐI TƯỢNG'!A:J,10,0),"")</f>
        <v/>
      </c>
    </row>
    <row r="1111" spans="1:9" x14ac:dyDescent="0.3">
      <c r="A1111" t="str">
        <f t="shared" si="36"/>
        <v/>
      </c>
      <c r="D1111" t="str">
        <f t="shared" si="37"/>
        <v xml:space="preserve">. </v>
      </c>
      <c r="E1111" s="5" t="str">
        <f t="shared" si="38"/>
        <v/>
      </c>
      <c r="F1111" t="str">
        <f>IFERROR(VLOOKUP(Table1[[#This Row],[Tên đối tượng]],'DANH MỤC ĐỐI TƯỢNG'!A:E,5,0),"")</f>
        <v/>
      </c>
      <c r="G1111" t="str">
        <f>_xlfn.IFNA(VLOOKUP(Table1[[#This Row],[Tên đối tượng]],'DANH MỤC ĐỐI TƯỢNG'!A:F,6,0),"")</f>
        <v/>
      </c>
      <c r="H1111" t="str">
        <f>_xlfn.IFNA(VLOOKUP(Table1[[#This Row],[Tên đối tượng]],'DANH MỤC ĐỐI TƯỢNG'!A:I,9,0),"")</f>
        <v/>
      </c>
      <c r="I1111" t="str">
        <f>_xlfn.IFNA(VLOOKUP(Table1[[#This Row],[Tên đối tượng]],'DANH MỤC ĐỐI TƯỢNG'!A:J,10,0),"")</f>
        <v/>
      </c>
    </row>
    <row r="1112" spans="1:9" x14ac:dyDescent="0.3">
      <c r="A1112" t="str">
        <f t="shared" si="36"/>
        <v/>
      </c>
      <c r="D1112" t="str">
        <f t="shared" si="37"/>
        <v xml:space="preserve">. </v>
      </c>
      <c r="E1112" s="5" t="str">
        <f t="shared" si="38"/>
        <v/>
      </c>
      <c r="F1112" t="str">
        <f>IFERROR(VLOOKUP(Table1[[#This Row],[Tên đối tượng]],'DANH MỤC ĐỐI TƯỢNG'!A:E,5,0),"")</f>
        <v/>
      </c>
      <c r="G1112" t="str">
        <f>_xlfn.IFNA(VLOOKUP(Table1[[#This Row],[Tên đối tượng]],'DANH MỤC ĐỐI TƯỢNG'!A:F,6,0),"")</f>
        <v/>
      </c>
      <c r="H1112" t="str">
        <f>_xlfn.IFNA(VLOOKUP(Table1[[#This Row],[Tên đối tượng]],'DANH MỤC ĐỐI TƯỢNG'!A:I,9,0),"")</f>
        <v/>
      </c>
      <c r="I1112" t="str">
        <f>_xlfn.IFNA(VLOOKUP(Table1[[#This Row],[Tên đối tượng]],'DANH MỤC ĐỐI TƯỢNG'!A:J,10,0),"")</f>
        <v/>
      </c>
    </row>
    <row r="1113" spans="1:9" x14ac:dyDescent="0.3">
      <c r="A1113" t="str">
        <f t="shared" si="36"/>
        <v/>
      </c>
      <c r="D1113" t="str">
        <f t="shared" si="37"/>
        <v xml:space="preserve">. </v>
      </c>
      <c r="E1113" s="5" t="str">
        <f t="shared" si="38"/>
        <v/>
      </c>
      <c r="F1113" t="str">
        <f>IFERROR(VLOOKUP(Table1[[#This Row],[Tên đối tượng]],'DANH MỤC ĐỐI TƯỢNG'!A:E,5,0),"")</f>
        <v/>
      </c>
      <c r="G1113" t="str">
        <f>_xlfn.IFNA(VLOOKUP(Table1[[#This Row],[Tên đối tượng]],'DANH MỤC ĐỐI TƯỢNG'!A:F,6,0),"")</f>
        <v/>
      </c>
      <c r="H1113" t="str">
        <f>_xlfn.IFNA(VLOOKUP(Table1[[#This Row],[Tên đối tượng]],'DANH MỤC ĐỐI TƯỢNG'!A:I,9,0),"")</f>
        <v/>
      </c>
      <c r="I1113" t="str">
        <f>_xlfn.IFNA(VLOOKUP(Table1[[#This Row],[Tên đối tượng]],'DANH MỤC ĐỐI TƯỢNG'!A:J,10,0),"")</f>
        <v/>
      </c>
    </row>
    <row r="1114" spans="1:9" x14ac:dyDescent="0.3">
      <c r="A1114" t="str">
        <f t="shared" si="36"/>
        <v/>
      </c>
      <c r="D1114" t="str">
        <f t="shared" si="37"/>
        <v xml:space="preserve">. </v>
      </c>
      <c r="E1114" s="5" t="str">
        <f t="shared" si="38"/>
        <v/>
      </c>
      <c r="F1114" t="str">
        <f>IFERROR(VLOOKUP(Table1[[#This Row],[Tên đối tượng]],'DANH MỤC ĐỐI TƯỢNG'!A:E,5,0),"")</f>
        <v/>
      </c>
      <c r="G1114" t="str">
        <f>_xlfn.IFNA(VLOOKUP(Table1[[#This Row],[Tên đối tượng]],'DANH MỤC ĐỐI TƯỢNG'!A:F,6,0),"")</f>
        <v/>
      </c>
      <c r="H1114" t="str">
        <f>_xlfn.IFNA(VLOOKUP(Table1[[#This Row],[Tên đối tượng]],'DANH MỤC ĐỐI TƯỢNG'!A:I,9,0),"")</f>
        <v/>
      </c>
      <c r="I1114" t="str">
        <f>_xlfn.IFNA(VLOOKUP(Table1[[#This Row],[Tên đối tượng]],'DANH MỤC ĐỐI TƯỢNG'!A:J,10,0),"")</f>
        <v/>
      </c>
    </row>
    <row r="1115" spans="1:9" x14ac:dyDescent="0.3">
      <c r="A1115" t="str">
        <f t="shared" si="36"/>
        <v/>
      </c>
      <c r="D1115" t="str">
        <f t="shared" si="37"/>
        <v xml:space="preserve">. </v>
      </c>
      <c r="E1115" s="5" t="str">
        <f t="shared" si="38"/>
        <v/>
      </c>
      <c r="F1115" t="str">
        <f>IFERROR(VLOOKUP(Table1[[#This Row],[Tên đối tượng]],'DANH MỤC ĐỐI TƯỢNG'!A:E,5,0),"")</f>
        <v/>
      </c>
      <c r="G1115" t="str">
        <f>_xlfn.IFNA(VLOOKUP(Table1[[#This Row],[Tên đối tượng]],'DANH MỤC ĐỐI TƯỢNG'!A:F,6,0),"")</f>
        <v/>
      </c>
      <c r="H1115" t="str">
        <f>_xlfn.IFNA(VLOOKUP(Table1[[#This Row],[Tên đối tượng]],'DANH MỤC ĐỐI TƯỢNG'!A:I,9,0),"")</f>
        <v/>
      </c>
      <c r="I1115" t="str">
        <f>_xlfn.IFNA(VLOOKUP(Table1[[#This Row],[Tên đối tượng]],'DANH MỤC ĐỐI TƯỢNG'!A:J,10,0),"")</f>
        <v/>
      </c>
    </row>
    <row r="1116" spans="1:9" x14ac:dyDescent="0.3">
      <c r="A1116" t="str">
        <f t="shared" si="36"/>
        <v/>
      </c>
      <c r="D1116" t="str">
        <f t="shared" si="37"/>
        <v xml:space="preserve">. </v>
      </c>
      <c r="E1116" s="5" t="str">
        <f t="shared" si="38"/>
        <v/>
      </c>
      <c r="F1116" t="str">
        <f>IFERROR(VLOOKUP(Table1[[#This Row],[Tên đối tượng]],'DANH MỤC ĐỐI TƯỢNG'!A:E,5,0),"")</f>
        <v/>
      </c>
      <c r="G1116" t="str">
        <f>_xlfn.IFNA(VLOOKUP(Table1[[#This Row],[Tên đối tượng]],'DANH MỤC ĐỐI TƯỢNG'!A:F,6,0),"")</f>
        <v/>
      </c>
      <c r="H1116" t="str">
        <f>_xlfn.IFNA(VLOOKUP(Table1[[#This Row],[Tên đối tượng]],'DANH MỤC ĐỐI TƯỢNG'!A:I,9,0),"")</f>
        <v/>
      </c>
      <c r="I1116" t="str">
        <f>_xlfn.IFNA(VLOOKUP(Table1[[#This Row],[Tên đối tượng]],'DANH MỤC ĐỐI TƯỢNG'!A:J,10,0),"")</f>
        <v/>
      </c>
    </row>
    <row r="1117" spans="1:9" x14ac:dyDescent="0.3">
      <c r="A1117" t="str">
        <f t="shared" si="36"/>
        <v/>
      </c>
      <c r="D1117" t="str">
        <f t="shared" si="37"/>
        <v xml:space="preserve">. </v>
      </c>
      <c r="E1117" s="5" t="str">
        <f t="shared" si="38"/>
        <v/>
      </c>
      <c r="F1117" t="str">
        <f>IFERROR(VLOOKUP(Table1[[#This Row],[Tên đối tượng]],'DANH MỤC ĐỐI TƯỢNG'!A:E,5,0),"")</f>
        <v/>
      </c>
      <c r="G1117" t="str">
        <f>_xlfn.IFNA(VLOOKUP(Table1[[#This Row],[Tên đối tượng]],'DANH MỤC ĐỐI TƯỢNG'!A:F,6,0),"")</f>
        <v/>
      </c>
      <c r="H1117" t="str">
        <f>_xlfn.IFNA(VLOOKUP(Table1[[#This Row],[Tên đối tượng]],'DANH MỤC ĐỐI TƯỢNG'!A:I,9,0),"")</f>
        <v/>
      </c>
      <c r="I1117" t="str">
        <f>_xlfn.IFNA(VLOOKUP(Table1[[#This Row],[Tên đối tượng]],'DANH MỤC ĐỐI TƯỢNG'!A:J,10,0),"")</f>
        <v/>
      </c>
    </row>
    <row r="1118" spans="1:9" x14ac:dyDescent="0.3">
      <c r="A1118" t="str">
        <f t="shared" si="36"/>
        <v/>
      </c>
      <c r="D1118" t="str">
        <f t="shared" si="37"/>
        <v xml:space="preserve">. </v>
      </c>
      <c r="E1118" s="5" t="str">
        <f t="shared" si="38"/>
        <v/>
      </c>
      <c r="F1118" t="str">
        <f>IFERROR(VLOOKUP(Table1[[#This Row],[Tên đối tượng]],'DANH MỤC ĐỐI TƯỢNG'!A:E,5,0),"")</f>
        <v/>
      </c>
      <c r="G1118" t="str">
        <f>_xlfn.IFNA(VLOOKUP(Table1[[#This Row],[Tên đối tượng]],'DANH MỤC ĐỐI TƯỢNG'!A:F,6,0),"")</f>
        <v/>
      </c>
      <c r="H1118" t="str">
        <f>_xlfn.IFNA(VLOOKUP(Table1[[#This Row],[Tên đối tượng]],'DANH MỤC ĐỐI TƯỢNG'!A:I,9,0),"")</f>
        <v/>
      </c>
      <c r="I1118" t="str">
        <f>_xlfn.IFNA(VLOOKUP(Table1[[#This Row],[Tên đối tượng]],'DANH MỤC ĐỐI TƯỢNG'!A:J,10,0),"")</f>
        <v/>
      </c>
    </row>
    <row r="1119" spans="1:9" x14ac:dyDescent="0.3">
      <c r="A1119" t="str">
        <f t="shared" si="36"/>
        <v/>
      </c>
      <c r="D1119" t="str">
        <f t="shared" si="37"/>
        <v xml:space="preserve">. </v>
      </c>
      <c r="E1119" s="5" t="str">
        <f t="shared" si="38"/>
        <v/>
      </c>
      <c r="F1119" t="str">
        <f>IFERROR(VLOOKUP(Table1[[#This Row],[Tên đối tượng]],'DANH MỤC ĐỐI TƯỢNG'!A:E,5,0),"")</f>
        <v/>
      </c>
      <c r="G1119" t="str">
        <f>_xlfn.IFNA(VLOOKUP(Table1[[#This Row],[Tên đối tượng]],'DANH MỤC ĐỐI TƯỢNG'!A:F,6,0),"")</f>
        <v/>
      </c>
      <c r="H1119" t="str">
        <f>_xlfn.IFNA(VLOOKUP(Table1[[#This Row],[Tên đối tượng]],'DANH MỤC ĐỐI TƯỢNG'!A:I,9,0),"")</f>
        <v/>
      </c>
      <c r="I1119" t="str">
        <f>_xlfn.IFNA(VLOOKUP(Table1[[#This Row],[Tên đối tượng]],'DANH MỤC ĐỐI TƯỢNG'!A:J,10,0),"")</f>
        <v/>
      </c>
    </row>
    <row r="1120" spans="1:9" x14ac:dyDescent="0.3">
      <c r="A1120" t="str">
        <f t="shared" si="36"/>
        <v/>
      </c>
      <c r="D1120" t="str">
        <f t="shared" si="37"/>
        <v xml:space="preserve">. </v>
      </c>
      <c r="E1120" s="5" t="str">
        <f t="shared" si="38"/>
        <v/>
      </c>
      <c r="F1120" t="str">
        <f>IFERROR(VLOOKUP(Table1[[#This Row],[Tên đối tượng]],'DANH MỤC ĐỐI TƯỢNG'!A:E,5,0),"")</f>
        <v/>
      </c>
      <c r="G1120" t="str">
        <f>_xlfn.IFNA(VLOOKUP(Table1[[#This Row],[Tên đối tượng]],'DANH MỤC ĐỐI TƯỢNG'!A:F,6,0),"")</f>
        <v/>
      </c>
      <c r="H1120" t="str">
        <f>_xlfn.IFNA(VLOOKUP(Table1[[#This Row],[Tên đối tượng]],'DANH MỤC ĐỐI TƯỢNG'!A:I,9,0),"")</f>
        <v/>
      </c>
      <c r="I1120" t="str">
        <f>_xlfn.IFNA(VLOOKUP(Table1[[#This Row],[Tên đối tượng]],'DANH MỤC ĐỐI TƯỢNG'!A:J,10,0),"")</f>
        <v/>
      </c>
    </row>
    <row r="1121" spans="1:9" x14ac:dyDescent="0.3">
      <c r="A1121" t="str">
        <f t="shared" si="36"/>
        <v/>
      </c>
      <c r="D1121" t="str">
        <f t="shared" si="37"/>
        <v xml:space="preserve">. </v>
      </c>
      <c r="E1121" s="5" t="str">
        <f t="shared" si="38"/>
        <v/>
      </c>
      <c r="F1121" t="str">
        <f>IFERROR(VLOOKUP(Table1[[#This Row],[Tên đối tượng]],'DANH MỤC ĐỐI TƯỢNG'!A:E,5,0),"")</f>
        <v/>
      </c>
      <c r="G1121" t="str">
        <f>_xlfn.IFNA(VLOOKUP(Table1[[#This Row],[Tên đối tượng]],'DANH MỤC ĐỐI TƯỢNG'!A:F,6,0),"")</f>
        <v/>
      </c>
      <c r="H1121" t="str">
        <f>_xlfn.IFNA(VLOOKUP(Table1[[#This Row],[Tên đối tượng]],'DANH MỤC ĐỐI TƯỢNG'!A:I,9,0),"")</f>
        <v/>
      </c>
      <c r="I1121" t="str">
        <f>_xlfn.IFNA(VLOOKUP(Table1[[#This Row],[Tên đối tượng]],'DANH MỤC ĐỐI TƯỢNG'!A:J,10,0),"")</f>
        <v/>
      </c>
    </row>
    <row r="1122" spans="1:9" x14ac:dyDescent="0.3">
      <c r="A1122" t="str">
        <f t="shared" si="36"/>
        <v/>
      </c>
      <c r="D1122" t="str">
        <f t="shared" si="37"/>
        <v xml:space="preserve">. </v>
      </c>
      <c r="E1122" s="5" t="str">
        <f t="shared" si="38"/>
        <v/>
      </c>
      <c r="F1122" t="str">
        <f>IFERROR(VLOOKUP(Table1[[#This Row],[Tên đối tượng]],'DANH MỤC ĐỐI TƯỢNG'!A:E,5,0),"")</f>
        <v/>
      </c>
      <c r="G1122" t="str">
        <f>_xlfn.IFNA(VLOOKUP(Table1[[#This Row],[Tên đối tượng]],'DANH MỤC ĐỐI TƯỢNG'!A:F,6,0),"")</f>
        <v/>
      </c>
      <c r="H1122" t="str">
        <f>_xlfn.IFNA(VLOOKUP(Table1[[#This Row],[Tên đối tượng]],'DANH MỤC ĐỐI TƯỢNG'!A:I,9,0),"")</f>
        <v/>
      </c>
      <c r="I1122" t="str">
        <f>_xlfn.IFNA(VLOOKUP(Table1[[#This Row],[Tên đối tượng]],'DANH MỤC ĐỐI TƯỢNG'!A:J,10,0),"")</f>
        <v/>
      </c>
    </row>
    <row r="1123" spans="1:9" x14ac:dyDescent="0.3">
      <c r="A1123" t="str">
        <f t="shared" si="36"/>
        <v/>
      </c>
      <c r="D1123" t="str">
        <f t="shared" si="37"/>
        <v xml:space="preserve">. </v>
      </c>
      <c r="E1123" s="5" t="str">
        <f t="shared" si="38"/>
        <v/>
      </c>
      <c r="F1123" t="str">
        <f>IFERROR(VLOOKUP(Table1[[#This Row],[Tên đối tượng]],'DANH MỤC ĐỐI TƯỢNG'!A:E,5,0),"")</f>
        <v/>
      </c>
      <c r="G1123" t="str">
        <f>_xlfn.IFNA(VLOOKUP(Table1[[#This Row],[Tên đối tượng]],'DANH MỤC ĐỐI TƯỢNG'!A:F,6,0),"")</f>
        <v/>
      </c>
      <c r="H1123" t="str">
        <f>_xlfn.IFNA(VLOOKUP(Table1[[#This Row],[Tên đối tượng]],'DANH MỤC ĐỐI TƯỢNG'!A:I,9,0),"")</f>
        <v/>
      </c>
      <c r="I1123" t="str">
        <f>_xlfn.IFNA(VLOOKUP(Table1[[#This Row],[Tên đối tượng]],'DANH MỤC ĐỐI TƯỢNG'!A:J,10,0),"")</f>
        <v/>
      </c>
    </row>
    <row r="1124" spans="1:9" x14ac:dyDescent="0.3">
      <c r="A1124" t="str">
        <f t="shared" si="36"/>
        <v/>
      </c>
      <c r="D1124" t="str">
        <f t="shared" si="37"/>
        <v xml:space="preserve">. </v>
      </c>
      <c r="E1124" s="5" t="str">
        <f t="shared" si="38"/>
        <v/>
      </c>
      <c r="F1124" t="str">
        <f>IFERROR(VLOOKUP(Table1[[#This Row],[Tên đối tượng]],'DANH MỤC ĐỐI TƯỢNG'!A:E,5,0),"")</f>
        <v/>
      </c>
      <c r="G1124" t="str">
        <f>_xlfn.IFNA(VLOOKUP(Table1[[#This Row],[Tên đối tượng]],'DANH MỤC ĐỐI TƯỢNG'!A:F,6,0),"")</f>
        <v/>
      </c>
      <c r="H1124" t="str">
        <f>_xlfn.IFNA(VLOOKUP(Table1[[#This Row],[Tên đối tượng]],'DANH MỤC ĐỐI TƯỢNG'!A:I,9,0),"")</f>
        <v/>
      </c>
      <c r="I1124" t="str">
        <f>_xlfn.IFNA(VLOOKUP(Table1[[#This Row],[Tên đối tượng]],'DANH MỤC ĐỐI TƯỢNG'!A:J,10,0),"")</f>
        <v/>
      </c>
    </row>
    <row r="1125" spans="1:9" x14ac:dyDescent="0.3">
      <c r="A1125" t="str">
        <f t="shared" si="36"/>
        <v/>
      </c>
      <c r="D1125" t="str">
        <f t="shared" si="37"/>
        <v xml:space="preserve">. </v>
      </c>
      <c r="E1125" s="5" t="str">
        <f t="shared" si="38"/>
        <v/>
      </c>
      <c r="F1125" t="str">
        <f>IFERROR(VLOOKUP(Table1[[#This Row],[Tên đối tượng]],'DANH MỤC ĐỐI TƯỢNG'!A:E,5,0),"")</f>
        <v/>
      </c>
      <c r="G1125" t="str">
        <f>_xlfn.IFNA(VLOOKUP(Table1[[#This Row],[Tên đối tượng]],'DANH MỤC ĐỐI TƯỢNG'!A:F,6,0),"")</f>
        <v/>
      </c>
      <c r="H1125" t="str">
        <f>_xlfn.IFNA(VLOOKUP(Table1[[#This Row],[Tên đối tượng]],'DANH MỤC ĐỐI TƯỢNG'!A:I,9,0),"")</f>
        <v/>
      </c>
      <c r="I1125" t="str">
        <f>_xlfn.IFNA(VLOOKUP(Table1[[#This Row],[Tên đối tượng]],'DANH MỤC ĐỐI TƯỢNG'!A:J,10,0),"")</f>
        <v/>
      </c>
    </row>
    <row r="1126" spans="1:9" x14ac:dyDescent="0.3">
      <c r="A1126" t="str">
        <f t="shared" si="36"/>
        <v/>
      </c>
      <c r="D1126" t="str">
        <f t="shared" si="37"/>
        <v xml:space="preserve">. </v>
      </c>
      <c r="E1126" s="5" t="str">
        <f t="shared" si="38"/>
        <v/>
      </c>
      <c r="F1126" t="str">
        <f>IFERROR(VLOOKUP(Table1[[#This Row],[Tên đối tượng]],'DANH MỤC ĐỐI TƯỢNG'!A:E,5,0),"")</f>
        <v/>
      </c>
      <c r="G1126" t="str">
        <f>_xlfn.IFNA(VLOOKUP(Table1[[#This Row],[Tên đối tượng]],'DANH MỤC ĐỐI TƯỢNG'!A:F,6,0),"")</f>
        <v/>
      </c>
      <c r="H1126" t="str">
        <f>_xlfn.IFNA(VLOOKUP(Table1[[#This Row],[Tên đối tượng]],'DANH MỤC ĐỐI TƯỢNG'!A:I,9,0),"")</f>
        <v/>
      </c>
      <c r="I1126" t="str">
        <f>_xlfn.IFNA(VLOOKUP(Table1[[#This Row],[Tên đối tượng]],'DANH MỤC ĐỐI TƯỢNG'!A:J,10,0),"")</f>
        <v/>
      </c>
    </row>
    <row r="1127" spans="1:9" x14ac:dyDescent="0.3">
      <c r="A1127" t="str">
        <f t="shared" si="36"/>
        <v/>
      </c>
      <c r="D1127" t="str">
        <f t="shared" si="37"/>
        <v xml:space="preserve">. </v>
      </c>
      <c r="E1127" s="5" t="str">
        <f t="shared" si="38"/>
        <v/>
      </c>
      <c r="F1127" t="str">
        <f>IFERROR(VLOOKUP(Table1[[#This Row],[Tên đối tượng]],'DANH MỤC ĐỐI TƯỢNG'!A:E,5,0),"")</f>
        <v/>
      </c>
      <c r="G1127" t="str">
        <f>_xlfn.IFNA(VLOOKUP(Table1[[#This Row],[Tên đối tượng]],'DANH MỤC ĐỐI TƯỢNG'!A:F,6,0),"")</f>
        <v/>
      </c>
      <c r="H1127" t="str">
        <f>_xlfn.IFNA(VLOOKUP(Table1[[#This Row],[Tên đối tượng]],'DANH MỤC ĐỐI TƯỢNG'!A:I,9,0),"")</f>
        <v/>
      </c>
      <c r="I1127" t="str">
        <f>_xlfn.IFNA(VLOOKUP(Table1[[#This Row],[Tên đối tượng]],'DANH MỤC ĐỐI TƯỢNG'!A:J,10,0),"")</f>
        <v/>
      </c>
    </row>
    <row r="1128" spans="1:9" x14ac:dyDescent="0.3">
      <c r="A1128" t="str">
        <f t="shared" si="36"/>
        <v/>
      </c>
      <c r="D1128" t="str">
        <f t="shared" si="37"/>
        <v xml:space="preserve">. </v>
      </c>
      <c r="E1128" s="5" t="str">
        <f t="shared" si="38"/>
        <v/>
      </c>
      <c r="F1128" t="str">
        <f>IFERROR(VLOOKUP(Table1[[#This Row],[Tên đối tượng]],'DANH MỤC ĐỐI TƯỢNG'!A:E,5,0),"")</f>
        <v/>
      </c>
      <c r="G1128" t="str">
        <f>_xlfn.IFNA(VLOOKUP(Table1[[#This Row],[Tên đối tượng]],'DANH MỤC ĐỐI TƯỢNG'!A:F,6,0),"")</f>
        <v/>
      </c>
      <c r="H1128" t="str">
        <f>_xlfn.IFNA(VLOOKUP(Table1[[#This Row],[Tên đối tượng]],'DANH MỤC ĐỐI TƯỢNG'!A:I,9,0),"")</f>
        <v/>
      </c>
      <c r="I1128" t="str">
        <f>_xlfn.IFNA(VLOOKUP(Table1[[#This Row],[Tên đối tượng]],'DANH MỤC ĐỐI TƯỢNG'!A:J,10,0),"")</f>
        <v/>
      </c>
    </row>
    <row r="1129" spans="1:9" x14ac:dyDescent="0.3">
      <c r="A1129" t="str">
        <f t="shared" si="36"/>
        <v/>
      </c>
      <c r="D1129" t="str">
        <f t="shared" si="37"/>
        <v xml:space="preserve">. </v>
      </c>
      <c r="E1129" s="5" t="str">
        <f t="shared" si="38"/>
        <v/>
      </c>
      <c r="F1129" t="str">
        <f>IFERROR(VLOOKUP(Table1[[#This Row],[Tên đối tượng]],'DANH MỤC ĐỐI TƯỢNG'!A:E,5,0),"")</f>
        <v/>
      </c>
      <c r="G1129" t="str">
        <f>_xlfn.IFNA(VLOOKUP(Table1[[#This Row],[Tên đối tượng]],'DANH MỤC ĐỐI TƯỢNG'!A:F,6,0),"")</f>
        <v/>
      </c>
      <c r="H1129" t="str">
        <f>_xlfn.IFNA(VLOOKUP(Table1[[#This Row],[Tên đối tượng]],'DANH MỤC ĐỐI TƯỢNG'!A:I,9,0),"")</f>
        <v/>
      </c>
      <c r="I1129" t="str">
        <f>_xlfn.IFNA(VLOOKUP(Table1[[#This Row],[Tên đối tượng]],'DANH MỤC ĐỐI TƯỢNG'!A:J,10,0),"")</f>
        <v/>
      </c>
    </row>
    <row r="1130" spans="1:9" x14ac:dyDescent="0.3">
      <c r="A1130" t="str">
        <f t="shared" si="36"/>
        <v/>
      </c>
      <c r="D1130" t="str">
        <f t="shared" si="37"/>
        <v xml:space="preserve">. </v>
      </c>
      <c r="E1130" s="5" t="str">
        <f t="shared" si="38"/>
        <v/>
      </c>
      <c r="F1130" t="str">
        <f>IFERROR(VLOOKUP(Table1[[#This Row],[Tên đối tượng]],'DANH MỤC ĐỐI TƯỢNG'!A:E,5,0),"")</f>
        <v/>
      </c>
      <c r="G1130" t="str">
        <f>_xlfn.IFNA(VLOOKUP(Table1[[#This Row],[Tên đối tượng]],'DANH MỤC ĐỐI TƯỢNG'!A:F,6,0),"")</f>
        <v/>
      </c>
      <c r="H1130" t="str">
        <f>_xlfn.IFNA(VLOOKUP(Table1[[#This Row],[Tên đối tượng]],'DANH MỤC ĐỐI TƯỢNG'!A:I,9,0),"")</f>
        <v/>
      </c>
      <c r="I1130" t="str">
        <f>_xlfn.IFNA(VLOOKUP(Table1[[#This Row],[Tên đối tượng]],'DANH MỤC ĐỐI TƯỢNG'!A:J,10,0),"")</f>
        <v/>
      </c>
    </row>
    <row r="1131" spans="1:9" x14ac:dyDescent="0.3">
      <c r="A1131" t="str">
        <f t="shared" si="36"/>
        <v/>
      </c>
      <c r="D1131" t="str">
        <f t="shared" si="37"/>
        <v xml:space="preserve">. </v>
      </c>
      <c r="E1131" s="5" t="str">
        <f t="shared" si="38"/>
        <v/>
      </c>
      <c r="F1131" t="str">
        <f>IFERROR(VLOOKUP(Table1[[#This Row],[Tên đối tượng]],'DANH MỤC ĐỐI TƯỢNG'!A:E,5,0),"")</f>
        <v/>
      </c>
      <c r="G1131" t="str">
        <f>_xlfn.IFNA(VLOOKUP(Table1[[#This Row],[Tên đối tượng]],'DANH MỤC ĐỐI TƯỢNG'!A:F,6,0),"")</f>
        <v/>
      </c>
      <c r="H1131" t="str">
        <f>_xlfn.IFNA(VLOOKUP(Table1[[#This Row],[Tên đối tượng]],'DANH MỤC ĐỐI TƯỢNG'!A:I,9,0),"")</f>
        <v/>
      </c>
      <c r="I1131" t="str">
        <f>_xlfn.IFNA(VLOOKUP(Table1[[#This Row],[Tên đối tượng]],'DANH MỤC ĐỐI TƯỢNG'!A:J,10,0),"")</f>
        <v/>
      </c>
    </row>
    <row r="1132" spans="1:9" x14ac:dyDescent="0.3">
      <c r="A1132" t="str">
        <f t="shared" si="36"/>
        <v/>
      </c>
      <c r="D1132" t="str">
        <f t="shared" si="37"/>
        <v xml:space="preserve">. </v>
      </c>
      <c r="E1132" s="5" t="str">
        <f t="shared" si="38"/>
        <v/>
      </c>
      <c r="F1132" t="str">
        <f>IFERROR(VLOOKUP(Table1[[#This Row],[Tên đối tượng]],'DANH MỤC ĐỐI TƯỢNG'!A:E,5,0),"")</f>
        <v/>
      </c>
      <c r="G1132" t="str">
        <f>_xlfn.IFNA(VLOOKUP(Table1[[#This Row],[Tên đối tượng]],'DANH MỤC ĐỐI TƯỢNG'!A:F,6,0),"")</f>
        <v/>
      </c>
      <c r="H1132" t="str">
        <f>_xlfn.IFNA(VLOOKUP(Table1[[#This Row],[Tên đối tượng]],'DANH MỤC ĐỐI TƯỢNG'!A:I,9,0),"")</f>
        <v/>
      </c>
      <c r="I1132" t="str">
        <f>_xlfn.IFNA(VLOOKUP(Table1[[#This Row],[Tên đối tượng]],'DANH MỤC ĐỐI TƯỢNG'!A:J,10,0),"")</f>
        <v/>
      </c>
    </row>
    <row r="1133" spans="1:9" x14ac:dyDescent="0.3">
      <c r="A1133" t="str">
        <f t="shared" si="36"/>
        <v/>
      </c>
      <c r="D1133" t="str">
        <f t="shared" si="37"/>
        <v xml:space="preserve">. </v>
      </c>
      <c r="E1133" s="5" t="str">
        <f t="shared" si="38"/>
        <v/>
      </c>
      <c r="F1133" t="str">
        <f>IFERROR(VLOOKUP(Table1[[#This Row],[Tên đối tượng]],'DANH MỤC ĐỐI TƯỢNG'!A:E,5,0),"")</f>
        <v/>
      </c>
      <c r="G1133" t="str">
        <f>_xlfn.IFNA(VLOOKUP(Table1[[#This Row],[Tên đối tượng]],'DANH MỤC ĐỐI TƯỢNG'!A:F,6,0),"")</f>
        <v/>
      </c>
      <c r="H1133" t="str">
        <f>_xlfn.IFNA(VLOOKUP(Table1[[#This Row],[Tên đối tượng]],'DANH MỤC ĐỐI TƯỢNG'!A:I,9,0),"")</f>
        <v/>
      </c>
      <c r="I1133" t="str">
        <f>_xlfn.IFNA(VLOOKUP(Table1[[#This Row],[Tên đối tượng]],'DANH MỤC ĐỐI TƯỢNG'!A:J,10,0),"")</f>
        <v/>
      </c>
    </row>
    <row r="1134" spans="1:9" x14ac:dyDescent="0.3">
      <c r="A1134" t="str">
        <f t="shared" si="36"/>
        <v/>
      </c>
      <c r="D1134" t="str">
        <f t="shared" si="37"/>
        <v xml:space="preserve">. </v>
      </c>
      <c r="E1134" s="5" t="str">
        <f t="shared" si="38"/>
        <v/>
      </c>
      <c r="F1134" t="str">
        <f>IFERROR(VLOOKUP(Table1[[#This Row],[Tên đối tượng]],'DANH MỤC ĐỐI TƯỢNG'!A:E,5,0),"")</f>
        <v/>
      </c>
      <c r="G1134" t="str">
        <f>_xlfn.IFNA(VLOOKUP(Table1[[#This Row],[Tên đối tượng]],'DANH MỤC ĐỐI TƯỢNG'!A:F,6,0),"")</f>
        <v/>
      </c>
      <c r="H1134" t="str">
        <f>_xlfn.IFNA(VLOOKUP(Table1[[#This Row],[Tên đối tượng]],'DANH MỤC ĐỐI TƯỢNG'!A:I,9,0),"")</f>
        <v/>
      </c>
      <c r="I1134" t="str">
        <f>_xlfn.IFNA(VLOOKUP(Table1[[#This Row],[Tên đối tượng]],'DANH MỤC ĐỐI TƯỢNG'!A:J,10,0),"")</f>
        <v/>
      </c>
    </row>
    <row r="1135" spans="1:9" x14ac:dyDescent="0.3">
      <c r="A1135" t="str">
        <f t="shared" si="36"/>
        <v/>
      </c>
      <c r="D1135" t="str">
        <f t="shared" si="37"/>
        <v xml:space="preserve">. </v>
      </c>
      <c r="E1135" s="5" t="str">
        <f t="shared" si="38"/>
        <v/>
      </c>
      <c r="F1135" t="str">
        <f>IFERROR(VLOOKUP(Table1[[#This Row],[Tên đối tượng]],'DANH MỤC ĐỐI TƯỢNG'!A:E,5,0),"")</f>
        <v/>
      </c>
      <c r="G1135" t="str">
        <f>_xlfn.IFNA(VLOOKUP(Table1[[#This Row],[Tên đối tượng]],'DANH MỤC ĐỐI TƯỢNG'!A:F,6,0),"")</f>
        <v/>
      </c>
      <c r="H1135" t="str">
        <f>_xlfn.IFNA(VLOOKUP(Table1[[#This Row],[Tên đối tượng]],'DANH MỤC ĐỐI TƯỢNG'!A:I,9,0),"")</f>
        <v/>
      </c>
      <c r="I1135" t="str">
        <f>_xlfn.IFNA(VLOOKUP(Table1[[#This Row],[Tên đối tượng]],'DANH MỤC ĐỐI TƯỢNG'!A:J,10,0),"")</f>
        <v/>
      </c>
    </row>
    <row r="1136" spans="1:9" x14ac:dyDescent="0.3">
      <c r="A1136" t="str">
        <f t="shared" si="36"/>
        <v/>
      </c>
      <c r="D1136" t="str">
        <f t="shared" si="37"/>
        <v xml:space="preserve">. </v>
      </c>
      <c r="E1136" s="5" t="str">
        <f t="shared" si="38"/>
        <v/>
      </c>
      <c r="F1136" t="str">
        <f>IFERROR(VLOOKUP(Table1[[#This Row],[Tên đối tượng]],'DANH MỤC ĐỐI TƯỢNG'!A:E,5,0),"")</f>
        <v/>
      </c>
      <c r="G1136" t="str">
        <f>_xlfn.IFNA(VLOOKUP(Table1[[#This Row],[Tên đối tượng]],'DANH MỤC ĐỐI TƯỢNG'!A:F,6,0),"")</f>
        <v/>
      </c>
      <c r="H1136" t="str">
        <f>_xlfn.IFNA(VLOOKUP(Table1[[#This Row],[Tên đối tượng]],'DANH MỤC ĐỐI TƯỢNG'!A:I,9,0),"")</f>
        <v/>
      </c>
      <c r="I1136" t="str">
        <f>_xlfn.IFNA(VLOOKUP(Table1[[#This Row],[Tên đối tượng]],'DANH MỤC ĐỐI TƯỢNG'!A:J,10,0),"")</f>
        <v/>
      </c>
    </row>
    <row r="1137" spans="1:9" x14ac:dyDescent="0.3">
      <c r="A1137" t="str">
        <f t="shared" si="36"/>
        <v/>
      </c>
      <c r="D1137" t="str">
        <f t="shared" si="37"/>
        <v xml:space="preserve">. </v>
      </c>
      <c r="E1137" s="5" t="str">
        <f t="shared" si="38"/>
        <v/>
      </c>
      <c r="F1137" t="str">
        <f>IFERROR(VLOOKUP(Table1[[#This Row],[Tên đối tượng]],'DANH MỤC ĐỐI TƯỢNG'!A:E,5,0),"")</f>
        <v/>
      </c>
      <c r="G1137" t="str">
        <f>_xlfn.IFNA(VLOOKUP(Table1[[#This Row],[Tên đối tượng]],'DANH MỤC ĐỐI TƯỢNG'!A:F,6,0),"")</f>
        <v/>
      </c>
      <c r="H1137" t="str">
        <f>_xlfn.IFNA(VLOOKUP(Table1[[#This Row],[Tên đối tượng]],'DANH MỤC ĐỐI TƯỢNG'!A:I,9,0),"")</f>
        <v/>
      </c>
      <c r="I1137" t="str">
        <f>_xlfn.IFNA(VLOOKUP(Table1[[#This Row],[Tên đối tượng]],'DANH MỤC ĐỐI TƯỢNG'!A:J,10,0),"")</f>
        <v/>
      </c>
    </row>
    <row r="1138" spans="1:9" x14ac:dyDescent="0.3">
      <c r="A1138" t="str">
        <f t="shared" si="36"/>
        <v/>
      </c>
      <c r="D1138" t="str">
        <f t="shared" si="37"/>
        <v xml:space="preserve">. </v>
      </c>
      <c r="E1138" s="5" t="str">
        <f t="shared" si="38"/>
        <v/>
      </c>
      <c r="F1138" t="str">
        <f>IFERROR(VLOOKUP(Table1[[#This Row],[Tên đối tượng]],'DANH MỤC ĐỐI TƯỢNG'!A:E,5,0),"")</f>
        <v/>
      </c>
      <c r="G1138" t="str">
        <f>_xlfn.IFNA(VLOOKUP(Table1[[#This Row],[Tên đối tượng]],'DANH MỤC ĐỐI TƯỢNG'!A:F,6,0),"")</f>
        <v/>
      </c>
      <c r="H1138" t="str">
        <f>_xlfn.IFNA(VLOOKUP(Table1[[#This Row],[Tên đối tượng]],'DANH MỤC ĐỐI TƯỢNG'!A:I,9,0),"")</f>
        <v/>
      </c>
      <c r="I1138" t="str">
        <f>_xlfn.IFNA(VLOOKUP(Table1[[#This Row],[Tên đối tượng]],'DANH MỤC ĐỐI TƯỢNG'!A:J,10,0),"")</f>
        <v/>
      </c>
    </row>
    <row r="1139" spans="1:9" x14ac:dyDescent="0.3">
      <c r="A1139" t="str">
        <f t="shared" si="36"/>
        <v/>
      </c>
      <c r="D1139" t="str">
        <f t="shared" si="37"/>
        <v xml:space="preserve">. </v>
      </c>
      <c r="E1139" s="5" t="str">
        <f t="shared" si="38"/>
        <v/>
      </c>
      <c r="F1139" t="str">
        <f>IFERROR(VLOOKUP(Table1[[#This Row],[Tên đối tượng]],'DANH MỤC ĐỐI TƯỢNG'!A:E,5,0),"")</f>
        <v/>
      </c>
      <c r="G1139" t="str">
        <f>_xlfn.IFNA(VLOOKUP(Table1[[#This Row],[Tên đối tượng]],'DANH MỤC ĐỐI TƯỢNG'!A:F,6,0),"")</f>
        <v/>
      </c>
      <c r="H1139" t="str">
        <f>_xlfn.IFNA(VLOOKUP(Table1[[#This Row],[Tên đối tượng]],'DANH MỤC ĐỐI TƯỢNG'!A:I,9,0),"")</f>
        <v/>
      </c>
      <c r="I1139" t="str">
        <f>_xlfn.IFNA(VLOOKUP(Table1[[#This Row],[Tên đối tượng]],'DANH MỤC ĐỐI TƯỢNG'!A:J,10,0),"")</f>
        <v/>
      </c>
    </row>
    <row r="1140" spans="1:9" x14ac:dyDescent="0.3">
      <c r="A1140" t="str">
        <f t="shared" si="36"/>
        <v/>
      </c>
      <c r="D1140" t="str">
        <f t="shared" si="37"/>
        <v xml:space="preserve">. </v>
      </c>
      <c r="E1140" s="5" t="str">
        <f t="shared" si="38"/>
        <v/>
      </c>
      <c r="F1140" t="str">
        <f>IFERROR(VLOOKUP(Table1[[#This Row],[Tên đối tượng]],'DANH MỤC ĐỐI TƯỢNG'!A:E,5,0),"")</f>
        <v/>
      </c>
      <c r="G1140" t="str">
        <f>_xlfn.IFNA(VLOOKUP(Table1[[#This Row],[Tên đối tượng]],'DANH MỤC ĐỐI TƯỢNG'!A:F,6,0),"")</f>
        <v/>
      </c>
      <c r="H1140" t="str">
        <f>_xlfn.IFNA(VLOOKUP(Table1[[#This Row],[Tên đối tượng]],'DANH MỤC ĐỐI TƯỢNG'!A:I,9,0),"")</f>
        <v/>
      </c>
      <c r="I1140" t="str">
        <f>_xlfn.IFNA(VLOOKUP(Table1[[#This Row],[Tên đối tượng]],'DANH MỤC ĐỐI TƯỢNG'!A:J,10,0),"")</f>
        <v/>
      </c>
    </row>
    <row r="1141" spans="1:9" x14ac:dyDescent="0.3">
      <c r="A1141" t="str">
        <f t="shared" si="36"/>
        <v/>
      </c>
      <c r="D1141" t="str">
        <f t="shared" si="37"/>
        <v xml:space="preserve">. </v>
      </c>
      <c r="E1141" s="5" t="str">
        <f t="shared" si="38"/>
        <v/>
      </c>
      <c r="F1141" t="str">
        <f>IFERROR(VLOOKUP(Table1[[#This Row],[Tên đối tượng]],'DANH MỤC ĐỐI TƯỢNG'!A:E,5,0),"")</f>
        <v/>
      </c>
      <c r="G1141" t="str">
        <f>_xlfn.IFNA(VLOOKUP(Table1[[#This Row],[Tên đối tượng]],'DANH MỤC ĐỐI TƯỢNG'!A:F,6,0),"")</f>
        <v/>
      </c>
      <c r="H1141" t="str">
        <f>_xlfn.IFNA(VLOOKUP(Table1[[#This Row],[Tên đối tượng]],'DANH MỤC ĐỐI TƯỢNG'!A:I,9,0),"")</f>
        <v/>
      </c>
      <c r="I1141" t="str">
        <f>_xlfn.IFNA(VLOOKUP(Table1[[#This Row],[Tên đối tượng]],'DANH MỤC ĐỐI TƯỢNG'!A:J,10,0),"")</f>
        <v/>
      </c>
    </row>
    <row r="1142" spans="1:9" x14ac:dyDescent="0.3">
      <c r="A1142" t="str">
        <f t="shared" si="36"/>
        <v/>
      </c>
      <c r="D1142" t="str">
        <f t="shared" si="37"/>
        <v xml:space="preserve">. </v>
      </c>
      <c r="E1142" s="5" t="str">
        <f t="shared" si="38"/>
        <v/>
      </c>
      <c r="F1142" t="str">
        <f>IFERROR(VLOOKUP(Table1[[#This Row],[Tên đối tượng]],'DANH MỤC ĐỐI TƯỢNG'!A:E,5,0),"")</f>
        <v/>
      </c>
      <c r="G1142" t="str">
        <f>_xlfn.IFNA(VLOOKUP(Table1[[#This Row],[Tên đối tượng]],'DANH MỤC ĐỐI TƯỢNG'!A:F,6,0),"")</f>
        <v/>
      </c>
      <c r="H1142" t="str">
        <f>_xlfn.IFNA(VLOOKUP(Table1[[#This Row],[Tên đối tượng]],'DANH MỤC ĐỐI TƯỢNG'!A:I,9,0),"")</f>
        <v/>
      </c>
      <c r="I1142" t="str">
        <f>_xlfn.IFNA(VLOOKUP(Table1[[#This Row],[Tên đối tượng]],'DANH MỤC ĐỐI TƯỢNG'!A:J,10,0),"")</f>
        <v/>
      </c>
    </row>
    <row r="1143" spans="1:9" x14ac:dyDescent="0.3">
      <c r="A1143" t="str">
        <f t="shared" si="36"/>
        <v/>
      </c>
      <c r="D1143" t="str">
        <f t="shared" si="37"/>
        <v xml:space="preserve">. </v>
      </c>
      <c r="E1143" s="5" t="str">
        <f t="shared" si="38"/>
        <v/>
      </c>
      <c r="F1143" t="str">
        <f>IFERROR(VLOOKUP(Table1[[#This Row],[Tên đối tượng]],'DANH MỤC ĐỐI TƯỢNG'!A:E,5,0),"")</f>
        <v/>
      </c>
      <c r="G1143" t="str">
        <f>_xlfn.IFNA(VLOOKUP(Table1[[#This Row],[Tên đối tượng]],'DANH MỤC ĐỐI TƯỢNG'!A:F,6,0),"")</f>
        <v/>
      </c>
      <c r="H1143" t="str">
        <f>_xlfn.IFNA(VLOOKUP(Table1[[#This Row],[Tên đối tượng]],'DANH MỤC ĐỐI TƯỢNG'!A:I,9,0),"")</f>
        <v/>
      </c>
      <c r="I1143" t="str">
        <f>_xlfn.IFNA(VLOOKUP(Table1[[#This Row],[Tên đối tượng]],'DANH MỤC ĐỐI TƯỢNG'!A:J,10,0),"")</f>
        <v/>
      </c>
    </row>
    <row r="1144" spans="1:9" x14ac:dyDescent="0.3">
      <c r="A1144" t="str">
        <f t="shared" si="36"/>
        <v/>
      </c>
      <c r="D1144" t="str">
        <f t="shared" si="37"/>
        <v xml:space="preserve">. </v>
      </c>
      <c r="E1144" s="5" t="str">
        <f t="shared" si="38"/>
        <v/>
      </c>
      <c r="F1144" t="str">
        <f>IFERROR(VLOOKUP(Table1[[#This Row],[Tên đối tượng]],'DANH MỤC ĐỐI TƯỢNG'!A:E,5,0),"")</f>
        <v/>
      </c>
      <c r="G1144" t="str">
        <f>_xlfn.IFNA(VLOOKUP(Table1[[#This Row],[Tên đối tượng]],'DANH MỤC ĐỐI TƯỢNG'!A:F,6,0),"")</f>
        <v/>
      </c>
      <c r="H1144" t="str">
        <f>_xlfn.IFNA(VLOOKUP(Table1[[#This Row],[Tên đối tượng]],'DANH MỤC ĐỐI TƯỢNG'!A:I,9,0),"")</f>
        <v/>
      </c>
      <c r="I1144" t="str">
        <f>_xlfn.IFNA(VLOOKUP(Table1[[#This Row],[Tên đối tượng]],'DANH MỤC ĐỐI TƯỢNG'!A:J,10,0),"")</f>
        <v/>
      </c>
    </row>
    <row r="1145" spans="1:9" x14ac:dyDescent="0.3">
      <c r="A1145" t="str">
        <f t="shared" si="36"/>
        <v/>
      </c>
      <c r="D1145" t="str">
        <f t="shared" si="37"/>
        <v xml:space="preserve">. </v>
      </c>
      <c r="E1145" s="5" t="str">
        <f t="shared" si="38"/>
        <v/>
      </c>
      <c r="F1145" t="str">
        <f>IFERROR(VLOOKUP(Table1[[#This Row],[Tên đối tượng]],'DANH MỤC ĐỐI TƯỢNG'!A:E,5,0),"")</f>
        <v/>
      </c>
      <c r="G1145" t="str">
        <f>_xlfn.IFNA(VLOOKUP(Table1[[#This Row],[Tên đối tượng]],'DANH MỤC ĐỐI TƯỢNG'!A:F,6,0),"")</f>
        <v/>
      </c>
      <c r="H1145" t="str">
        <f>_xlfn.IFNA(VLOOKUP(Table1[[#This Row],[Tên đối tượng]],'DANH MỤC ĐỐI TƯỢNG'!A:I,9,0),"")</f>
        <v/>
      </c>
      <c r="I1145" t="str">
        <f>_xlfn.IFNA(VLOOKUP(Table1[[#This Row],[Tên đối tượng]],'DANH MỤC ĐỐI TƯỢNG'!A:J,10,0),"")</f>
        <v/>
      </c>
    </row>
    <row r="1146" spans="1:9" x14ac:dyDescent="0.3">
      <c r="A1146" t="str">
        <f t="shared" si="36"/>
        <v/>
      </c>
      <c r="D1146" t="str">
        <f t="shared" si="37"/>
        <v xml:space="preserve">. </v>
      </c>
      <c r="E1146" s="5" t="str">
        <f t="shared" si="38"/>
        <v/>
      </c>
      <c r="F1146" t="str">
        <f>IFERROR(VLOOKUP(Table1[[#This Row],[Tên đối tượng]],'DANH MỤC ĐỐI TƯỢNG'!A:E,5,0),"")</f>
        <v/>
      </c>
      <c r="G1146" t="str">
        <f>_xlfn.IFNA(VLOOKUP(Table1[[#This Row],[Tên đối tượng]],'DANH MỤC ĐỐI TƯỢNG'!A:F,6,0),"")</f>
        <v/>
      </c>
      <c r="H1146" t="str">
        <f>_xlfn.IFNA(VLOOKUP(Table1[[#This Row],[Tên đối tượng]],'DANH MỤC ĐỐI TƯỢNG'!A:I,9,0),"")</f>
        <v/>
      </c>
      <c r="I1146" t="str">
        <f>_xlfn.IFNA(VLOOKUP(Table1[[#This Row],[Tên đối tượng]],'DANH MỤC ĐỐI TƯỢNG'!A:J,10,0),"")</f>
        <v/>
      </c>
    </row>
    <row r="1147" spans="1:9" x14ac:dyDescent="0.3">
      <c r="A1147" t="str">
        <f t="shared" si="36"/>
        <v/>
      </c>
      <c r="D1147" t="str">
        <f t="shared" si="37"/>
        <v xml:space="preserve">. </v>
      </c>
      <c r="E1147" s="5" t="str">
        <f t="shared" si="38"/>
        <v/>
      </c>
      <c r="F1147" t="str">
        <f>IFERROR(VLOOKUP(Table1[[#This Row],[Tên đối tượng]],'DANH MỤC ĐỐI TƯỢNG'!A:E,5,0),"")</f>
        <v/>
      </c>
      <c r="G1147" t="str">
        <f>_xlfn.IFNA(VLOOKUP(Table1[[#This Row],[Tên đối tượng]],'DANH MỤC ĐỐI TƯỢNG'!A:F,6,0),"")</f>
        <v/>
      </c>
      <c r="H1147" t="str">
        <f>_xlfn.IFNA(VLOOKUP(Table1[[#This Row],[Tên đối tượng]],'DANH MỤC ĐỐI TƯỢNG'!A:I,9,0),"")</f>
        <v/>
      </c>
      <c r="I1147" t="str">
        <f>_xlfn.IFNA(VLOOKUP(Table1[[#This Row],[Tên đối tượng]],'DANH MỤC ĐỐI TƯỢNG'!A:J,10,0),"")</f>
        <v/>
      </c>
    </row>
    <row r="1148" spans="1:9" x14ac:dyDescent="0.3">
      <c r="A1148" t="str">
        <f t="shared" si="36"/>
        <v/>
      </c>
      <c r="D1148" t="str">
        <f t="shared" si="37"/>
        <v xml:space="preserve">. </v>
      </c>
      <c r="E1148" s="5" t="str">
        <f t="shared" si="38"/>
        <v/>
      </c>
      <c r="F1148" t="str">
        <f>IFERROR(VLOOKUP(Table1[[#This Row],[Tên đối tượng]],'DANH MỤC ĐỐI TƯỢNG'!A:E,5,0),"")</f>
        <v/>
      </c>
      <c r="G1148" t="str">
        <f>_xlfn.IFNA(VLOOKUP(Table1[[#This Row],[Tên đối tượng]],'DANH MỤC ĐỐI TƯỢNG'!A:F,6,0),"")</f>
        <v/>
      </c>
      <c r="H1148" t="str">
        <f>_xlfn.IFNA(VLOOKUP(Table1[[#This Row],[Tên đối tượng]],'DANH MỤC ĐỐI TƯỢNG'!A:I,9,0),"")</f>
        <v/>
      </c>
      <c r="I1148" t="str">
        <f>_xlfn.IFNA(VLOOKUP(Table1[[#This Row],[Tên đối tượng]],'DANH MỤC ĐỐI TƯỢNG'!A:J,10,0),"")</f>
        <v/>
      </c>
    </row>
    <row r="1149" spans="1:9" x14ac:dyDescent="0.3">
      <c r="A1149" t="str">
        <f t="shared" si="36"/>
        <v/>
      </c>
      <c r="D1149" t="str">
        <f t="shared" si="37"/>
        <v xml:space="preserve">. </v>
      </c>
      <c r="E1149" s="5" t="str">
        <f t="shared" si="38"/>
        <v/>
      </c>
      <c r="F1149" t="str">
        <f>IFERROR(VLOOKUP(Table1[[#This Row],[Tên đối tượng]],'DANH MỤC ĐỐI TƯỢNG'!A:E,5,0),"")</f>
        <v/>
      </c>
      <c r="G1149" t="str">
        <f>_xlfn.IFNA(VLOOKUP(Table1[[#This Row],[Tên đối tượng]],'DANH MỤC ĐỐI TƯỢNG'!A:F,6,0),"")</f>
        <v/>
      </c>
      <c r="H1149" t="str">
        <f>_xlfn.IFNA(VLOOKUP(Table1[[#This Row],[Tên đối tượng]],'DANH MỤC ĐỐI TƯỢNG'!A:I,9,0),"")</f>
        <v/>
      </c>
      <c r="I1149" t="str">
        <f>_xlfn.IFNA(VLOOKUP(Table1[[#This Row],[Tên đối tượng]],'DANH MỤC ĐỐI TƯỢNG'!A:J,10,0),"")</f>
        <v/>
      </c>
    </row>
    <row r="1150" spans="1:9" x14ac:dyDescent="0.3">
      <c r="A1150" t="str">
        <f t="shared" si="36"/>
        <v/>
      </c>
      <c r="D1150" t="str">
        <f t="shared" si="37"/>
        <v xml:space="preserve">. </v>
      </c>
      <c r="E1150" s="5" t="str">
        <f t="shared" si="38"/>
        <v/>
      </c>
      <c r="F1150" t="str">
        <f>IFERROR(VLOOKUP(Table1[[#This Row],[Tên đối tượng]],'DANH MỤC ĐỐI TƯỢNG'!A:E,5,0),"")</f>
        <v/>
      </c>
      <c r="G1150" t="str">
        <f>_xlfn.IFNA(VLOOKUP(Table1[[#This Row],[Tên đối tượng]],'DANH MỤC ĐỐI TƯỢNG'!A:F,6,0),"")</f>
        <v/>
      </c>
      <c r="H1150" t="str">
        <f>_xlfn.IFNA(VLOOKUP(Table1[[#This Row],[Tên đối tượng]],'DANH MỤC ĐỐI TƯỢNG'!A:I,9,0),"")</f>
        <v/>
      </c>
      <c r="I1150" t="str">
        <f>_xlfn.IFNA(VLOOKUP(Table1[[#This Row],[Tên đối tượng]],'DANH MỤC ĐỐI TƯỢNG'!A:J,10,0),"")</f>
        <v/>
      </c>
    </row>
    <row r="1151" spans="1:9" x14ac:dyDescent="0.3">
      <c r="A1151" t="str">
        <f t="shared" si="36"/>
        <v/>
      </c>
      <c r="D1151" t="str">
        <f t="shared" si="37"/>
        <v xml:space="preserve">. </v>
      </c>
      <c r="E1151" s="5" t="str">
        <f t="shared" si="38"/>
        <v/>
      </c>
      <c r="F1151" t="str">
        <f>IFERROR(VLOOKUP(Table1[[#This Row],[Tên đối tượng]],'DANH MỤC ĐỐI TƯỢNG'!A:E,5,0),"")</f>
        <v/>
      </c>
      <c r="G1151" t="str">
        <f>_xlfn.IFNA(VLOOKUP(Table1[[#This Row],[Tên đối tượng]],'DANH MỤC ĐỐI TƯỢNG'!A:F,6,0),"")</f>
        <v/>
      </c>
      <c r="H1151" t="str">
        <f>_xlfn.IFNA(VLOOKUP(Table1[[#This Row],[Tên đối tượng]],'DANH MỤC ĐỐI TƯỢNG'!A:I,9,0),"")</f>
        <v/>
      </c>
      <c r="I1151" t="str">
        <f>_xlfn.IFNA(VLOOKUP(Table1[[#This Row],[Tên đối tượng]],'DANH MỤC ĐỐI TƯỢNG'!A:J,10,0),"")</f>
        <v/>
      </c>
    </row>
    <row r="1152" spans="1:9" x14ac:dyDescent="0.3">
      <c r="A1152" t="str">
        <f t="shared" ref="A1152:A1215" si="39">IF(B1152&lt;&gt;0,ROW()-3,"")</f>
        <v/>
      </c>
      <c r="D1152" t="str">
        <f t="shared" si="37"/>
        <v xml:space="preserve">. </v>
      </c>
      <c r="E1152" s="5" t="str">
        <f t="shared" si="38"/>
        <v/>
      </c>
      <c r="F1152" t="str">
        <f>IFERROR(VLOOKUP(Table1[[#This Row],[Tên đối tượng]],'DANH MỤC ĐỐI TƯỢNG'!A:E,5,0),"")</f>
        <v/>
      </c>
      <c r="G1152" t="str">
        <f>_xlfn.IFNA(VLOOKUP(Table1[[#This Row],[Tên đối tượng]],'DANH MỤC ĐỐI TƯỢNG'!A:F,6,0),"")</f>
        <v/>
      </c>
      <c r="H1152" t="str">
        <f>_xlfn.IFNA(VLOOKUP(Table1[[#This Row],[Tên đối tượng]],'DANH MỤC ĐỐI TƯỢNG'!A:I,9,0),"")</f>
        <v/>
      </c>
      <c r="I1152" t="str">
        <f>_xlfn.IFNA(VLOOKUP(Table1[[#This Row],[Tên đối tượng]],'DANH MỤC ĐỐI TƯỢNG'!A:J,10,0),"")</f>
        <v/>
      </c>
    </row>
    <row r="1153" spans="1:9" x14ac:dyDescent="0.3">
      <c r="A1153" t="str">
        <f t="shared" si="39"/>
        <v/>
      </c>
      <c r="D1153" t="str">
        <f t="shared" si="37"/>
        <v xml:space="preserve">. </v>
      </c>
      <c r="E1153" s="5" t="str">
        <f t="shared" si="38"/>
        <v/>
      </c>
      <c r="F1153" t="str">
        <f>IFERROR(VLOOKUP(Table1[[#This Row],[Tên đối tượng]],'DANH MỤC ĐỐI TƯỢNG'!A:E,5,0),"")</f>
        <v/>
      </c>
      <c r="G1153" t="str">
        <f>_xlfn.IFNA(VLOOKUP(Table1[[#This Row],[Tên đối tượng]],'DANH MỤC ĐỐI TƯỢNG'!A:F,6,0),"")</f>
        <v/>
      </c>
      <c r="H1153" t="str">
        <f>_xlfn.IFNA(VLOOKUP(Table1[[#This Row],[Tên đối tượng]],'DANH MỤC ĐỐI TƯỢNG'!A:I,9,0),"")</f>
        <v/>
      </c>
      <c r="I1153" t="str">
        <f>_xlfn.IFNA(VLOOKUP(Table1[[#This Row],[Tên đối tượng]],'DANH MỤC ĐỐI TƯỢNG'!A:J,10,0),"")</f>
        <v/>
      </c>
    </row>
    <row r="1154" spans="1:9" x14ac:dyDescent="0.3">
      <c r="A1154" t="str">
        <f t="shared" si="39"/>
        <v/>
      </c>
      <c r="D1154" t="str">
        <f t="shared" si="37"/>
        <v xml:space="preserve">. </v>
      </c>
      <c r="E1154" s="5" t="str">
        <f t="shared" si="38"/>
        <v/>
      </c>
      <c r="F1154" t="str">
        <f>IFERROR(VLOOKUP(Table1[[#This Row],[Tên đối tượng]],'DANH MỤC ĐỐI TƯỢNG'!A:E,5,0),"")</f>
        <v/>
      </c>
      <c r="G1154" t="str">
        <f>_xlfn.IFNA(VLOOKUP(Table1[[#This Row],[Tên đối tượng]],'DANH MỤC ĐỐI TƯỢNG'!A:F,6,0),"")</f>
        <v/>
      </c>
      <c r="H1154" t="str">
        <f>_xlfn.IFNA(VLOOKUP(Table1[[#This Row],[Tên đối tượng]],'DANH MỤC ĐỐI TƯỢNG'!A:I,9,0),"")</f>
        <v/>
      </c>
      <c r="I1154" t="str">
        <f>_xlfn.IFNA(VLOOKUP(Table1[[#This Row],[Tên đối tượng]],'DANH MỤC ĐỐI TƯỢNG'!A:J,10,0),"")</f>
        <v/>
      </c>
    </row>
    <row r="1155" spans="1:9" x14ac:dyDescent="0.3">
      <c r="A1155" t="str">
        <f t="shared" si="39"/>
        <v/>
      </c>
      <c r="D1155" t="str">
        <f t="shared" si="37"/>
        <v xml:space="preserve">. </v>
      </c>
      <c r="E1155" s="5" t="str">
        <f t="shared" si="38"/>
        <v/>
      </c>
      <c r="F1155" t="str">
        <f>IFERROR(VLOOKUP(Table1[[#This Row],[Tên đối tượng]],'DANH MỤC ĐỐI TƯỢNG'!A:E,5,0),"")</f>
        <v/>
      </c>
      <c r="G1155" t="str">
        <f>_xlfn.IFNA(VLOOKUP(Table1[[#This Row],[Tên đối tượng]],'DANH MỤC ĐỐI TƯỢNG'!A:F,6,0),"")</f>
        <v/>
      </c>
      <c r="H1155" t="str">
        <f>_xlfn.IFNA(VLOOKUP(Table1[[#This Row],[Tên đối tượng]],'DANH MỤC ĐỐI TƯỢNG'!A:I,9,0),"")</f>
        <v/>
      </c>
      <c r="I1155" t="str">
        <f>_xlfn.IFNA(VLOOKUP(Table1[[#This Row],[Tên đối tượng]],'DANH MỤC ĐỐI TƯỢNG'!A:J,10,0),"")</f>
        <v/>
      </c>
    </row>
    <row r="1156" spans="1:9" x14ac:dyDescent="0.3">
      <c r="A1156" t="str">
        <f t="shared" si="39"/>
        <v/>
      </c>
      <c r="D1156" t="str">
        <f t="shared" si="37"/>
        <v xml:space="preserve">. </v>
      </c>
      <c r="E1156" s="5" t="str">
        <f t="shared" si="38"/>
        <v/>
      </c>
      <c r="F1156" t="str">
        <f>IFERROR(VLOOKUP(Table1[[#This Row],[Tên đối tượng]],'DANH MỤC ĐỐI TƯỢNG'!A:E,5,0),"")</f>
        <v/>
      </c>
      <c r="G1156" t="str">
        <f>_xlfn.IFNA(VLOOKUP(Table1[[#This Row],[Tên đối tượng]],'DANH MỤC ĐỐI TƯỢNG'!A:F,6,0),"")</f>
        <v/>
      </c>
      <c r="H1156" t="str">
        <f>_xlfn.IFNA(VLOOKUP(Table1[[#This Row],[Tên đối tượng]],'DANH MỤC ĐỐI TƯỢNG'!A:I,9,0),"")</f>
        <v/>
      </c>
      <c r="I1156" t="str">
        <f>_xlfn.IFNA(VLOOKUP(Table1[[#This Row],[Tên đối tượng]],'DANH MỤC ĐỐI TƯỢNG'!A:J,10,0),"")</f>
        <v/>
      </c>
    </row>
    <row r="1157" spans="1:9" x14ac:dyDescent="0.3">
      <c r="A1157" t="str">
        <f t="shared" si="39"/>
        <v/>
      </c>
      <c r="D1157" t="str">
        <f t="shared" ref="D1157:D1220" si="40">A1157&amp;". "&amp;B1157</f>
        <v xml:space="preserve">. </v>
      </c>
      <c r="E1157" s="5" t="str">
        <f t="shared" ref="E1157:E1220" si="41">IF(B1157&lt;&gt;"",HYPERLINK($A$2&amp;D1157,C1157),"")</f>
        <v/>
      </c>
      <c r="F1157" t="str">
        <f>IFERROR(VLOOKUP(Table1[[#This Row],[Tên đối tượng]],'DANH MỤC ĐỐI TƯỢNG'!A:E,5,0),"")</f>
        <v/>
      </c>
      <c r="G1157" t="str">
        <f>_xlfn.IFNA(VLOOKUP(Table1[[#This Row],[Tên đối tượng]],'DANH MỤC ĐỐI TƯỢNG'!A:F,6,0),"")</f>
        <v/>
      </c>
      <c r="H1157" t="str">
        <f>_xlfn.IFNA(VLOOKUP(Table1[[#This Row],[Tên đối tượng]],'DANH MỤC ĐỐI TƯỢNG'!A:I,9,0),"")</f>
        <v/>
      </c>
      <c r="I1157" t="str">
        <f>_xlfn.IFNA(VLOOKUP(Table1[[#This Row],[Tên đối tượng]],'DANH MỤC ĐỐI TƯỢNG'!A:J,10,0),"")</f>
        <v/>
      </c>
    </row>
    <row r="1158" spans="1:9" x14ac:dyDescent="0.3">
      <c r="A1158" t="str">
        <f t="shared" si="39"/>
        <v/>
      </c>
      <c r="D1158" t="str">
        <f t="shared" si="40"/>
        <v xml:space="preserve">. </v>
      </c>
      <c r="E1158" s="5" t="str">
        <f t="shared" si="41"/>
        <v/>
      </c>
      <c r="F1158" t="str">
        <f>IFERROR(VLOOKUP(Table1[[#This Row],[Tên đối tượng]],'DANH MỤC ĐỐI TƯỢNG'!A:E,5,0),"")</f>
        <v/>
      </c>
      <c r="G1158" t="str">
        <f>_xlfn.IFNA(VLOOKUP(Table1[[#This Row],[Tên đối tượng]],'DANH MỤC ĐỐI TƯỢNG'!A:F,6,0),"")</f>
        <v/>
      </c>
      <c r="H1158" t="str">
        <f>_xlfn.IFNA(VLOOKUP(Table1[[#This Row],[Tên đối tượng]],'DANH MỤC ĐỐI TƯỢNG'!A:I,9,0),"")</f>
        <v/>
      </c>
      <c r="I1158" t="str">
        <f>_xlfn.IFNA(VLOOKUP(Table1[[#This Row],[Tên đối tượng]],'DANH MỤC ĐỐI TƯỢNG'!A:J,10,0),"")</f>
        <v/>
      </c>
    </row>
    <row r="1159" spans="1:9" x14ac:dyDescent="0.3">
      <c r="A1159" t="str">
        <f t="shared" si="39"/>
        <v/>
      </c>
      <c r="D1159" t="str">
        <f t="shared" si="40"/>
        <v xml:space="preserve">. </v>
      </c>
      <c r="E1159" s="5" t="str">
        <f t="shared" si="41"/>
        <v/>
      </c>
      <c r="F1159" t="str">
        <f>IFERROR(VLOOKUP(Table1[[#This Row],[Tên đối tượng]],'DANH MỤC ĐỐI TƯỢNG'!A:E,5,0),"")</f>
        <v/>
      </c>
      <c r="G1159" t="str">
        <f>_xlfn.IFNA(VLOOKUP(Table1[[#This Row],[Tên đối tượng]],'DANH MỤC ĐỐI TƯỢNG'!A:F,6,0),"")</f>
        <v/>
      </c>
      <c r="H1159" t="str">
        <f>_xlfn.IFNA(VLOOKUP(Table1[[#This Row],[Tên đối tượng]],'DANH MỤC ĐỐI TƯỢNG'!A:I,9,0),"")</f>
        <v/>
      </c>
      <c r="I1159" t="str">
        <f>_xlfn.IFNA(VLOOKUP(Table1[[#This Row],[Tên đối tượng]],'DANH MỤC ĐỐI TƯỢNG'!A:J,10,0),"")</f>
        <v/>
      </c>
    </row>
    <row r="1160" spans="1:9" x14ac:dyDescent="0.3">
      <c r="A1160" t="str">
        <f t="shared" si="39"/>
        <v/>
      </c>
      <c r="D1160" t="str">
        <f t="shared" si="40"/>
        <v xml:space="preserve">. </v>
      </c>
      <c r="E1160" s="5" t="str">
        <f t="shared" si="41"/>
        <v/>
      </c>
      <c r="F1160" t="str">
        <f>IFERROR(VLOOKUP(Table1[[#This Row],[Tên đối tượng]],'DANH MỤC ĐỐI TƯỢNG'!A:E,5,0),"")</f>
        <v/>
      </c>
      <c r="G1160" t="str">
        <f>_xlfn.IFNA(VLOOKUP(Table1[[#This Row],[Tên đối tượng]],'DANH MỤC ĐỐI TƯỢNG'!A:F,6,0),"")</f>
        <v/>
      </c>
      <c r="H1160" t="str">
        <f>_xlfn.IFNA(VLOOKUP(Table1[[#This Row],[Tên đối tượng]],'DANH MỤC ĐỐI TƯỢNG'!A:I,9,0),"")</f>
        <v/>
      </c>
      <c r="I1160" t="str">
        <f>_xlfn.IFNA(VLOOKUP(Table1[[#This Row],[Tên đối tượng]],'DANH MỤC ĐỐI TƯỢNG'!A:J,10,0),"")</f>
        <v/>
      </c>
    </row>
    <row r="1161" spans="1:9" x14ac:dyDescent="0.3">
      <c r="A1161" t="str">
        <f t="shared" si="39"/>
        <v/>
      </c>
      <c r="D1161" t="str">
        <f t="shared" si="40"/>
        <v xml:space="preserve">. </v>
      </c>
      <c r="E1161" s="5" t="str">
        <f t="shared" si="41"/>
        <v/>
      </c>
      <c r="F1161" t="str">
        <f>IFERROR(VLOOKUP(Table1[[#This Row],[Tên đối tượng]],'DANH MỤC ĐỐI TƯỢNG'!A:E,5,0),"")</f>
        <v/>
      </c>
      <c r="G1161" t="str">
        <f>_xlfn.IFNA(VLOOKUP(Table1[[#This Row],[Tên đối tượng]],'DANH MỤC ĐỐI TƯỢNG'!A:F,6,0),"")</f>
        <v/>
      </c>
      <c r="H1161" t="str">
        <f>_xlfn.IFNA(VLOOKUP(Table1[[#This Row],[Tên đối tượng]],'DANH MỤC ĐỐI TƯỢNG'!A:I,9,0),"")</f>
        <v/>
      </c>
      <c r="I1161" t="str">
        <f>_xlfn.IFNA(VLOOKUP(Table1[[#This Row],[Tên đối tượng]],'DANH MỤC ĐỐI TƯỢNG'!A:J,10,0),"")</f>
        <v/>
      </c>
    </row>
    <row r="1162" spans="1:9" x14ac:dyDescent="0.3">
      <c r="A1162" t="str">
        <f t="shared" si="39"/>
        <v/>
      </c>
      <c r="D1162" t="str">
        <f t="shared" si="40"/>
        <v xml:space="preserve">. </v>
      </c>
      <c r="E1162" s="5" t="str">
        <f t="shared" si="41"/>
        <v/>
      </c>
      <c r="F1162" t="str">
        <f>IFERROR(VLOOKUP(Table1[[#This Row],[Tên đối tượng]],'DANH MỤC ĐỐI TƯỢNG'!A:E,5,0),"")</f>
        <v/>
      </c>
      <c r="G1162" t="str">
        <f>_xlfn.IFNA(VLOOKUP(Table1[[#This Row],[Tên đối tượng]],'DANH MỤC ĐỐI TƯỢNG'!A:F,6,0),"")</f>
        <v/>
      </c>
      <c r="H1162" t="str">
        <f>_xlfn.IFNA(VLOOKUP(Table1[[#This Row],[Tên đối tượng]],'DANH MỤC ĐỐI TƯỢNG'!A:I,9,0),"")</f>
        <v/>
      </c>
      <c r="I1162" t="str">
        <f>_xlfn.IFNA(VLOOKUP(Table1[[#This Row],[Tên đối tượng]],'DANH MỤC ĐỐI TƯỢNG'!A:J,10,0),"")</f>
        <v/>
      </c>
    </row>
    <row r="1163" spans="1:9" x14ac:dyDescent="0.3">
      <c r="A1163" t="str">
        <f t="shared" si="39"/>
        <v/>
      </c>
      <c r="D1163" t="str">
        <f t="shared" si="40"/>
        <v xml:space="preserve">. </v>
      </c>
      <c r="E1163" s="5" t="str">
        <f t="shared" si="41"/>
        <v/>
      </c>
      <c r="F1163" t="str">
        <f>IFERROR(VLOOKUP(Table1[[#This Row],[Tên đối tượng]],'DANH MỤC ĐỐI TƯỢNG'!A:E,5,0),"")</f>
        <v/>
      </c>
      <c r="G1163" t="str">
        <f>_xlfn.IFNA(VLOOKUP(Table1[[#This Row],[Tên đối tượng]],'DANH MỤC ĐỐI TƯỢNG'!A:F,6,0),"")</f>
        <v/>
      </c>
      <c r="H1163" t="str">
        <f>_xlfn.IFNA(VLOOKUP(Table1[[#This Row],[Tên đối tượng]],'DANH MỤC ĐỐI TƯỢNG'!A:I,9,0),"")</f>
        <v/>
      </c>
      <c r="I1163" t="str">
        <f>_xlfn.IFNA(VLOOKUP(Table1[[#This Row],[Tên đối tượng]],'DANH MỤC ĐỐI TƯỢNG'!A:J,10,0),"")</f>
        <v/>
      </c>
    </row>
    <row r="1164" spans="1:9" x14ac:dyDescent="0.3">
      <c r="A1164" t="str">
        <f t="shared" si="39"/>
        <v/>
      </c>
      <c r="D1164" t="str">
        <f t="shared" si="40"/>
        <v xml:space="preserve">. </v>
      </c>
      <c r="E1164" s="5" t="str">
        <f t="shared" si="41"/>
        <v/>
      </c>
      <c r="F1164" t="str">
        <f>IFERROR(VLOOKUP(Table1[[#This Row],[Tên đối tượng]],'DANH MỤC ĐỐI TƯỢNG'!A:E,5,0),"")</f>
        <v/>
      </c>
      <c r="G1164" t="str">
        <f>_xlfn.IFNA(VLOOKUP(Table1[[#This Row],[Tên đối tượng]],'DANH MỤC ĐỐI TƯỢNG'!A:F,6,0),"")</f>
        <v/>
      </c>
      <c r="H1164" t="str">
        <f>_xlfn.IFNA(VLOOKUP(Table1[[#This Row],[Tên đối tượng]],'DANH MỤC ĐỐI TƯỢNG'!A:I,9,0),"")</f>
        <v/>
      </c>
      <c r="I1164" t="str">
        <f>_xlfn.IFNA(VLOOKUP(Table1[[#This Row],[Tên đối tượng]],'DANH MỤC ĐỐI TƯỢNG'!A:J,10,0),"")</f>
        <v/>
      </c>
    </row>
    <row r="1165" spans="1:9" x14ac:dyDescent="0.3">
      <c r="A1165" t="str">
        <f t="shared" si="39"/>
        <v/>
      </c>
      <c r="D1165" t="str">
        <f t="shared" si="40"/>
        <v xml:space="preserve">. </v>
      </c>
      <c r="E1165" s="5" t="str">
        <f t="shared" si="41"/>
        <v/>
      </c>
      <c r="F1165" t="str">
        <f>IFERROR(VLOOKUP(Table1[[#This Row],[Tên đối tượng]],'DANH MỤC ĐỐI TƯỢNG'!A:E,5,0),"")</f>
        <v/>
      </c>
      <c r="G1165" t="str">
        <f>_xlfn.IFNA(VLOOKUP(Table1[[#This Row],[Tên đối tượng]],'DANH MỤC ĐỐI TƯỢNG'!A:F,6,0),"")</f>
        <v/>
      </c>
      <c r="H1165" t="str">
        <f>_xlfn.IFNA(VLOOKUP(Table1[[#This Row],[Tên đối tượng]],'DANH MỤC ĐỐI TƯỢNG'!A:I,9,0),"")</f>
        <v/>
      </c>
      <c r="I1165" t="str">
        <f>_xlfn.IFNA(VLOOKUP(Table1[[#This Row],[Tên đối tượng]],'DANH MỤC ĐỐI TƯỢNG'!A:J,10,0),"")</f>
        <v/>
      </c>
    </row>
    <row r="1166" spans="1:9" x14ac:dyDescent="0.3">
      <c r="A1166" t="str">
        <f t="shared" si="39"/>
        <v/>
      </c>
      <c r="D1166" t="str">
        <f t="shared" si="40"/>
        <v xml:space="preserve">. </v>
      </c>
      <c r="E1166" s="5" t="str">
        <f t="shared" si="41"/>
        <v/>
      </c>
      <c r="F1166" t="str">
        <f>IFERROR(VLOOKUP(Table1[[#This Row],[Tên đối tượng]],'DANH MỤC ĐỐI TƯỢNG'!A:E,5,0),"")</f>
        <v/>
      </c>
      <c r="G1166" t="str">
        <f>_xlfn.IFNA(VLOOKUP(Table1[[#This Row],[Tên đối tượng]],'DANH MỤC ĐỐI TƯỢNG'!A:F,6,0),"")</f>
        <v/>
      </c>
      <c r="H1166" t="str">
        <f>_xlfn.IFNA(VLOOKUP(Table1[[#This Row],[Tên đối tượng]],'DANH MỤC ĐỐI TƯỢNG'!A:I,9,0),"")</f>
        <v/>
      </c>
      <c r="I1166" t="str">
        <f>_xlfn.IFNA(VLOOKUP(Table1[[#This Row],[Tên đối tượng]],'DANH MỤC ĐỐI TƯỢNG'!A:J,10,0),"")</f>
        <v/>
      </c>
    </row>
    <row r="1167" spans="1:9" x14ac:dyDescent="0.3">
      <c r="A1167" t="str">
        <f t="shared" si="39"/>
        <v/>
      </c>
      <c r="D1167" t="str">
        <f t="shared" si="40"/>
        <v xml:space="preserve">. </v>
      </c>
      <c r="E1167" s="5" t="str">
        <f t="shared" si="41"/>
        <v/>
      </c>
      <c r="F1167" t="str">
        <f>IFERROR(VLOOKUP(Table1[[#This Row],[Tên đối tượng]],'DANH MỤC ĐỐI TƯỢNG'!A:E,5,0),"")</f>
        <v/>
      </c>
      <c r="G1167" t="str">
        <f>_xlfn.IFNA(VLOOKUP(Table1[[#This Row],[Tên đối tượng]],'DANH MỤC ĐỐI TƯỢNG'!A:F,6,0),"")</f>
        <v/>
      </c>
      <c r="H1167" t="str">
        <f>_xlfn.IFNA(VLOOKUP(Table1[[#This Row],[Tên đối tượng]],'DANH MỤC ĐỐI TƯỢNG'!A:I,9,0),"")</f>
        <v/>
      </c>
      <c r="I1167" t="str">
        <f>_xlfn.IFNA(VLOOKUP(Table1[[#This Row],[Tên đối tượng]],'DANH MỤC ĐỐI TƯỢNG'!A:J,10,0),"")</f>
        <v/>
      </c>
    </row>
    <row r="1168" spans="1:9" x14ac:dyDescent="0.3">
      <c r="A1168" t="str">
        <f t="shared" si="39"/>
        <v/>
      </c>
      <c r="D1168" t="str">
        <f t="shared" si="40"/>
        <v xml:space="preserve">. </v>
      </c>
      <c r="E1168" s="5" t="str">
        <f t="shared" si="41"/>
        <v/>
      </c>
      <c r="F1168" t="str">
        <f>IFERROR(VLOOKUP(Table1[[#This Row],[Tên đối tượng]],'DANH MỤC ĐỐI TƯỢNG'!A:E,5,0),"")</f>
        <v/>
      </c>
      <c r="G1168" t="str">
        <f>_xlfn.IFNA(VLOOKUP(Table1[[#This Row],[Tên đối tượng]],'DANH MỤC ĐỐI TƯỢNG'!A:F,6,0),"")</f>
        <v/>
      </c>
      <c r="H1168" t="str">
        <f>_xlfn.IFNA(VLOOKUP(Table1[[#This Row],[Tên đối tượng]],'DANH MỤC ĐỐI TƯỢNG'!A:I,9,0),"")</f>
        <v/>
      </c>
      <c r="I1168" t="str">
        <f>_xlfn.IFNA(VLOOKUP(Table1[[#This Row],[Tên đối tượng]],'DANH MỤC ĐỐI TƯỢNG'!A:J,10,0),"")</f>
        <v/>
      </c>
    </row>
    <row r="1169" spans="1:9" x14ac:dyDescent="0.3">
      <c r="A1169" t="str">
        <f t="shared" si="39"/>
        <v/>
      </c>
      <c r="D1169" t="str">
        <f t="shared" si="40"/>
        <v xml:space="preserve">. </v>
      </c>
      <c r="E1169" s="5" t="str">
        <f t="shared" si="41"/>
        <v/>
      </c>
      <c r="F1169" t="str">
        <f>IFERROR(VLOOKUP(Table1[[#This Row],[Tên đối tượng]],'DANH MỤC ĐỐI TƯỢNG'!A:E,5,0),"")</f>
        <v/>
      </c>
      <c r="G1169" t="str">
        <f>_xlfn.IFNA(VLOOKUP(Table1[[#This Row],[Tên đối tượng]],'DANH MỤC ĐỐI TƯỢNG'!A:F,6,0),"")</f>
        <v/>
      </c>
      <c r="H1169" t="str">
        <f>_xlfn.IFNA(VLOOKUP(Table1[[#This Row],[Tên đối tượng]],'DANH MỤC ĐỐI TƯỢNG'!A:I,9,0),"")</f>
        <v/>
      </c>
      <c r="I1169" t="str">
        <f>_xlfn.IFNA(VLOOKUP(Table1[[#This Row],[Tên đối tượng]],'DANH MỤC ĐỐI TƯỢNG'!A:J,10,0),"")</f>
        <v/>
      </c>
    </row>
    <row r="1170" spans="1:9" x14ac:dyDescent="0.3">
      <c r="A1170" t="str">
        <f t="shared" si="39"/>
        <v/>
      </c>
      <c r="D1170" t="str">
        <f t="shared" si="40"/>
        <v xml:space="preserve">. </v>
      </c>
      <c r="E1170" s="5" t="str">
        <f t="shared" si="41"/>
        <v/>
      </c>
      <c r="F1170" t="str">
        <f>IFERROR(VLOOKUP(Table1[[#This Row],[Tên đối tượng]],'DANH MỤC ĐỐI TƯỢNG'!A:E,5,0),"")</f>
        <v/>
      </c>
      <c r="G1170" t="str">
        <f>_xlfn.IFNA(VLOOKUP(Table1[[#This Row],[Tên đối tượng]],'DANH MỤC ĐỐI TƯỢNG'!A:F,6,0),"")</f>
        <v/>
      </c>
      <c r="H1170" t="str">
        <f>_xlfn.IFNA(VLOOKUP(Table1[[#This Row],[Tên đối tượng]],'DANH MỤC ĐỐI TƯỢNG'!A:I,9,0),"")</f>
        <v/>
      </c>
      <c r="I1170" t="str">
        <f>_xlfn.IFNA(VLOOKUP(Table1[[#This Row],[Tên đối tượng]],'DANH MỤC ĐỐI TƯỢNG'!A:J,10,0),"")</f>
        <v/>
      </c>
    </row>
    <row r="1171" spans="1:9" x14ac:dyDescent="0.3">
      <c r="A1171" t="str">
        <f t="shared" si="39"/>
        <v/>
      </c>
      <c r="D1171" t="str">
        <f t="shared" si="40"/>
        <v xml:space="preserve">. </v>
      </c>
      <c r="E1171" s="5" t="str">
        <f t="shared" si="41"/>
        <v/>
      </c>
      <c r="F1171" t="str">
        <f>IFERROR(VLOOKUP(Table1[[#This Row],[Tên đối tượng]],'DANH MỤC ĐỐI TƯỢNG'!A:E,5,0),"")</f>
        <v/>
      </c>
      <c r="G1171" t="str">
        <f>_xlfn.IFNA(VLOOKUP(Table1[[#This Row],[Tên đối tượng]],'DANH MỤC ĐỐI TƯỢNG'!A:F,6,0),"")</f>
        <v/>
      </c>
      <c r="H1171" t="str">
        <f>_xlfn.IFNA(VLOOKUP(Table1[[#This Row],[Tên đối tượng]],'DANH MỤC ĐỐI TƯỢNG'!A:I,9,0),"")</f>
        <v/>
      </c>
      <c r="I1171" t="str">
        <f>_xlfn.IFNA(VLOOKUP(Table1[[#This Row],[Tên đối tượng]],'DANH MỤC ĐỐI TƯỢNG'!A:J,10,0),"")</f>
        <v/>
      </c>
    </row>
    <row r="1172" spans="1:9" x14ac:dyDescent="0.3">
      <c r="A1172" t="str">
        <f t="shared" si="39"/>
        <v/>
      </c>
      <c r="D1172" t="str">
        <f t="shared" si="40"/>
        <v xml:space="preserve">. </v>
      </c>
      <c r="E1172" s="5" t="str">
        <f t="shared" si="41"/>
        <v/>
      </c>
      <c r="F1172" t="str">
        <f>IFERROR(VLOOKUP(Table1[[#This Row],[Tên đối tượng]],'DANH MỤC ĐỐI TƯỢNG'!A:E,5,0),"")</f>
        <v/>
      </c>
      <c r="G1172" t="str">
        <f>_xlfn.IFNA(VLOOKUP(Table1[[#This Row],[Tên đối tượng]],'DANH MỤC ĐỐI TƯỢNG'!A:F,6,0),"")</f>
        <v/>
      </c>
      <c r="H1172" t="str">
        <f>_xlfn.IFNA(VLOOKUP(Table1[[#This Row],[Tên đối tượng]],'DANH MỤC ĐỐI TƯỢNG'!A:I,9,0),"")</f>
        <v/>
      </c>
      <c r="I1172" t="str">
        <f>_xlfn.IFNA(VLOOKUP(Table1[[#This Row],[Tên đối tượng]],'DANH MỤC ĐỐI TƯỢNG'!A:J,10,0),"")</f>
        <v/>
      </c>
    </row>
    <row r="1173" spans="1:9" x14ac:dyDescent="0.3">
      <c r="A1173" t="str">
        <f t="shared" si="39"/>
        <v/>
      </c>
      <c r="D1173" t="str">
        <f t="shared" si="40"/>
        <v xml:space="preserve">. </v>
      </c>
      <c r="E1173" s="5" t="str">
        <f t="shared" si="41"/>
        <v/>
      </c>
      <c r="F1173" t="str">
        <f>IFERROR(VLOOKUP(Table1[[#This Row],[Tên đối tượng]],'DANH MỤC ĐỐI TƯỢNG'!A:E,5,0),"")</f>
        <v/>
      </c>
      <c r="G1173" t="str">
        <f>_xlfn.IFNA(VLOOKUP(Table1[[#This Row],[Tên đối tượng]],'DANH MỤC ĐỐI TƯỢNG'!A:F,6,0),"")</f>
        <v/>
      </c>
      <c r="H1173" t="str">
        <f>_xlfn.IFNA(VLOOKUP(Table1[[#This Row],[Tên đối tượng]],'DANH MỤC ĐỐI TƯỢNG'!A:I,9,0),"")</f>
        <v/>
      </c>
      <c r="I1173" t="str">
        <f>_xlfn.IFNA(VLOOKUP(Table1[[#This Row],[Tên đối tượng]],'DANH MỤC ĐỐI TƯỢNG'!A:J,10,0),"")</f>
        <v/>
      </c>
    </row>
    <row r="1174" spans="1:9" x14ac:dyDescent="0.3">
      <c r="A1174" t="str">
        <f t="shared" si="39"/>
        <v/>
      </c>
      <c r="D1174" t="str">
        <f t="shared" si="40"/>
        <v xml:space="preserve">. </v>
      </c>
      <c r="E1174" s="5" t="str">
        <f t="shared" si="41"/>
        <v/>
      </c>
      <c r="F1174" t="str">
        <f>IFERROR(VLOOKUP(Table1[[#This Row],[Tên đối tượng]],'DANH MỤC ĐỐI TƯỢNG'!A:E,5,0),"")</f>
        <v/>
      </c>
      <c r="G1174" t="str">
        <f>_xlfn.IFNA(VLOOKUP(Table1[[#This Row],[Tên đối tượng]],'DANH MỤC ĐỐI TƯỢNG'!A:F,6,0),"")</f>
        <v/>
      </c>
      <c r="H1174" t="str">
        <f>_xlfn.IFNA(VLOOKUP(Table1[[#This Row],[Tên đối tượng]],'DANH MỤC ĐỐI TƯỢNG'!A:I,9,0),"")</f>
        <v/>
      </c>
      <c r="I1174" t="str">
        <f>_xlfn.IFNA(VLOOKUP(Table1[[#This Row],[Tên đối tượng]],'DANH MỤC ĐỐI TƯỢNG'!A:J,10,0),"")</f>
        <v/>
      </c>
    </row>
    <row r="1175" spans="1:9" x14ac:dyDescent="0.3">
      <c r="A1175" t="str">
        <f t="shared" si="39"/>
        <v/>
      </c>
      <c r="D1175" t="str">
        <f t="shared" si="40"/>
        <v xml:space="preserve">. </v>
      </c>
      <c r="E1175" s="5" t="str">
        <f t="shared" si="41"/>
        <v/>
      </c>
      <c r="F1175" t="str">
        <f>IFERROR(VLOOKUP(Table1[[#This Row],[Tên đối tượng]],'DANH MỤC ĐỐI TƯỢNG'!A:E,5,0),"")</f>
        <v/>
      </c>
      <c r="G1175" t="str">
        <f>_xlfn.IFNA(VLOOKUP(Table1[[#This Row],[Tên đối tượng]],'DANH MỤC ĐỐI TƯỢNG'!A:F,6,0),"")</f>
        <v/>
      </c>
      <c r="H1175" t="str">
        <f>_xlfn.IFNA(VLOOKUP(Table1[[#This Row],[Tên đối tượng]],'DANH MỤC ĐỐI TƯỢNG'!A:I,9,0),"")</f>
        <v/>
      </c>
      <c r="I1175" t="str">
        <f>_xlfn.IFNA(VLOOKUP(Table1[[#This Row],[Tên đối tượng]],'DANH MỤC ĐỐI TƯỢNG'!A:J,10,0),"")</f>
        <v/>
      </c>
    </row>
    <row r="1176" spans="1:9" x14ac:dyDescent="0.3">
      <c r="A1176" t="str">
        <f t="shared" si="39"/>
        <v/>
      </c>
      <c r="D1176" t="str">
        <f t="shared" si="40"/>
        <v xml:space="preserve">. </v>
      </c>
      <c r="E1176" s="5" t="str">
        <f t="shared" si="41"/>
        <v/>
      </c>
      <c r="F1176" t="str">
        <f>IFERROR(VLOOKUP(Table1[[#This Row],[Tên đối tượng]],'DANH MỤC ĐỐI TƯỢNG'!A:E,5,0),"")</f>
        <v/>
      </c>
      <c r="G1176" t="str">
        <f>_xlfn.IFNA(VLOOKUP(Table1[[#This Row],[Tên đối tượng]],'DANH MỤC ĐỐI TƯỢNG'!A:F,6,0),"")</f>
        <v/>
      </c>
      <c r="H1176" t="str">
        <f>_xlfn.IFNA(VLOOKUP(Table1[[#This Row],[Tên đối tượng]],'DANH MỤC ĐỐI TƯỢNG'!A:I,9,0),"")</f>
        <v/>
      </c>
      <c r="I1176" t="str">
        <f>_xlfn.IFNA(VLOOKUP(Table1[[#This Row],[Tên đối tượng]],'DANH MỤC ĐỐI TƯỢNG'!A:J,10,0),"")</f>
        <v/>
      </c>
    </row>
    <row r="1177" spans="1:9" x14ac:dyDescent="0.3">
      <c r="A1177" t="str">
        <f t="shared" si="39"/>
        <v/>
      </c>
      <c r="D1177" t="str">
        <f t="shared" si="40"/>
        <v xml:space="preserve">. </v>
      </c>
      <c r="E1177" s="5" t="str">
        <f t="shared" si="41"/>
        <v/>
      </c>
      <c r="F1177" t="str">
        <f>IFERROR(VLOOKUP(Table1[[#This Row],[Tên đối tượng]],'DANH MỤC ĐỐI TƯỢNG'!A:E,5,0),"")</f>
        <v/>
      </c>
      <c r="G1177" t="str">
        <f>_xlfn.IFNA(VLOOKUP(Table1[[#This Row],[Tên đối tượng]],'DANH MỤC ĐỐI TƯỢNG'!A:F,6,0),"")</f>
        <v/>
      </c>
      <c r="H1177" t="str">
        <f>_xlfn.IFNA(VLOOKUP(Table1[[#This Row],[Tên đối tượng]],'DANH MỤC ĐỐI TƯỢNG'!A:I,9,0),"")</f>
        <v/>
      </c>
      <c r="I1177" t="str">
        <f>_xlfn.IFNA(VLOOKUP(Table1[[#This Row],[Tên đối tượng]],'DANH MỤC ĐỐI TƯỢNG'!A:J,10,0),"")</f>
        <v/>
      </c>
    </row>
    <row r="1178" spans="1:9" x14ac:dyDescent="0.3">
      <c r="A1178" t="str">
        <f t="shared" si="39"/>
        <v/>
      </c>
      <c r="D1178" t="str">
        <f t="shared" si="40"/>
        <v xml:space="preserve">. </v>
      </c>
      <c r="E1178" s="5" t="str">
        <f t="shared" si="41"/>
        <v/>
      </c>
      <c r="F1178" t="str">
        <f>IFERROR(VLOOKUP(Table1[[#This Row],[Tên đối tượng]],'DANH MỤC ĐỐI TƯỢNG'!A:E,5,0),"")</f>
        <v/>
      </c>
      <c r="G1178" t="str">
        <f>_xlfn.IFNA(VLOOKUP(Table1[[#This Row],[Tên đối tượng]],'DANH MỤC ĐỐI TƯỢNG'!A:F,6,0),"")</f>
        <v/>
      </c>
      <c r="H1178" t="str">
        <f>_xlfn.IFNA(VLOOKUP(Table1[[#This Row],[Tên đối tượng]],'DANH MỤC ĐỐI TƯỢNG'!A:I,9,0),"")</f>
        <v/>
      </c>
      <c r="I1178" t="str">
        <f>_xlfn.IFNA(VLOOKUP(Table1[[#This Row],[Tên đối tượng]],'DANH MỤC ĐỐI TƯỢNG'!A:J,10,0),"")</f>
        <v/>
      </c>
    </row>
    <row r="1179" spans="1:9" x14ac:dyDescent="0.3">
      <c r="A1179" t="str">
        <f t="shared" si="39"/>
        <v/>
      </c>
      <c r="D1179" t="str">
        <f t="shared" si="40"/>
        <v xml:space="preserve">. </v>
      </c>
      <c r="E1179" s="5" t="str">
        <f t="shared" si="41"/>
        <v/>
      </c>
      <c r="F1179" t="str">
        <f>IFERROR(VLOOKUP(Table1[[#This Row],[Tên đối tượng]],'DANH MỤC ĐỐI TƯỢNG'!A:E,5,0),"")</f>
        <v/>
      </c>
      <c r="G1179" t="str">
        <f>_xlfn.IFNA(VLOOKUP(Table1[[#This Row],[Tên đối tượng]],'DANH MỤC ĐỐI TƯỢNG'!A:F,6,0),"")</f>
        <v/>
      </c>
      <c r="H1179" t="str">
        <f>_xlfn.IFNA(VLOOKUP(Table1[[#This Row],[Tên đối tượng]],'DANH MỤC ĐỐI TƯỢNG'!A:I,9,0),"")</f>
        <v/>
      </c>
      <c r="I1179" t="str">
        <f>_xlfn.IFNA(VLOOKUP(Table1[[#This Row],[Tên đối tượng]],'DANH MỤC ĐỐI TƯỢNG'!A:J,10,0),"")</f>
        <v/>
      </c>
    </row>
    <row r="1180" spans="1:9" x14ac:dyDescent="0.3">
      <c r="A1180" t="str">
        <f t="shared" si="39"/>
        <v/>
      </c>
      <c r="D1180" t="str">
        <f t="shared" si="40"/>
        <v xml:space="preserve">. </v>
      </c>
      <c r="E1180" s="5" t="str">
        <f t="shared" si="41"/>
        <v/>
      </c>
      <c r="F1180" t="str">
        <f>IFERROR(VLOOKUP(Table1[[#This Row],[Tên đối tượng]],'DANH MỤC ĐỐI TƯỢNG'!A:E,5,0),"")</f>
        <v/>
      </c>
      <c r="G1180" t="str">
        <f>_xlfn.IFNA(VLOOKUP(Table1[[#This Row],[Tên đối tượng]],'DANH MỤC ĐỐI TƯỢNG'!A:F,6,0),"")</f>
        <v/>
      </c>
      <c r="H1180" t="str">
        <f>_xlfn.IFNA(VLOOKUP(Table1[[#This Row],[Tên đối tượng]],'DANH MỤC ĐỐI TƯỢNG'!A:I,9,0),"")</f>
        <v/>
      </c>
      <c r="I1180" t="str">
        <f>_xlfn.IFNA(VLOOKUP(Table1[[#This Row],[Tên đối tượng]],'DANH MỤC ĐỐI TƯỢNG'!A:J,10,0),"")</f>
        <v/>
      </c>
    </row>
    <row r="1181" spans="1:9" x14ac:dyDescent="0.3">
      <c r="A1181" t="str">
        <f t="shared" si="39"/>
        <v/>
      </c>
      <c r="D1181" t="str">
        <f t="shared" si="40"/>
        <v xml:space="preserve">. </v>
      </c>
      <c r="E1181" s="5" t="str">
        <f t="shared" si="41"/>
        <v/>
      </c>
      <c r="F1181" t="str">
        <f>IFERROR(VLOOKUP(Table1[[#This Row],[Tên đối tượng]],'DANH MỤC ĐỐI TƯỢNG'!A:E,5,0),"")</f>
        <v/>
      </c>
      <c r="G1181" t="str">
        <f>_xlfn.IFNA(VLOOKUP(Table1[[#This Row],[Tên đối tượng]],'DANH MỤC ĐỐI TƯỢNG'!A:F,6,0),"")</f>
        <v/>
      </c>
      <c r="H1181" t="str">
        <f>_xlfn.IFNA(VLOOKUP(Table1[[#This Row],[Tên đối tượng]],'DANH MỤC ĐỐI TƯỢNG'!A:I,9,0),"")</f>
        <v/>
      </c>
      <c r="I1181" t="str">
        <f>_xlfn.IFNA(VLOOKUP(Table1[[#This Row],[Tên đối tượng]],'DANH MỤC ĐỐI TƯỢNG'!A:J,10,0),"")</f>
        <v/>
      </c>
    </row>
    <row r="1182" spans="1:9" x14ac:dyDescent="0.3">
      <c r="A1182" t="str">
        <f t="shared" si="39"/>
        <v/>
      </c>
      <c r="D1182" t="str">
        <f t="shared" si="40"/>
        <v xml:space="preserve">. </v>
      </c>
      <c r="E1182" s="5" t="str">
        <f t="shared" si="41"/>
        <v/>
      </c>
      <c r="F1182" t="str">
        <f>IFERROR(VLOOKUP(Table1[[#This Row],[Tên đối tượng]],'DANH MỤC ĐỐI TƯỢNG'!A:E,5,0),"")</f>
        <v/>
      </c>
      <c r="G1182" t="str">
        <f>_xlfn.IFNA(VLOOKUP(Table1[[#This Row],[Tên đối tượng]],'DANH MỤC ĐỐI TƯỢNG'!A:F,6,0),"")</f>
        <v/>
      </c>
      <c r="H1182" t="str">
        <f>_xlfn.IFNA(VLOOKUP(Table1[[#This Row],[Tên đối tượng]],'DANH MỤC ĐỐI TƯỢNG'!A:I,9,0),"")</f>
        <v/>
      </c>
      <c r="I1182" t="str">
        <f>_xlfn.IFNA(VLOOKUP(Table1[[#This Row],[Tên đối tượng]],'DANH MỤC ĐỐI TƯỢNG'!A:J,10,0),"")</f>
        <v/>
      </c>
    </row>
    <row r="1183" spans="1:9" x14ac:dyDescent="0.3">
      <c r="A1183" t="str">
        <f t="shared" si="39"/>
        <v/>
      </c>
      <c r="D1183" t="str">
        <f t="shared" si="40"/>
        <v xml:space="preserve">. </v>
      </c>
      <c r="E1183" s="5" t="str">
        <f t="shared" si="41"/>
        <v/>
      </c>
      <c r="F1183" t="str">
        <f>IFERROR(VLOOKUP(Table1[[#This Row],[Tên đối tượng]],'DANH MỤC ĐỐI TƯỢNG'!A:E,5,0),"")</f>
        <v/>
      </c>
      <c r="G1183" t="str">
        <f>_xlfn.IFNA(VLOOKUP(Table1[[#This Row],[Tên đối tượng]],'DANH MỤC ĐỐI TƯỢNG'!A:F,6,0),"")</f>
        <v/>
      </c>
      <c r="H1183" t="str">
        <f>_xlfn.IFNA(VLOOKUP(Table1[[#This Row],[Tên đối tượng]],'DANH MỤC ĐỐI TƯỢNG'!A:I,9,0),"")</f>
        <v/>
      </c>
      <c r="I1183" t="str">
        <f>_xlfn.IFNA(VLOOKUP(Table1[[#This Row],[Tên đối tượng]],'DANH MỤC ĐỐI TƯỢNG'!A:J,10,0),"")</f>
        <v/>
      </c>
    </row>
    <row r="1184" spans="1:9" x14ac:dyDescent="0.3">
      <c r="A1184" t="str">
        <f t="shared" si="39"/>
        <v/>
      </c>
      <c r="D1184" t="str">
        <f t="shared" si="40"/>
        <v xml:space="preserve">. </v>
      </c>
      <c r="E1184" s="5" t="str">
        <f t="shared" si="41"/>
        <v/>
      </c>
      <c r="F1184" t="str">
        <f>IFERROR(VLOOKUP(Table1[[#This Row],[Tên đối tượng]],'DANH MỤC ĐỐI TƯỢNG'!A:E,5,0),"")</f>
        <v/>
      </c>
      <c r="G1184" t="str">
        <f>_xlfn.IFNA(VLOOKUP(Table1[[#This Row],[Tên đối tượng]],'DANH MỤC ĐỐI TƯỢNG'!A:F,6,0),"")</f>
        <v/>
      </c>
      <c r="H1184" t="str">
        <f>_xlfn.IFNA(VLOOKUP(Table1[[#This Row],[Tên đối tượng]],'DANH MỤC ĐỐI TƯỢNG'!A:I,9,0),"")</f>
        <v/>
      </c>
      <c r="I1184" t="str">
        <f>_xlfn.IFNA(VLOOKUP(Table1[[#This Row],[Tên đối tượng]],'DANH MỤC ĐỐI TƯỢNG'!A:J,10,0),"")</f>
        <v/>
      </c>
    </row>
    <row r="1185" spans="1:9" x14ac:dyDescent="0.3">
      <c r="A1185" t="str">
        <f t="shared" si="39"/>
        <v/>
      </c>
      <c r="D1185" t="str">
        <f t="shared" si="40"/>
        <v xml:space="preserve">. </v>
      </c>
      <c r="E1185" s="5" t="str">
        <f t="shared" si="41"/>
        <v/>
      </c>
      <c r="F1185" t="str">
        <f>IFERROR(VLOOKUP(Table1[[#This Row],[Tên đối tượng]],'DANH MỤC ĐỐI TƯỢNG'!A:E,5,0),"")</f>
        <v/>
      </c>
      <c r="G1185" t="str">
        <f>_xlfn.IFNA(VLOOKUP(Table1[[#This Row],[Tên đối tượng]],'DANH MỤC ĐỐI TƯỢNG'!A:F,6,0),"")</f>
        <v/>
      </c>
      <c r="H1185" t="str">
        <f>_xlfn.IFNA(VLOOKUP(Table1[[#This Row],[Tên đối tượng]],'DANH MỤC ĐỐI TƯỢNG'!A:I,9,0),"")</f>
        <v/>
      </c>
      <c r="I1185" t="str">
        <f>_xlfn.IFNA(VLOOKUP(Table1[[#This Row],[Tên đối tượng]],'DANH MỤC ĐỐI TƯỢNG'!A:J,10,0),"")</f>
        <v/>
      </c>
    </row>
    <row r="1186" spans="1:9" x14ac:dyDescent="0.3">
      <c r="A1186" t="str">
        <f t="shared" si="39"/>
        <v/>
      </c>
      <c r="D1186" t="str">
        <f t="shared" si="40"/>
        <v xml:space="preserve">. </v>
      </c>
      <c r="E1186" s="5" t="str">
        <f t="shared" si="41"/>
        <v/>
      </c>
      <c r="F1186" t="str">
        <f>IFERROR(VLOOKUP(Table1[[#This Row],[Tên đối tượng]],'DANH MỤC ĐỐI TƯỢNG'!A:E,5,0),"")</f>
        <v/>
      </c>
      <c r="G1186" t="str">
        <f>_xlfn.IFNA(VLOOKUP(Table1[[#This Row],[Tên đối tượng]],'DANH MỤC ĐỐI TƯỢNG'!A:F,6,0),"")</f>
        <v/>
      </c>
      <c r="H1186" t="str">
        <f>_xlfn.IFNA(VLOOKUP(Table1[[#This Row],[Tên đối tượng]],'DANH MỤC ĐỐI TƯỢNG'!A:I,9,0),"")</f>
        <v/>
      </c>
      <c r="I1186" t="str">
        <f>_xlfn.IFNA(VLOOKUP(Table1[[#This Row],[Tên đối tượng]],'DANH MỤC ĐỐI TƯỢNG'!A:J,10,0),"")</f>
        <v/>
      </c>
    </row>
    <row r="1187" spans="1:9" x14ac:dyDescent="0.3">
      <c r="A1187" t="str">
        <f t="shared" si="39"/>
        <v/>
      </c>
      <c r="D1187" t="str">
        <f t="shared" si="40"/>
        <v xml:space="preserve">. </v>
      </c>
      <c r="E1187" s="5" t="str">
        <f t="shared" si="41"/>
        <v/>
      </c>
      <c r="F1187" t="str">
        <f>IFERROR(VLOOKUP(Table1[[#This Row],[Tên đối tượng]],'DANH MỤC ĐỐI TƯỢNG'!A:E,5,0),"")</f>
        <v/>
      </c>
      <c r="G1187" t="str">
        <f>_xlfn.IFNA(VLOOKUP(Table1[[#This Row],[Tên đối tượng]],'DANH MỤC ĐỐI TƯỢNG'!A:F,6,0),"")</f>
        <v/>
      </c>
      <c r="H1187" t="str">
        <f>_xlfn.IFNA(VLOOKUP(Table1[[#This Row],[Tên đối tượng]],'DANH MỤC ĐỐI TƯỢNG'!A:I,9,0),"")</f>
        <v/>
      </c>
      <c r="I1187" t="str">
        <f>_xlfn.IFNA(VLOOKUP(Table1[[#This Row],[Tên đối tượng]],'DANH MỤC ĐỐI TƯỢNG'!A:J,10,0),"")</f>
        <v/>
      </c>
    </row>
    <row r="1188" spans="1:9" x14ac:dyDescent="0.3">
      <c r="A1188" t="str">
        <f t="shared" si="39"/>
        <v/>
      </c>
      <c r="D1188" t="str">
        <f t="shared" si="40"/>
        <v xml:space="preserve">. </v>
      </c>
      <c r="E1188" s="5" t="str">
        <f t="shared" si="41"/>
        <v/>
      </c>
      <c r="F1188" t="str">
        <f>IFERROR(VLOOKUP(Table1[[#This Row],[Tên đối tượng]],'DANH MỤC ĐỐI TƯỢNG'!A:E,5,0),"")</f>
        <v/>
      </c>
      <c r="G1188" t="str">
        <f>_xlfn.IFNA(VLOOKUP(Table1[[#This Row],[Tên đối tượng]],'DANH MỤC ĐỐI TƯỢNG'!A:F,6,0),"")</f>
        <v/>
      </c>
      <c r="H1188" t="str">
        <f>_xlfn.IFNA(VLOOKUP(Table1[[#This Row],[Tên đối tượng]],'DANH MỤC ĐỐI TƯỢNG'!A:I,9,0),"")</f>
        <v/>
      </c>
      <c r="I1188" t="str">
        <f>_xlfn.IFNA(VLOOKUP(Table1[[#This Row],[Tên đối tượng]],'DANH MỤC ĐỐI TƯỢNG'!A:J,10,0),"")</f>
        <v/>
      </c>
    </row>
    <row r="1189" spans="1:9" x14ac:dyDescent="0.3">
      <c r="A1189" t="str">
        <f t="shared" si="39"/>
        <v/>
      </c>
      <c r="D1189" t="str">
        <f t="shared" si="40"/>
        <v xml:space="preserve">. </v>
      </c>
      <c r="E1189" s="5" t="str">
        <f t="shared" si="41"/>
        <v/>
      </c>
      <c r="F1189" t="str">
        <f>IFERROR(VLOOKUP(Table1[[#This Row],[Tên đối tượng]],'DANH MỤC ĐỐI TƯỢNG'!A:E,5,0),"")</f>
        <v/>
      </c>
      <c r="G1189" t="str">
        <f>_xlfn.IFNA(VLOOKUP(Table1[[#This Row],[Tên đối tượng]],'DANH MỤC ĐỐI TƯỢNG'!A:F,6,0),"")</f>
        <v/>
      </c>
      <c r="H1189" t="str">
        <f>_xlfn.IFNA(VLOOKUP(Table1[[#This Row],[Tên đối tượng]],'DANH MỤC ĐỐI TƯỢNG'!A:I,9,0),"")</f>
        <v/>
      </c>
      <c r="I1189" t="str">
        <f>_xlfn.IFNA(VLOOKUP(Table1[[#This Row],[Tên đối tượng]],'DANH MỤC ĐỐI TƯỢNG'!A:J,10,0),"")</f>
        <v/>
      </c>
    </row>
    <row r="1190" spans="1:9" x14ac:dyDescent="0.3">
      <c r="A1190" t="str">
        <f t="shared" si="39"/>
        <v/>
      </c>
      <c r="D1190" t="str">
        <f t="shared" si="40"/>
        <v xml:space="preserve">. </v>
      </c>
      <c r="E1190" s="5" t="str">
        <f t="shared" si="41"/>
        <v/>
      </c>
      <c r="F1190" t="str">
        <f>IFERROR(VLOOKUP(Table1[[#This Row],[Tên đối tượng]],'DANH MỤC ĐỐI TƯỢNG'!A:E,5,0),"")</f>
        <v/>
      </c>
      <c r="G1190" t="str">
        <f>_xlfn.IFNA(VLOOKUP(Table1[[#This Row],[Tên đối tượng]],'DANH MỤC ĐỐI TƯỢNG'!A:F,6,0),"")</f>
        <v/>
      </c>
      <c r="H1190" t="str">
        <f>_xlfn.IFNA(VLOOKUP(Table1[[#This Row],[Tên đối tượng]],'DANH MỤC ĐỐI TƯỢNG'!A:I,9,0),"")</f>
        <v/>
      </c>
      <c r="I1190" t="str">
        <f>_xlfn.IFNA(VLOOKUP(Table1[[#This Row],[Tên đối tượng]],'DANH MỤC ĐỐI TƯỢNG'!A:J,10,0),"")</f>
        <v/>
      </c>
    </row>
    <row r="1191" spans="1:9" x14ac:dyDescent="0.3">
      <c r="A1191" t="str">
        <f t="shared" si="39"/>
        <v/>
      </c>
      <c r="D1191" t="str">
        <f t="shared" si="40"/>
        <v xml:space="preserve">. </v>
      </c>
      <c r="E1191" s="5" t="str">
        <f t="shared" si="41"/>
        <v/>
      </c>
      <c r="F1191" t="str">
        <f>IFERROR(VLOOKUP(Table1[[#This Row],[Tên đối tượng]],'DANH MỤC ĐỐI TƯỢNG'!A:E,5,0),"")</f>
        <v/>
      </c>
      <c r="G1191" t="str">
        <f>_xlfn.IFNA(VLOOKUP(Table1[[#This Row],[Tên đối tượng]],'DANH MỤC ĐỐI TƯỢNG'!A:F,6,0),"")</f>
        <v/>
      </c>
      <c r="H1191" t="str">
        <f>_xlfn.IFNA(VLOOKUP(Table1[[#This Row],[Tên đối tượng]],'DANH MỤC ĐỐI TƯỢNG'!A:I,9,0),"")</f>
        <v/>
      </c>
      <c r="I1191" t="str">
        <f>_xlfn.IFNA(VLOOKUP(Table1[[#This Row],[Tên đối tượng]],'DANH MỤC ĐỐI TƯỢNG'!A:J,10,0),"")</f>
        <v/>
      </c>
    </row>
    <row r="1192" spans="1:9" x14ac:dyDescent="0.3">
      <c r="A1192" t="str">
        <f t="shared" si="39"/>
        <v/>
      </c>
      <c r="D1192" t="str">
        <f t="shared" si="40"/>
        <v xml:space="preserve">. </v>
      </c>
      <c r="E1192" s="5" t="str">
        <f t="shared" si="41"/>
        <v/>
      </c>
      <c r="F1192" t="str">
        <f>IFERROR(VLOOKUP(Table1[[#This Row],[Tên đối tượng]],'DANH MỤC ĐỐI TƯỢNG'!A:E,5,0),"")</f>
        <v/>
      </c>
      <c r="G1192" t="str">
        <f>_xlfn.IFNA(VLOOKUP(Table1[[#This Row],[Tên đối tượng]],'DANH MỤC ĐỐI TƯỢNG'!A:F,6,0),"")</f>
        <v/>
      </c>
      <c r="H1192" t="str">
        <f>_xlfn.IFNA(VLOOKUP(Table1[[#This Row],[Tên đối tượng]],'DANH MỤC ĐỐI TƯỢNG'!A:I,9,0),"")</f>
        <v/>
      </c>
      <c r="I1192" t="str">
        <f>_xlfn.IFNA(VLOOKUP(Table1[[#This Row],[Tên đối tượng]],'DANH MỤC ĐỐI TƯỢNG'!A:J,10,0),"")</f>
        <v/>
      </c>
    </row>
    <row r="1193" spans="1:9" x14ac:dyDescent="0.3">
      <c r="A1193" t="str">
        <f t="shared" si="39"/>
        <v/>
      </c>
      <c r="D1193" t="str">
        <f t="shared" si="40"/>
        <v xml:space="preserve">. </v>
      </c>
      <c r="E1193" s="5" t="str">
        <f t="shared" si="41"/>
        <v/>
      </c>
      <c r="F1193" t="str">
        <f>IFERROR(VLOOKUP(Table1[[#This Row],[Tên đối tượng]],'DANH MỤC ĐỐI TƯỢNG'!A:E,5,0),"")</f>
        <v/>
      </c>
      <c r="G1193" t="str">
        <f>_xlfn.IFNA(VLOOKUP(Table1[[#This Row],[Tên đối tượng]],'DANH MỤC ĐỐI TƯỢNG'!A:F,6,0),"")</f>
        <v/>
      </c>
      <c r="H1193" t="str">
        <f>_xlfn.IFNA(VLOOKUP(Table1[[#This Row],[Tên đối tượng]],'DANH MỤC ĐỐI TƯỢNG'!A:I,9,0),"")</f>
        <v/>
      </c>
      <c r="I1193" t="str">
        <f>_xlfn.IFNA(VLOOKUP(Table1[[#This Row],[Tên đối tượng]],'DANH MỤC ĐỐI TƯỢNG'!A:J,10,0),"")</f>
        <v/>
      </c>
    </row>
    <row r="1194" spans="1:9" x14ac:dyDescent="0.3">
      <c r="A1194" t="str">
        <f t="shared" si="39"/>
        <v/>
      </c>
      <c r="D1194" t="str">
        <f t="shared" si="40"/>
        <v xml:space="preserve">. </v>
      </c>
      <c r="E1194" s="5" t="str">
        <f t="shared" si="41"/>
        <v/>
      </c>
      <c r="F1194" t="str">
        <f>IFERROR(VLOOKUP(Table1[[#This Row],[Tên đối tượng]],'DANH MỤC ĐỐI TƯỢNG'!A:E,5,0),"")</f>
        <v/>
      </c>
      <c r="G1194" t="str">
        <f>_xlfn.IFNA(VLOOKUP(Table1[[#This Row],[Tên đối tượng]],'DANH MỤC ĐỐI TƯỢNG'!A:F,6,0),"")</f>
        <v/>
      </c>
      <c r="H1194" t="str">
        <f>_xlfn.IFNA(VLOOKUP(Table1[[#This Row],[Tên đối tượng]],'DANH MỤC ĐỐI TƯỢNG'!A:I,9,0),"")</f>
        <v/>
      </c>
      <c r="I1194" t="str">
        <f>_xlfn.IFNA(VLOOKUP(Table1[[#This Row],[Tên đối tượng]],'DANH MỤC ĐỐI TƯỢNG'!A:J,10,0),"")</f>
        <v/>
      </c>
    </row>
    <row r="1195" spans="1:9" x14ac:dyDescent="0.3">
      <c r="A1195" t="str">
        <f t="shared" si="39"/>
        <v/>
      </c>
      <c r="D1195" t="str">
        <f t="shared" si="40"/>
        <v xml:space="preserve">. </v>
      </c>
      <c r="E1195" s="5" t="str">
        <f t="shared" si="41"/>
        <v/>
      </c>
      <c r="F1195" t="str">
        <f>IFERROR(VLOOKUP(Table1[[#This Row],[Tên đối tượng]],'DANH MỤC ĐỐI TƯỢNG'!A:E,5,0),"")</f>
        <v/>
      </c>
      <c r="G1195" t="str">
        <f>_xlfn.IFNA(VLOOKUP(Table1[[#This Row],[Tên đối tượng]],'DANH MỤC ĐỐI TƯỢNG'!A:F,6,0),"")</f>
        <v/>
      </c>
      <c r="H1195" t="str">
        <f>_xlfn.IFNA(VLOOKUP(Table1[[#This Row],[Tên đối tượng]],'DANH MỤC ĐỐI TƯỢNG'!A:I,9,0),"")</f>
        <v/>
      </c>
      <c r="I1195" t="str">
        <f>_xlfn.IFNA(VLOOKUP(Table1[[#This Row],[Tên đối tượng]],'DANH MỤC ĐỐI TƯỢNG'!A:J,10,0),"")</f>
        <v/>
      </c>
    </row>
    <row r="1196" spans="1:9" x14ac:dyDescent="0.3">
      <c r="A1196" t="str">
        <f t="shared" si="39"/>
        <v/>
      </c>
      <c r="D1196" t="str">
        <f t="shared" si="40"/>
        <v xml:space="preserve">. </v>
      </c>
      <c r="E1196" s="5" t="str">
        <f t="shared" si="41"/>
        <v/>
      </c>
      <c r="F1196" t="str">
        <f>IFERROR(VLOOKUP(Table1[[#This Row],[Tên đối tượng]],'DANH MỤC ĐỐI TƯỢNG'!A:E,5,0),"")</f>
        <v/>
      </c>
      <c r="G1196" t="str">
        <f>_xlfn.IFNA(VLOOKUP(Table1[[#This Row],[Tên đối tượng]],'DANH MỤC ĐỐI TƯỢNG'!A:F,6,0),"")</f>
        <v/>
      </c>
      <c r="H1196" t="str">
        <f>_xlfn.IFNA(VLOOKUP(Table1[[#This Row],[Tên đối tượng]],'DANH MỤC ĐỐI TƯỢNG'!A:I,9,0),"")</f>
        <v/>
      </c>
      <c r="I1196" t="str">
        <f>_xlfn.IFNA(VLOOKUP(Table1[[#This Row],[Tên đối tượng]],'DANH MỤC ĐỐI TƯỢNG'!A:J,10,0),"")</f>
        <v/>
      </c>
    </row>
    <row r="1197" spans="1:9" x14ac:dyDescent="0.3">
      <c r="A1197" t="str">
        <f t="shared" si="39"/>
        <v/>
      </c>
      <c r="D1197" t="str">
        <f t="shared" si="40"/>
        <v xml:space="preserve">. </v>
      </c>
      <c r="E1197" s="5" t="str">
        <f t="shared" si="41"/>
        <v/>
      </c>
      <c r="F1197" t="str">
        <f>IFERROR(VLOOKUP(Table1[[#This Row],[Tên đối tượng]],'DANH MỤC ĐỐI TƯỢNG'!A:E,5,0),"")</f>
        <v/>
      </c>
      <c r="G1197" t="str">
        <f>_xlfn.IFNA(VLOOKUP(Table1[[#This Row],[Tên đối tượng]],'DANH MỤC ĐỐI TƯỢNG'!A:F,6,0),"")</f>
        <v/>
      </c>
      <c r="H1197" t="str">
        <f>_xlfn.IFNA(VLOOKUP(Table1[[#This Row],[Tên đối tượng]],'DANH MỤC ĐỐI TƯỢNG'!A:I,9,0),"")</f>
        <v/>
      </c>
      <c r="I1197" t="str">
        <f>_xlfn.IFNA(VLOOKUP(Table1[[#This Row],[Tên đối tượng]],'DANH MỤC ĐỐI TƯỢNG'!A:J,10,0),"")</f>
        <v/>
      </c>
    </row>
    <row r="1198" spans="1:9" x14ac:dyDescent="0.3">
      <c r="A1198" t="str">
        <f t="shared" si="39"/>
        <v/>
      </c>
      <c r="D1198" t="str">
        <f t="shared" si="40"/>
        <v xml:space="preserve">. </v>
      </c>
      <c r="E1198" s="5" t="str">
        <f t="shared" si="41"/>
        <v/>
      </c>
      <c r="F1198" t="str">
        <f>IFERROR(VLOOKUP(Table1[[#This Row],[Tên đối tượng]],'DANH MỤC ĐỐI TƯỢNG'!A:E,5,0),"")</f>
        <v/>
      </c>
      <c r="G1198" t="str">
        <f>_xlfn.IFNA(VLOOKUP(Table1[[#This Row],[Tên đối tượng]],'DANH MỤC ĐỐI TƯỢNG'!A:F,6,0),"")</f>
        <v/>
      </c>
      <c r="H1198" t="str">
        <f>_xlfn.IFNA(VLOOKUP(Table1[[#This Row],[Tên đối tượng]],'DANH MỤC ĐỐI TƯỢNG'!A:I,9,0),"")</f>
        <v/>
      </c>
      <c r="I1198" t="str">
        <f>_xlfn.IFNA(VLOOKUP(Table1[[#This Row],[Tên đối tượng]],'DANH MỤC ĐỐI TƯỢNG'!A:J,10,0),"")</f>
        <v/>
      </c>
    </row>
    <row r="1199" spans="1:9" x14ac:dyDescent="0.3">
      <c r="A1199" t="str">
        <f t="shared" si="39"/>
        <v/>
      </c>
      <c r="D1199" t="str">
        <f t="shared" si="40"/>
        <v xml:space="preserve">. </v>
      </c>
      <c r="E1199" s="5" t="str">
        <f t="shared" si="41"/>
        <v/>
      </c>
      <c r="F1199" t="str">
        <f>IFERROR(VLOOKUP(Table1[[#This Row],[Tên đối tượng]],'DANH MỤC ĐỐI TƯỢNG'!A:E,5,0),"")</f>
        <v/>
      </c>
      <c r="G1199" t="str">
        <f>_xlfn.IFNA(VLOOKUP(Table1[[#This Row],[Tên đối tượng]],'DANH MỤC ĐỐI TƯỢNG'!A:F,6,0),"")</f>
        <v/>
      </c>
      <c r="H1199" t="str">
        <f>_xlfn.IFNA(VLOOKUP(Table1[[#This Row],[Tên đối tượng]],'DANH MỤC ĐỐI TƯỢNG'!A:I,9,0),"")</f>
        <v/>
      </c>
      <c r="I1199" t="str">
        <f>_xlfn.IFNA(VLOOKUP(Table1[[#This Row],[Tên đối tượng]],'DANH MỤC ĐỐI TƯỢNG'!A:J,10,0),"")</f>
        <v/>
      </c>
    </row>
    <row r="1200" spans="1:9" x14ac:dyDescent="0.3">
      <c r="A1200" t="str">
        <f t="shared" si="39"/>
        <v/>
      </c>
      <c r="D1200" t="str">
        <f t="shared" si="40"/>
        <v xml:space="preserve">. </v>
      </c>
      <c r="E1200" s="5" t="str">
        <f t="shared" si="41"/>
        <v/>
      </c>
      <c r="F1200" t="str">
        <f>IFERROR(VLOOKUP(Table1[[#This Row],[Tên đối tượng]],'DANH MỤC ĐỐI TƯỢNG'!A:E,5,0),"")</f>
        <v/>
      </c>
      <c r="G1200" t="str">
        <f>_xlfn.IFNA(VLOOKUP(Table1[[#This Row],[Tên đối tượng]],'DANH MỤC ĐỐI TƯỢNG'!A:F,6,0),"")</f>
        <v/>
      </c>
      <c r="H1200" t="str">
        <f>_xlfn.IFNA(VLOOKUP(Table1[[#This Row],[Tên đối tượng]],'DANH MỤC ĐỐI TƯỢNG'!A:I,9,0),"")</f>
        <v/>
      </c>
      <c r="I1200" t="str">
        <f>_xlfn.IFNA(VLOOKUP(Table1[[#This Row],[Tên đối tượng]],'DANH MỤC ĐỐI TƯỢNG'!A:J,10,0),"")</f>
        <v/>
      </c>
    </row>
    <row r="1201" spans="1:9" x14ac:dyDescent="0.3">
      <c r="A1201" t="str">
        <f t="shared" si="39"/>
        <v/>
      </c>
      <c r="D1201" t="str">
        <f t="shared" si="40"/>
        <v xml:space="preserve">. </v>
      </c>
      <c r="E1201" s="5" t="str">
        <f t="shared" si="41"/>
        <v/>
      </c>
      <c r="F1201" t="str">
        <f>IFERROR(VLOOKUP(Table1[[#This Row],[Tên đối tượng]],'DANH MỤC ĐỐI TƯỢNG'!A:E,5,0),"")</f>
        <v/>
      </c>
      <c r="G1201" t="str">
        <f>_xlfn.IFNA(VLOOKUP(Table1[[#This Row],[Tên đối tượng]],'DANH MỤC ĐỐI TƯỢNG'!A:F,6,0),"")</f>
        <v/>
      </c>
      <c r="H1201" t="str">
        <f>_xlfn.IFNA(VLOOKUP(Table1[[#This Row],[Tên đối tượng]],'DANH MỤC ĐỐI TƯỢNG'!A:I,9,0),"")</f>
        <v/>
      </c>
      <c r="I1201" t="str">
        <f>_xlfn.IFNA(VLOOKUP(Table1[[#This Row],[Tên đối tượng]],'DANH MỤC ĐỐI TƯỢNG'!A:J,10,0),"")</f>
        <v/>
      </c>
    </row>
    <row r="1202" spans="1:9" x14ac:dyDescent="0.3">
      <c r="A1202" t="str">
        <f t="shared" si="39"/>
        <v/>
      </c>
      <c r="D1202" t="str">
        <f t="shared" si="40"/>
        <v xml:space="preserve">. </v>
      </c>
      <c r="E1202" s="5" t="str">
        <f t="shared" si="41"/>
        <v/>
      </c>
      <c r="F1202" t="str">
        <f>IFERROR(VLOOKUP(Table1[[#This Row],[Tên đối tượng]],'DANH MỤC ĐỐI TƯỢNG'!A:E,5,0),"")</f>
        <v/>
      </c>
      <c r="G1202" t="str">
        <f>_xlfn.IFNA(VLOOKUP(Table1[[#This Row],[Tên đối tượng]],'DANH MỤC ĐỐI TƯỢNG'!A:F,6,0),"")</f>
        <v/>
      </c>
      <c r="H1202" t="str">
        <f>_xlfn.IFNA(VLOOKUP(Table1[[#This Row],[Tên đối tượng]],'DANH MỤC ĐỐI TƯỢNG'!A:I,9,0),"")</f>
        <v/>
      </c>
      <c r="I1202" t="str">
        <f>_xlfn.IFNA(VLOOKUP(Table1[[#This Row],[Tên đối tượng]],'DANH MỤC ĐỐI TƯỢNG'!A:J,10,0),"")</f>
        <v/>
      </c>
    </row>
    <row r="1203" spans="1:9" x14ac:dyDescent="0.3">
      <c r="A1203" t="str">
        <f t="shared" si="39"/>
        <v/>
      </c>
      <c r="D1203" t="str">
        <f t="shared" si="40"/>
        <v xml:space="preserve">. </v>
      </c>
      <c r="E1203" s="5" t="str">
        <f t="shared" si="41"/>
        <v/>
      </c>
      <c r="F1203" t="str">
        <f>IFERROR(VLOOKUP(Table1[[#This Row],[Tên đối tượng]],'DANH MỤC ĐỐI TƯỢNG'!A:E,5,0),"")</f>
        <v/>
      </c>
      <c r="G1203" t="str">
        <f>_xlfn.IFNA(VLOOKUP(Table1[[#This Row],[Tên đối tượng]],'DANH MỤC ĐỐI TƯỢNG'!A:F,6,0),"")</f>
        <v/>
      </c>
      <c r="H1203" t="str">
        <f>_xlfn.IFNA(VLOOKUP(Table1[[#This Row],[Tên đối tượng]],'DANH MỤC ĐỐI TƯỢNG'!A:I,9,0),"")</f>
        <v/>
      </c>
      <c r="I1203" t="str">
        <f>_xlfn.IFNA(VLOOKUP(Table1[[#This Row],[Tên đối tượng]],'DANH MỤC ĐỐI TƯỢNG'!A:J,10,0),"")</f>
        <v/>
      </c>
    </row>
    <row r="1204" spans="1:9" x14ac:dyDescent="0.3">
      <c r="A1204" t="str">
        <f t="shared" si="39"/>
        <v/>
      </c>
      <c r="D1204" t="str">
        <f t="shared" si="40"/>
        <v xml:space="preserve">. </v>
      </c>
      <c r="E1204" s="5" t="str">
        <f t="shared" si="41"/>
        <v/>
      </c>
      <c r="F1204" t="str">
        <f>IFERROR(VLOOKUP(Table1[[#This Row],[Tên đối tượng]],'DANH MỤC ĐỐI TƯỢNG'!A:E,5,0),"")</f>
        <v/>
      </c>
      <c r="G1204" t="str">
        <f>_xlfn.IFNA(VLOOKUP(Table1[[#This Row],[Tên đối tượng]],'DANH MỤC ĐỐI TƯỢNG'!A:F,6,0),"")</f>
        <v/>
      </c>
      <c r="H1204" t="str">
        <f>_xlfn.IFNA(VLOOKUP(Table1[[#This Row],[Tên đối tượng]],'DANH MỤC ĐỐI TƯỢNG'!A:I,9,0),"")</f>
        <v/>
      </c>
      <c r="I1204" t="str">
        <f>_xlfn.IFNA(VLOOKUP(Table1[[#This Row],[Tên đối tượng]],'DANH MỤC ĐỐI TƯỢNG'!A:J,10,0),"")</f>
        <v/>
      </c>
    </row>
    <row r="1205" spans="1:9" x14ac:dyDescent="0.3">
      <c r="A1205" t="str">
        <f t="shared" si="39"/>
        <v/>
      </c>
      <c r="D1205" t="str">
        <f t="shared" si="40"/>
        <v xml:space="preserve">. </v>
      </c>
      <c r="E1205" s="5" t="str">
        <f t="shared" si="41"/>
        <v/>
      </c>
      <c r="F1205" t="str">
        <f>IFERROR(VLOOKUP(Table1[[#This Row],[Tên đối tượng]],'DANH MỤC ĐỐI TƯỢNG'!A:E,5,0),"")</f>
        <v/>
      </c>
      <c r="G1205" t="str">
        <f>_xlfn.IFNA(VLOOKUP(Table1[[#This Row],[Tên đối tượng]],'DANH MỤC ĐỐI TƯỢNG'!A:F,6,0),"")</f>
        <v/>
      </c>
      <c r="H1205" t="str">
        <f>_xlfn.IFNA(VLOOKUP(Table1[[#This Row],[Tên đối tượng]],'DANH MỤC ĐỐI TƯỢNG'!A:I,9,0),"")</f>
        <v/>
      </c>
      <c r="I1205" t="str">
        <f>_xlfn.IFNA(VLOOKUP(Table1[[#This Row],[Tên đối tượng]],'DANH MỤC ĐỐI TƯỢNG'!A:J,10,0),"")</f>
        <v/>
      </c>
    </row>
    <row r="1206" spans="1:9" x14ac:dyDescent="0.3">
      <c r="A1206" t="str">
        <f t="shared" si="39"/>
        <v/>
      </c>
      <c r="D1206" t="str">
        <f t="shared" si="40"/>
        <v xml:space="preserve">. </v>
      </c>
      <c r="E1206" s="5" t="str">
        <f t="shared" si="41"/>
        <v/>
      </c>
      <c r="F1206" t="str">
        <f>IFERROR(VLOOKUP(Table1[[#This Row],[Tên đối tượng]],'DANH MỤC ĐỐI TƯỢNG'!A:E,5,0),"")</f>
        <v/>
      </c>
      <c r="G1206" t="str">
        <f>_xlfn.IFNA(VLOOKUP(Table1[[#This Row],[Tên đối tượng]],'DANH MỤC ĐỐI TƯỢNG'!A:F,6,0),"")</f>
        <v/>
      </c>
      <c r="H1206" t="str">
        <f>_xlfn.IFNA(VLOOKUP(Table1[[#This Row],[Tên đối tượng]],'DANH MỤC ĐỐI TƯỢNG'!A:I,9,0),"")</f>
        <v/>
      </c>
      <c r="I1206" t="str">
        <f>_xlfn.IFNA(VLOOKUP(Table1[[#This Row],[Tên đối tượng]],'DANH MỤC ĐỐI TƯỢNG'!A:J,10,0),"")</f>
        <v/>
      </c>
    </row>
    <row r="1207" spans="1:9" x14ac:dyDescent="0.3">
      <c r="A1207" t="str">
        <f t="shared" si="39"/>
        <v/>
      </c>
      <c r="D1207" t="str">
        <f t="shared" si="40"/>
        <v xml:space="preserve">. </v>
      </c>
      <c r="E1207" s="5" t="str">
        <f t="shared" si="41"/>
        <v/>
      </c>
      <c r="F1207" t="str">
        <f>IFERROR(VLOOKUP(Table1[[#This Row],[Tên đối tượng]],'DANH MỤC ĐỐI TƯỢNG'!A:E,5,0),"")</f>
        <v/>
      </c>
      <c r="G1207" t="str">
        <f>_xlfn.IFNA(VLOOKUP(Table1[[#This Row],[Tên đối tượng]],'DANH MỤC ĐỐI TƯỢNG'!A:F,6,0),"")</f>
        <v/>
      </c>
      <c r="H1207" t="str">
        <f>_xlfn.IFNA(VLOOKUP(Table1[[#This Row],[Tên đối tượng]],'DANH MỤC ĐỐI TƯỢNG'!A:I,9,0),"")</f>
        <v/>
      </c>
      <c r="I1207" t="str">
        <f>_xlfn.IFNA(VLOOKUP(Table1[[#This Row],[Tên đối tượng]],'DANH MỤC ĐỐI TƯỢNG'!A:J,10,0),"")</f>
        <v/>
      </c>
    </row>
    <row r="1208" spans="1:9" x14ac:dyDescent="0.3">
      <c r="A1208" t="str">
        <f t="shared" si="39"/>
        <v/>
      </c>
      <c r="D1208" t="str">
        <f t="shared" si="40"/>
        <v xml:space="preserve">. </v>
      </c>
      <c r="E1208" s="5" t="str">
        <f t="shared" si="41"/>
        <v/>
      </c>
      <c r="F1208" t="str">
        <f>IFERROR(VLOOKUP(Table1[[#This Row],[Tên đối tượng]],'DANH MỤC ĐỐI TƯỢNG'!A:E,5,0),"")</f>
        <v/>
      </c>
      <c r="G1208" t="str">
        <f>_xlfn.IFNA(VLOOKUP(Table1[[#This Row],[Tên đối tượng]],'DANH MỤC ĐỐI TƯỢNG'!A:F,6,0),"")</f>
        <v/>
      </c>
      <c r="H1208" t="str">
        <f>_xlfn.IFNA(VLOOKUP(Table1[[#This Row],[Tên đối tượng]],'DANH MỤC ĐỐI TƯỢNG'!A:I,9,0),"")</f>
        <v/>
      </c>
      <c r="I1208" t="str">
        <f>_xlfn.IFNA(VLOOKUP(Table1[[#This Row],[Tên đối tượng]],'DANH MỤC ĐỐI TƯỢNG'!A:J,10,0),"")</f>
        <v/>
      </c>
    </row>
    <row r="1209" spans="1:9" x14ac:dyDescent="0.3">
      <c r="A1209" t="str">
        <f t="shared" si="39"/>
        <v/>
      </c>
      <c r="D1209" t="str">
        <f t="shared" si="40"/>
        <v xml:space="preserve">. </v>
      </c>
      <c r="E1209" s="5" t="str">
        <f t="shared" si="41"/>
        <v/>
      </c>
      <c r="F1209" t="str">
        <f>IFERROR(VLOOKUP(Table1[[#This Row],[Tên đối tượng]],'DANH MỤC ĐỐI TƯỢNG'!A:E,5,0),"")</f>
        <v/>
      </c>
      <c r="G1209" t="str">
        <f>_xlfn.IFNA(VLOOKUP(Table1[[#This Row],[Tên đối tượng]],'DANH MỤC ĐỐI TƯỢNG'!A:F,6,0),"")</f>
        <v/>
      </c>
      <c r="H1209" t="str">
        <f>_xlfn.IFNA(VLOOKUP(Table1[[#This Row],[Tên đối tượng]],'DANH MỤC ĐỐI TƯỢNG'!A:I,9,0),"")</f>
        <v/>
      </c>
      <c r="I1209" t="str">
        <f>_xlfn.IFNA(VLOOKUP(Table1[[#This Row],[Tên đối tượng]],'DANH MỤC ĐỐI TƯỢNG'!A:J,10,0),"")</f>
        <v/>
      </c>
    </row>
    <row r="1210" spans="1:9" x14ac:dyDescent="0.3">
      <c r="A1210" t="str">
        <f t="shared" si="39"/>
        <v/>
      </c>
      <c r="D1210" t="str">
        <f t="shared" si="40"/>
        <v xml:space="preserve">. </v>
      </c>
      <c r="E1210" s="5" t="str">
        <f t="shared" si="41"/>
        <v/>
      </c>
      <c r="F1210" t="str">
        <f>IFERROR(VLOOKUP(Table1[[#This Row],[Tên đối tượng]],'DANH MỤC ĐỐI TƯỢNG'!A:E,5,0),"")</f>
        <v/>
      </c>
      <c r="G1210" t="str">
        <f>_xlfn.IFNA(VLOOKUP(Table1[[#This Row],[Tên đối tượng]],'DANH MỤC ĐỐI TƯỢNG'!A:F,6,0),"")</f>
        <v/>
      </c>
      <c r="H1210" t="str">
        <f>_xlfn.IFNA(VLOOKUP(Table1[[#This Row],[Tên đối tượng]],'DANH MỤC ĐỐI TƯỢNG'!A:I,9,0),"")</f>
        <v/>
      </c>
      <c r="I1210" t="str">
        <f>_xlfn.IFNA(VLOOKUP(Table1[[#This Row],[Tên đối tượng]],'DANH MỤC ĐỐI TƯỢNG'!A:J,10,0),"")</f>
        <v/>
      </c>
    </row>
    <row r="1211" spans="1:9" x14ac:dyDescent="0.3">
      <c r="A1211" t="str">
        <f t="shared" si="39"/>
        <v/>
      </c>
      <c r="D1211" t="str">
        <f t="shared" si="40"/>
        <v xml:space="preserve">. </v>
      </c>
      <c r="E1211" s="5" t="str">
        <f t="shared" si="41"/>
        <v/>
      </c>
      <c r="F1211" t="str">
        <f>IFERROR(VLOOKUP(Table1[[#This Row],[Tên đối tượng]],'DANH MỤC ĐỐI TƯỢNG'!A:E,5,0),"")</f>
        <v/>
      </c>
      <c r="G1211" t="str">
        <f>_xlfn.IFNA(VLOOKUP(Table1[[#This Row],[Tên đối tượng]],'DANH MỤC ĐỐI TƯỢNG'!A:F,6,0),"")</f>
        <v/>
      </c>
      <c r="H1211" t="str">
        <f>_xlfn.IFNA(VLOOKUP(Table1[[#This Row],[Tên đối tượng]],'DANH MỤC ĐỐI TƯỢNG'!A:I,9,0),"")</f>
        <v/>
      </c>
      <c r="I1211" t="str">
        <f>_xlfn.IFNA(VLOOKUP(Table1[[#This Row],[Tên đối tượng]],'DANH MỤC ĐỐI TƯỢNG'!A:J,10,0),"")</f>
        <v/>
      </c>
    </row>
    <row r="1212" spans="1:9" x14ac:dyDescent="0.3">
      <c r="A1212" t="str">
        <f t="shared" si="39"/>
        <v/>
      </c>
      <c r="D1212" t="str">
        <f t="shared" si="40"/>
        <v xml:space="preserve">. </v>
      </c>
      <c r="E1212" s="5" t="str">
        <f t="shared" si="41"/>
        <v/>
      </c>
      <c r="F1212" t="str">
        <f>IFERROR(VLOOKUP(Table1[[#This Row],[Tên đối tượng]],'DANH MỤC ĐỐI TƯỢNG'!A:E,5,0),"")</f>
        <v/>
      </c>
      <c r="G1212" t="str">
        <f>_xlfn.IFNA(VLOOKUP(Table1[[#This Row],[Tên đối tượng]],'DANH MỤC ĐỐI TƯỢNG'!A:F,6,0),"")</f>
        <v/>
      </c>
      <c r="H1212" t="str">
        <f>_xlfn.IFNA(VLOOKUP(Table1[[#This Row],[Tên đối tượng]],'DANH MỤC ĐỐI TƯỢNG'!A:I,9,0),"")</f>
        <v/>
      </c>
      <c r="I1212" t="str">
        <f>_xlfn.IFNA(VLOOKUP(Table1[[#This Row],[Tên đối tượng]],'DANH MỤC ĐỐI TƯỢNG'!A:J,10,0),"")</f>
        <v/>
      </c>
    </row>
    <row r="1213" spans="1:9" x14ac:dyDescent="0.3">
      <c r="A1213" t="str">
        <f t="shared" si="39"/>
        <v/>
      </c>
      <c r="D1213" t="str">
        <f t="shared" si="40"/>
        <v xml:space="preserve">. </v>
      </c>
      <c r="E1213" s="5" t="str">
        <f t="shared" si="41"/>
        <v/>
      </c>
      <c r="F1213" t="str">
        <f>IFERROR(VLOOKUP(Table1[[#This Row],[Tên đối tượng]],'DANH MỤC ĐỐI TƯỢNG'!A:E,5,0),"")</f>
        <v/>
      </c>
      <c r="G1213" t="str">
        <f>_xlfn.IFNA(VLOOKUP(Table1[[#This Row],[Tên đối tượng]],'DANH MỤC ĐỐI TƯỢNG'!A:F,6,0),"")</f>
        <v/>
      </c>
      <c r="H1213" t="str">
        <f>_xlfn.IFNA(VLOOKUP(Table1[[#This Row],[Tên đối tượng]],'DANH MỤC ĐỐI TƯỢNG'!A:I,9,0),"")</f>
        <v/>
      </c>
      <c r="I1213" t="str">
        <f>_xlfn.IFNA(VLOOKUP(Table1[[#This Row],[Tên đối tượng]],'DANH MỤC ĐỐI TƯỢNG'!A:J,10,0),"")</f>
        <v/>
      </c>
    </row>
    <row r="1214" spans="1:9" x14ac:dyDescent="0.3">
      <c r="A1214" t="str">
        <f t="shared" si="39"/>
        <v/>
      </c>
      <c r="D1214" t="str">
        <f t="shared" si="40"/>
        <v xml:space="preserve">. </v>
      </c>
      <c r="E1214" s="5" t="str">
        <f t="shared" si="41"/>
        <v/>
      </c>
      <c r="F1214" t="str">
        <f>IFERROR(VLOOKUP(Table1[[#This Row],[Tên đối tượng]],'DANH MỤC ĐỐI TƯỢNG'!A:E,5,0),"")</f>
        <v/>
      </c>
      <c r="G1214" t="str">
        <f>_xlfn.IFNA(VLOOKUP(Table1[[#This Row],[Tên đối tượng]],'DANH MỤC ĐỐI TƯỢNG'!A:F,6,0),"")</f>
        <v/>
      </c>
      <c r="H1214" t="str">
        <f>_xlfn.IFNA(VLOOKUP(Table1[[#This Row],[Tên đối tượng]],'DANH MỤC ĐỐI TƯỢNG'!A:I,9,0),"")</f>
        <v/>
      </c>
      <c r="I1214" t="str">
        <f>_xlfn.IFNA(VLOOKUP(Table1[[#This Row],[Tên đối tượng]],'DANH MỤC ĐỐI TƯỢNG'!A:J,10,0),"")</f>
        <v/>
      </c>
    </row>
    <row r="1215" spans="1:9" x14ac:dyDescent="0.3">
      <c r="A1215" t="str">
        <f t="shared" si="39"/>
        <v/>
      </c>
      <c r="D1215" t="str">
        <f t="shared" si="40"/>
        <v xml:space="preserve">. </v>
      </c>
      <c r="E1215" s="5" t="str">
        <f t="shared" si="41"/>
        <v/>
      </c>
      <c r="F1215" t="str">
        <f>IFERROR(VLOOKUP(Table1[[#This Row],[Tên đối tượng]],'DANH MỤC ĐỐI TƯỢNG'!A:E,5,0),"")</f>
        <v/>
      </c>
      <c r="G1215" t="str">
        <f>_xlfn.IFNA(VLOOKUP(Table1[[#This Row],[Tên đối tượng]],'DANH MỤC ĐỐI TƯỢNG'!A:F,6,0),"")</f>
        <v/>
      </c>
      <c r="H1215" t="str">
        <f>_xlfn.IFNA(VLOOKUP(Table1[[#This Row],[Tên đối tượng]],'DANH MỤC ĐỐI TƯỢNG'!A:I,9,0),"")</f>
        <v/>
      </c>
      <c r="I1215" t="str">
        <f>_xlfn.IFNA(VLOOKUP(Table1[[#This Row],[Tên đối tượng]],'DANH MỤC ĐỐI TƯỢNG'!A:J,10,0),"")</f>
        <v/>
      </c>
    </row>
    <row r="1216" spans="1:9" x14ac:dyDescent="0.3">
      <c r="A1216" t="str">
        <f t="shared" ref="A1216:A1279" si="42">IF(B1216&lt;&gt;0,ROW()-3,"")</f>
        <v/>
      </c>
      <c r="D1216" t="str">
        <f t="shared" si="40"/>
        <v xml:space="preserve">. </v>
      </c>
      <c r="E1216" s="5" t="str">
        <f t="shared" si="41"/>
        <v/>
      </c>
      <c r="F1216" t="str">
        <f>IFERROR(VLOOKUP(Table1[[#This Row],[Tên đối tượng]],'DANH MỤC ĐỐI TƯỢNG'!A:E,5,0),"")</f>
        <v/>
      </c>
      <c r="G1216" t="str">
        <f>_xlfn.IFNA(VLOOKUP(Table1[[#This Row],[Tên đối tượng]],'DANH MỤC ĐỐI TƯỢNG'!A:F,6,0),"")</f>
        <v/>
      </c>
      <c r="H1216" t="str">
        <f>_xlfn.IFNA(VLOOKUP(Table1[[#This Row],[Tên đối tượng]],'DANH MỤC ĐỐI TƯỢNG'!A:I,9,0),"")</f>
        <v/>
      </c>
      <c r="I1216" t="str">
        <f>_xlfn.IFNA(VLOOKUP(Table1[[#This Row],[Tên đối tượng]],'DANH MỤC ĐỐI TƯỢNG'!A:J,10,0),"")</f>
        <v/>
      </c>
    </row>
    <row r="1217" spans="1:9" x14ac:dyDescent="0.3">
      <c r="A1217" t="str">
        <f t="shared" si="42"/>
        <v/>
      </c>
      <c r="D1217" t="str">
        <f t="shared" si="40"/>
        <v xml:space="preserve">. </v>
      </c>
      <c r="E1217" s="5" t="str">
        <f t="shared" si="41"/>
        <v/>
      </c>
      <c r="F1217" t="str">
        <f>IFERROR(VLOOKUP(Table1[[#This Row],[Tên đối tượng]],'DANH MỤC ĐỐI TƯỢNG'!A:E,5,0),"")</f>
        <v/>
      </c>
      <c r="G1217" t="str">
        <f>_xlfn.IFNA(VLOOKUP(Table1[[#This Row],[Tên đối tượng]],'DANH MỤC ĐỐI TƯỢNG'!A:F,6,0),"")</f>
        <v/>
      </c>
      <c r="H1217" t="str">
        <f>_xlfn.IFNA(VLOOKUP(Table1[[#This Row],[Tên đối tượng]],'DANH MỤC ĐỐI TƯỢNG'!A:I,9,0),"")</f>
        <v/>
      </c>
      <c r="I1217" t="str">
        <f>_xlfn.IFNA(VLOOKUP(Table1[[#This Row],[Tên đối tượng]],'DANH MỤC ĐỐI TƯỢNG'!A:J,10,0),"")</f>
        <v/>
      </c>
    </row>
    <row r="1218" spans="1:9" x14ac:dyDescent="0.3">
      <c r="A1218" t="str">
        <f t="shared" si="42"/>
        <v/>
      </c>
      <c r="D1218" t="str">
        <f t="shared" si="40"/>
        <v xml:space="preserve">. </v>
      </c>
      <c r="E1218" s="5" t="str">
        <f t="shared" si="41"/>
        <v/>
      </c>
      <c r="F1218" t="str">
        <f>IFERROR(VLOOKUP(Table1[[#This Row],[Tên đối tượng]],'DANH MỤC ĐỐI TƯỢNG'!A:E,5,0),"")</f>
        <v/>
      </c>
      <c r="G1218" t="str">
        <f>_xlfn.IFNA(VLOOKUP(Table1[[#This Row],[Tên đối tượng]],'DANH MỤC ĐỐI TƯỢNG'!A:F,6,0),"")</f>
        <v/>
      </c>
      <c r="H1218" t="str">
        <f>_xlfn.IFNA(VLOOKUP(Table1[[#This Row],[Tên đối tượng]],'DANH MỤC ĐỐI TƯỢNG'!A:I,9,0),"")</f>
        <v/>
      </c>
      <c r="I1218" t="str">
        <f>_xlfn.IFNA(VLOOKUP(Table1[[#This Row],[Tên đối tượng]],'DANH MỤC ĐỐI TƯỢNG'!A:J,10,0),"")</f>
        <v/>
      </c>
    </row>
    <row r="1219" spans="1:9" x14ac:dyDescent="0.3">
      <c r="A1219" t="str">
        <f t="shared" si="42"/>
        <v/>
      </c>
      <c r="D1219" t="str">
        <f t="shared" si="40"/>
        <v xml:space="preserve">. </v>
      </c>
      <c r="E1219" s="5" t="str">
        <f t="shared" si="41"/>
        <v/>
      </c>
      <c r="F1219" t="str">
        <f>IFERROR(VLOOKUP(Table1[[#This Row],[Tên đối tượng]],'DANH MỤC ĐỐI TƯỢNG'!A:E,5,0),"")</f>
        <v/>
      </c>
      <c r="G1219" t="str">
        <f>_xlfn.IFNA(VLOOKUP(Table1[[#This Row],[Tên đối tượng]],'DANH MỤC ĐỐI TƯỢNG'!A:F,6,0),"")</f>
        <v/>
      </c>
      <c r="H1219" t="str">
        <f>_xlfn.IFNA(VLOOKUP(Table1[[#This Row],[Tên đối tượng]],'DANH MỤC ĐỐI TƯỢNG'!A:I,9,0),"")</f>
        <v/>
      </c>
      <c r="I1219" t="str">
        <f>_xlfn.IFNA(VLOOKUP(Table1[[#This Row],[Tên đối tượng]],'DANH MỤC ĐỐI TƯỢNG'!A:J,10,0),"")</f>
        <v/>
      </c>
    </row>
    <row r="1220" spans="1:9" x14ac:dyDescent="0.3">
      <c r="A1220" t="str">
        <f t="shared" si="42"/>
        <v/>
      </c>
      <c r="D1220" t="str">
        <f t="shared" si="40"/>
        <v xml:space="preserve">. </v>
      </c>
      <c r="E1220" s="5" t="str">
        <f t="shared" si="41"/>
        <v/>
      </c>
      <c r="F1220" t="str">
        <f>IFERROR(VLOOKUP(Table1[[#This Row],[Tên đối tượng]],'DANH MỤC ĐỐI TƯỢNG'!A:E,5,0),"")</f>
        <v/>
      </c>
      <c r="G1220" t="str">
        <f>_xlfn.IFNA(VLOOKUP(Table1[[#This Row],[Tên đối tượng]],'DANH MỤC ĐỐI TƯỢNG'!A:F,6,0),"")</f>
        <v/>
      </c>
      <c r="H1220" t="str">
        <f>_xlfn.IFNA(VLOOKUP(Table1[[#This Row],[Tên đối tượng]],'DANH MỤC ĐỐI TƯỢNG'!A:I,9,0),"")</f>
        <v/>
      </c>
      <c r="I1220" t="str">
        <f>_xlfn.IFNA(VLOOKUP(Table1[[#This Row],[Tên đối tượng]],'DANH MỤC ĐỐI TƯỢNG'!A:J,10,0),"")</f>
        <v/>
      </c>
    </row>
    <row r="1221" spans="1:9" x14ac:dyDescent="0.3">
      <c r="A1221" t="str">
        <f t="shared" si="42"/>
        <v/>
      </c>
      <c r="D1221" t="str">
        <f t="shared" ref="D1221:D1284" si="43">A1221&amp;". "&amp;B1221</f>
        <v xml:space="preserve">. </v>
      </c>
      <c r="E1221" s="5" t="str">
        <f t="shared" ref="E1221:E1284" si="44">IF(B1221&lt;&gt;"",HYPERLINK($A$2&amp;D1221,C1221),"")</f>
        <v/>
      </c>
      <c r="F1221" t="str">
        <f>IFERROR(VLOOKUP(Table1[[#This Row],[Tên đối tượng]],'DANH MỤC ĐỐI TƯỢNG'!A:E,5,0),"")</f>
        <v/>
      </c>
      <c r="G1221" t="str">
        <f>_xlfn.IFNA(VLOOKUP(Table1[[#This Row],[Tên đối tượng]],'DANH MỤC ĐỐI TƯỢNG'!A:F,6,0),"")</f>
        <v/>
      </c>
      <c r="H1221" t="str">
        <f>_xlfn.IFNA(VLOOKUP(Table1[[#This Row],[Tên đối tượng]],'DANH MỤC ĐỐI TƯỢNG'!A:I,9,0),"")</f>
        <v/>
      </c>
      <c r="I1221" t="str">
        <f>_xlfn.IFNA(VLOOKUP(Table1[[#This Row],[Tên đối tượng]],'DANH MỤC ĐỐI TƯỢNG'!A:J,10,0),"")</f>
        <v/>
      </c>
    </row>
    <row r="1222" spans="1:9" x14ac:dyDescent="0.3">
      <c r="A1222" t="str">
        <f t="shared" si="42"/>
        <v/>
      </c>
      <c r="D1222" t="str">
        <f t="shared" si="43"/>
        <v xml:space="preserve">. </v>
      </c>
      <c r="E1222" s="5" t="str">
        <f t="shared" si="44"/>
        <v/>
      </c>
      <c r="F1222" t="str">
        <f>IFERROR(VLOOKUP(Table1[[#This Row],[Tên đối tượng]],'DANH MỤC ĐỐI TƯỢNG'!A:E,5,0),"")</f>
        <v/>
      </c>
      <c r="G1222" t="str">
        <f>_xlfn.IFNA(VLOOKUP(Table1[[#This Row],[Tên đối tượng]],'DANH MỤC ĐỐI TƯỢNG'!A:F,6,0),"")</f>
        <v/>
      </c>
      <c r="H1222" t="str">
        <f>_xlfn.IFNA(VLOOKUP(Table1[[#This Row],[Tên đối tượng]],'DANH MỤC ĐỐI TƯỢNG'!A:I,9,0),"")</f>
        <v/>
      </c>
      <c r="I1222" t="str">
        <f>_xlfn.IFNA(VLOOKUP(Table1[[#This Row],[Tên đối tượng]],'DANH MỤC ĐỐI TƯỢNG'!A:J,10,0),"")</f>
        <v/>
      </c>
    </row>
    <row r="1223" spans="1:9" x14ac:dyDescent="0.3">
      <c r="A1223" t="str">
        <f t="shared" si="42"/>
        <v/>
      </c>
      <c r="D1223" t="str">
        <f t="shared" si="43"/>
        <v xml:space="preserve">. </v>
      </c>
      <c r="E1223" s="5" t="str">
        <f t="shared" si="44"/>
        <v/>
      </c>
      <c r="F1223" t="str">
        <f>IFERROR(VLOOKUP(Table1[[#This Row],[Tên đối tượng]],'DANH MỤC ĐỐI TƯỢNG'!A:E,5,0),"")</f>
        <v/>
      </c>
      <c r="G1223" t="str">
        <f>_xlfn.IFNA(VLOOKUP(Table1[[#This Row],[Tên đối tượng]],'DANH MỤC ĐỐI TƯỢNG'!A:F,6,0),"")</f>
        <v/>
      </c>
      <c r="H1223" t="str">
        <f>_xlfn.IFNA(VLOOKUP(Table1[[#This Row],[Tên đối tượng]],'DANH MỤC ĐỐI TƯỢNG'!A:I,9,0),"")</f>
        <v/>
      </c>
      <c r="I1223" t="str">
        <f>_xlfn.IFNA(VLOOKUP(Table1[[#This Row],[Tên đối tượng]],'DANH MỤC ĐỐI TƯỢNG'!A:J,10,0),"")</f>
        <v/>
      </c>
    </row>
    <row r="1224" spans="1:9" x14ac:dyDescent="0.3">
      <c r="A1224" t="str">
        <f t="shared" si="42"/>
        <v/>
      </c>
      <c r="D1224" t="str">
        <f t="shared" si="43"/>
        <v xml:space="preserve">. </v>
      </c>
      <c r="E1224" s="5" t="str">
        <f t="shared" si="44"/>
        <v/>
      </c>
      <c r="F1224" t="str">
        <f>IFERROR(VLOOKUP(Table1[[#This Row],[Tên đối tượng]],'DANH MỤC ĐỐI TƯỢNG'!A:E,5,0),"")</f>
        <v/>
      </c>
      <c r="G1224" t="str">
        <f>_xlfn.IFNA(VLOOKUP(Table1[[#This Row],[Tên đối tượng]],'DANH MỤC ĐỐI TƯỢNG'!A:F,6,0),"")</f>
        <v/>
      </c>
      <c r="H1224" t="str">
        <f>_xlfn.IFNA(VLOOKUP(Table1[[#This Row],[Tên đối tượng]],'DANH MỤC ĐỐI TƯỢNG'!A:I,9,0),"")</f>
        <v/>
      </c>
      <c r="I1224" t="str">
        <f>_xlfn.IFNA(VLOOKUP(Table1[[#This Row],[Tên đối tượng]],'DANH MỤC ĐỐI TƯỢNG'!A:J,10,0),"")</f>
        <v/>
      </c>
    </row>
    <row r="1225" spans="1:9" x14ac:dyDescent="0.3">
      <c r="A1225" t="str">
        <f t="shared" si="42"/>
        <v/>
      </c>
      <c r="D1225" t="str">
        <f t="shared" si="43"/>
        <v xml:space="preserve">. </v>
      </c>
      <c r="E1225" s="5" t="str">
        <f t="shared" si="44"/>
        <v/>
      </c>
      <c r="F1225" t="str">
        <f>IFERROR(VLOOKUP(Table1[[#This Row],[Tên đối tượng]],'DANH MỤC ĐỐI TƯỢNG'!A:E,5,0),"")</f>
        <v/>
      </c>
      <c r="G1225" t="str">
        <f>_xlfn.IFNA(VLOOKUP(Table1[[#This Row],[Tên đối tượng]],'DANH MỤC ĐỐI TƯỢNG'!A:F,6,0),"")</f>
        <v/>
      </c>
      <c r="H1225" t="str">
        <f>_xlfn.IFNA(VLOOKUP(Table1[[#This Row],[Tên đối tượng]],'DANH MỤC ĐỐI TƯỢNG'!A:I,9,0),"")</f>
        <v/>
      </c>
      <c r="I1225" t="str">
        <f>_xlfn.IFNA(VLOOKUP(Table1[[#This Row],[Tên đối tượng]],'DANH MỤC ĐỐI TƯỢNG'!A:J,10,0),"")</f>
        <v/>
      </c>
    </row>
    <row r="1226" spans="1:9" x14ac:dyDescent="0.3">
      <c r="A1226" t="str">
        <f t="shared" si="42"/>
        <v/>
      </c>
      <c r="D1226" t="str">
        <f t="shared" si="43"/>
        <v xml:space="preserve">. </v>
      </c>
      <c r="E1226" s="5" t="str">
        <f t="shared" si="44"/>
        <v/>
      </c>
      <c r="F1226" t="str">
        <f>IFERROR(VLOOKUP(Table1[[#This Row],[Tên đối tượng]],'DANH MỤC ĐỐI TƯỢNG'!A:E,5,0),"")</f>
        <v/>
      </c>
      <c r="G1226" t="str">
        <f>_xlfn.IFNA(VLOOKUP(Table1[[#This Row],[Tên đối tượng]],'DANH MỤC ĐỐI TƯỢNG'!A:F,6,0),"")</f>
        <v/>
      </c>
      <c r="H1226" t="str">
        <f>_xlfn.IFNA(VLOOKUP(Table1[[#This Row],[Tên đối tượng]],'DANH MỤC ĐỐI TƯỢNG'!A:I,9,0),"")</f>
        <v/>
      </c>
      <c r="I1226" t="str">
        <f>_xlfn.IFNA(VLOOKUP(Table1[[#This Row],[Tên đối tượng]],'DANH MỤC ĐỐI TƯỢNG'!A:J,10,0),"")</f>
        <v/>
      </c>
    </row>
    <row r="1227" spans="1:9" x14ac:dyDescent="0.3">
      <c r="A1227" t="str">
        <f t="shared" si="42"/>
        <v/>
      </c>
      <c r="D1227" t="str">
        <f t="shared" si="43"/>
        <v xml:space="preserve">. </v>
      </c>
      <c r="E1227" s="5" t="str">
        <f t="shared" si="44"/>
        <v/>
      </c>
      <c r="F1227" t="str">
        <f>IFERROR(VLOOKUP(Table1[[#This Row],[Tên đối tượng]],'DANH MỤC ĐỐI TƯỢNG'!A:E,5,0),"")</f>
        <v/>
      </c>
      <c r="G1227" t="str">
        <f>_xlfn.IFNA(VLOOKUP(Table1[[#This Row],[Tên đối tượng]],'DANH MỤC ĐỐI TƯỢNG'!A:F,6,0),"")</f>
        <v/>
      </c>
      <c r="H1227" t="str">
        <f>_xlfn.IFNA(VLOOKUP(Table1[[#This Row],[Tên đối tượng]],'DANH MỤC ĐỐI TƯỢNG'!A:I,9,0),"")</f>
        <v/>
      </c>
      <c r="I1227" t="str">
        <f>_xlfn.IFNA(VLOOKUP(Table1[[#This Row],[Tên đối tượng]],'DANH MỤC ĐỐI TƯỢNG'!A:J,10,0),"")</f>
        <v/>
      </c>
    </row>
    <row r="1228" spans="1:9" x14ac:dyDescent="0.3">
      <c r="A1228" t="str">
        <f t="shared" si="42"/>
        <v/>
      </c>
      <c r="D1228" t="str">
        <f t="shared" si="43"/>
        <v xml:space="preserve">. </v>
      </c>
      <c r="E1228" s="5" t="str">
        <f t="shared" si="44"/>
        <v/>
      </c>
      <c r="F1228" t="str">
        <f>IFERROR(VLOOKUP(Table1[[#This Row],[Tên đối tượng]],'DANH MỤC ĐỐI TƯỢNG'!A:E,5,0),"")</f>
        <v/>
      </c>
      <c r="G1228" t="str">
        <f>_xlfn.IFNA(VLOOKUP(Table1[[#This Row],[Tên đối tượng]],'DANH MỤC ĐỐI TƯỢNG'!A:F,6,0),"")</f>
        <v/>
      </c>
      <c r="H1228" t="str">
        <f>_xlfn.IFNA(VLOOKUP(Table1[[#This Row],[Tên đối tượng]],'DANH MỤC ĐỐI TƯỢNG'!A:I,9,0),"")</f>
        <v/>
      </c>
      <c r="I1228" t="str">
        <f>_xlfn.IFNA(VLOOKUP(Table1[[#This Row],[Tên đối tượng]],'DANH MỤC ĐỐI TƯỢNG'!A:J,10,0),"")</f>
        <v/>
      </c>
    </row>
    <row r="1229" spans="1:9" x14ac:dyDescent="0.3">
      <c r="A1229" t="str">
        <f t="shared" si="42"/>
        <v/>
      </c>
      <c r="D1229" t="str">
        <f t="shared" si="43"/>
        <v xml:space="preserve">. </v>
      </c>
      <c r="E1229" s="5" t="str">
        <f t="shared" si="44"/>
        <v/>
      </c>
      <c r="F1229" t="str">
        <f>IFERROR(VLOOKUP(Table1[[#This Row],[Tên đối tượng]],'DANH MỤC ĐỐI TƯỢNG'!A:E,5,0),"")</f>
        <v/>
      </c>
      <c r="G1229" t="str">
        <f>_xlfn.IFNA(VLOOKUP(Table1[[#This Row],[Tên đối tượng]],'DANH MỤC ĐỐI TƯỢNG'!A:F,6,0),"")</f>
        <v/>
      </c>
      <c r="H1229" t="str">
        <f>_xlfn.IFNA(VLOOKUP(Table1[[#This Row],[Tên đối tượng]],'DANH MỤC ĐỐI TƯỢNG'!A:I,9,0),"")</f>
        <v/>
      </c>
      <c r="I1229" t="str">
        <f>_xlfn.IFNA(VLOOKUP(Table1[[#This Row],[Tên đối tượng]],'DANH MỤC ĐỐI TƯỢNG'!A:J,10,0),"")</f>
        <v/>
      </c>
    </row>
    <row r="1230" spans="1:9" x14ac:dyDescent="0.3">
      <c r="A1230" t="str">
        <f t="shared" si="42"/>
        <v/>
      </c>
      <c r="D1230" t="str">
        <f t="shared" si="43"/>
        <v xml:space="preserve">. </v>
      </c>
      <c r="E1230" s="5" t="str">
        <f t="shared" si="44"/>
        <v/>
      </c>
      <c r="F1230" t="str">
        <f>IFERROR(VLOOKUP(Table1[[#This Row],[Tên đối tượng]],'DANH MỤC ĐỐI TƯỢNG'!A:E,5,0),"")</f>
        <v/>
      </c>
      <c r="G1230" t="str">
        <f>_xlfn.IFNA(VLOOKUP(Table1[[#This Row],[Tên đối tượng]],'DANH MỤC ĐỐI TƯỢNG'!A:F,6,0),"")</f>
        <v/>
      </c>
      <c r="H1230" t="str">
        <f>_xlfn.IFNA(VLOOKUP(Table1[[#This Row],[Tên đối tượng]],'DANH MỤC ĐỐI TƯỢNG'!A:I,9,0),"")</f>
        <v/>
      </c>
      <c r="I1230" t="str">
        <f>_xlfn.IFNA(VLOOKUP(Table1[[#This Row],[Tên đối tượng]],'DANH MỤC ĐỐI TƯỢNG'!A:J,10,0),"")</f>
        <v/>
      </c>
    </row>
    <row r="1231" spans="1:9" x14ac:dyDescent="0.3">
      <c r="A1231" t="str">
        <f t="shared" si="42"/>
        <v/>
      </c>
      <c r="D1231" t="str">
        <f t="shared" si="43"/>
        <v xml:space="preserve">. </v>
      </c>
      <c r="E1231" s="5" t="str">
        <f t="shared" si="44"/>
        <v/>
      </c>
      <c r="F1231" t="str">
        <f>IFERROR(VLOOKUP(Table1[[#This Row],[Tên đối tượng]],'DANH MỤC ĐỐI TƯỢNG'!A:E,5,0),"")</f>
        <v/>
      </c>
      <c r="G1231" t="str">
        <f>_xlfn.IFNA(VLOOKUP(Table1[[#This Row],[Tên đối tượng]],'DANH MỤC ĐỐI TƯỢNG'!A:F,6,0),"")</f>
        <v/>
      </c>
      <c r="H1231" t="str">
        <f>_xlfn.IFNA(VLOOKUP(Table1[[#This Row],[Tên đối tượng]],'DANH MỤC ĐỐI TƯỢNG'!A:I,9,0),"")</f>
        <v/>
      </c>
      <c r="I1231" t="str">
        <f>_xlfn.IFNA(VLOOKUP(Table1[[#This Row],[Tên đối tượng]],'DANH MỤC ĐỐI TƯỢNG'!A:J,10,0),"")</f>
        <v/>
      </c>
    </row>
    <row r="1232" spans="1:9" x14ac:dyDescent="0.3">
      <c r="A1232" t="str">
        <f t="shared" si="42"/>
        <v/>
      </c>
      <c r="D1232" t="str">
        <f t="shared" si="43"/>
        <v xml:space="preserve">. </v>
      </c>
      <c r="E1232" s="5" t="str">
        <f t="shared" si="44"/>
        <v/>
      </c>
      <c r="F1232" t="str">
        <f>IFERROR(VLOOKUP(Table1[[#This Row],[Tên đối tượng]],'DANH MỤC ĐỐI TƯỢNG'!A:E,5,0),"")</f>
        <v/>
      </c>
      <c r="G1232" t="str">
        <f>_xlfn.IFNA(VLOOKUP(Table1[[#This Row],[Tên đối tượng]],'DANH MỤC ĐỐI TƯỢNG'!A:F,6,0),"")</f>
        <v/>
      </c>
      <c r="H1232" t="str">
        <f>_xlfn.IFNA(VLOOKUP(Table1[[#This Row],[Tên đối tượng]],'DANH MỤC ĐỐI TƯỢNG'!A:I,9,0),"")</f>
        <v/>
      </c>
      <c r="I1232" t="str">
        <f>_xlfn.IFNA(VLOOKUP(Table1[[#This Row],[Tên đối tượng]],'DANH MỤC ĐỐI TƯỢNG'!A:J,10,0),"")</f>
        <v/>
      </c>
    </row>
    <row r="1233" spans="1:9" x14ac:dyDescent="0.3">
      <c r="A1233" t="str">
        <f t="shared" si="42"/>
        <v/>
      </c>
      <c r="D1233" t="str">
        <f t="shared" si="43"/>
        <v xml:space="preserve">. </v>
      </c>
      <c r="E1233" s="5" t="str">
        <f t="shared" si="44"/>
        <v/>
      </c>
      <c r="F1233" t="str">
        <f>IFERROR(VLOOKUP(Table1[[#This Row],[Tên đối tượng]],'DANH MỤC ĐỐI TƯỢNG'!A:E,5,0),"")</f>
        <v/>
      </c>
      <c r="G1233" t="str">
        <f>_xlfn.IFNA(VLOOKUP(Table1[[#This Row],[Tên đối tượng]],'DANH MỤC ĐỐI TƯỢNG'!A:F,6,0),"")</f>
        <v/>
      </c>
      <c r="H1233" t="str">
        <f>_xlfn.IFNA(VLOOKUP(Table1[[#This Row],[Tên đối tượng]],'DANH MỤC ĐỐI TƯỢNG'!A:I,9,0),"")</f>
        <v/>
      </c>
      <c r="I1233" t="str">
        <f>_xlfn.IFNA(VLOOKUP(Table1[[#This Row],[Tên đối tượng]],'DANH MỤC ĐỐI TƯỢNG'!A:J,10,0),"")</f>
        <v/>
      </c>
    </row>
    <row r="1234" spans="1:9" x14ac:dyDescent="0.3">
      <c r="A1234" t="str">
        <f t="shared" si="42"/>
        <v/>
      </c>
      <c r="D1234" t="str">
        <f t="shared" si="43"/>
        <v xml:space="preserve">. </v>
      </c>
      <c r="E1234" s="5" t="str">
        <f t="shared" si="44"/>
        <v/>
      </c>
      <c r="F1234" t="str">
        <f>IFERROR(VLOOKUP(Table1[[#This Row],[Tên đối tượng]],'DANH MỤC ĐỐI TƯỢNG'!A:E,5,0),"")</f>
        <v/>
      </c>
      <c r="G1234" t="str">
        <f>_xlfn.IFNA(VLOOKUP(Table1[[#This Row],[Tên đối tượng]],'DANH MỤC ĐỐI TƯỢNG'!A:F,6,0),"")</f>
        <v/>
      </c>
      <c r="H1234" t="str">
        <f>_xlfn.IFNA(VLOOKUP(Table1[[#This Row],[Tên đối tượng]],'DANH MỤC ĐỐI TƯỢNG'!A:I,9,0),"")</f>
        <v/>
      </c>
      <c r="I1234" t="str">
        <f>_xlfn.IFNA(VLOOKUP(Table1[[#This Row],[Tên đối tượng]],'DANH MỤC ĐỐI TƯỢNG'!A:J,10,0),"")</f>
        <v/>
      </c>
    </row>
    <row r="1235" spans="1:9" x14ac:dyDescent="0.3">
      <c r="A1235" t="str">
        <f t="shared" si="42"/>
        <v/>
      </c>
      <c r="D1235" t="str">
        <f t="shared" si="43"/>
        <v xml:space="preserve">. </v>
      </c>
      <c r="E1235" s="5" t="str">
        <f t="shared" si="44"/>
        <v/>
      </c>
      <c r="F1235" t="str">
        <f>IFERROR(VLOOKUP(Table1[[#This Row],[Tên đối tượng]],'DANH MỤC ĐỐI TƯỢNG'!A:E,5,0),"")</f>
        <v/>
      </c>
      <c r="G1235" t="str">
        <f>_xlfn.IFNA(VLOOKUP(Table1[[#This Row],[Tên đối tượng]],'DANH MỤC ĐỐI TƯỢNG'!A:F,6,0),"")</f>
        <v/>
      </c>
      <c r="H1235" t="str">
        <f>_xlfn.IFNA(VLOOKUP(Table1[[#This Row],[Tên đối tượng]],'DANH MỤC ĐỐI TƯỢNG'!A:I,9,0),"")</f>
        <v/>
      </c>
      <c r="I1235" t="str">
        <f>_xlfn.IFNA(VLOOKUP(Table1[[#This Row],[Tên đối tượng]],'DANH MỤC ĐỐI TƯỢNG'!A:J,10,0),"")</f>
        <v/>
      </c>
    </row>
    <row r="1236" spans="1:9" x14ac:dyDescent="0.3">
      <c r="A1236" t="str">
        <f t="shared" si="42"/>
        <v/>
      </c>
      <c r="D1236" t="str">
        <f t="shared" si="43"/>
        <v xml:space="preserve">. </v>
      </c>
      <c r="E1236" s="5" t="str">
        <f t="shared" si="44"/>
        <v/>
      </c>
      <c r="F1236" t="str">
        <f>IFERROR(VLOOKUP(Table1[[#This Row],[Tên đối tượng]],'DANH MỤC ĐỐI TƯỢNG'!A:E,5,0),"")</f>
        <v/>
      </c>
      <c r="G1236" t="str">
        <f>_xlfn.IFNA(VLOOKUP(Table1[[#This Row],[Tên đối tượng]],'DANH MỤC ĐỐI TƯỢNG'!A:F,6,0),"")</f>
        <v/>
      </c>
      <c r="H1236" t="str">
        <f>_xlfn.IFNA(VLOOKUP(Table1[[#This Row],[Tên đối tượng]],'DANH MỤC ĐỐI TƯỢNG'!A:I,9,0),"")</f>
        <v/>
      </c>
      <c r="I1236" t="str">
        <f>_xlfn.IFNA(VLOOKUP(Table1[[#This Row],[Tên đối tượng]],'DANH MỤC ĐỐI TƯỢNG'!A:J,10,0),"")</f>
        <v/>
      </c>
    </row>
    <row r="1237" spans="1:9" x14ac:dyDescent="0.3">
      <c r="A1237" t="str">
        <f t="shared" si="42"/>
        <v/>
      </c>
      <c r="D1237" t="str">
        <f t="shared" si="43"/>
        <v xml:space="preserve">. </v>
      </c>
      <c r="E1237" s="5" t="str">
        <f t="shared" si="44"/>
        <v/>
      </c>
      <c r="F1237" t="str">
        <f>IFERROR(VLOOKUP(Table1[[#This Row],[Tên đối tượng]],'DANH MỤC ĐỐI TƯỢNG'!A:E,5,0),"")</f>
        <v/>
      </c>
      <c r="G1237" t="str">
        <f>_xlfn.IFNA(VLOOKUP(Table1[[#This Row],[Tên đối tượng]],'DANH MỤC ĐỐI TƯỢNG'!A:F,6,0),"")</f>
        <v/>
      </c>
      <c r="H1237" t="str">
        <f>_xlfn.IFNA(VLOOKUP(Table1[[#This Row],[Tên đối tượng]],'DANH MỤC ĐỐI TƯỢNG'!A:I,9,0),"")</f>
        <v/>
      </c>
      <c r="I1237" t="str">
        <f>_xlfn.IFNA(VLOOKUP(Table1[[#This Row],[Tên đối tượng]],'DANH MỤC ĐỐI TƯỢNG'!A:J,10,0),"")</f>
        <v/>
      </c>
    </row>
    <row r="1238" spans="1:9" x14ac:dyDescent="0.3">
      <c r="A1238" t="str">
        <f t="shared" si="42"/>
        <v/>
      </c>
      <c r="D1238" t="str">
        <f t="shared" si="43"/>
        <v xml:space="preserve">. </v>
      </c>
      <c r="E1238" s="5" t="str">
        <f t="shared" si="44"/>
        <v/>
      </c>
      <c r="F1238" t="str">
        <f>IFERROR(VLOOKUP(Table1[[#This Row],[Tên đối tượng]],'DANH MỤC ĐỐI TƯỢNG'!A:E,5,0),"")</f>
        <v/>
      </c>
      <c r="G1238" t="str">
        <f>_xlfn.IFNA(VLOOKUP(Table1[[#This Row],[Tên đối tượng]],'DANH MỤC ĐỐI TƯỢNG'!A:F,6,0),"")</f>
        <v/>
      </c>
      <c r="H1238" t="str">
        <f>_xlfn.IFNA(VLOOKUP(Table1[[#This Row],[Tên đối tượng]],'DANH MỤC ĐỐI TƯỢNG'!A:I,9,0),"")</f>
        <v/>
      </c>
      <c r="I1238" t="str">
        <f>_xlfn.IFNA(VLOOKUP(Table1[[#This Row],[Tên đối tượng]],'DANH MỤC ĐỐI TƯỢNG'!A:J,10,0),"")</f>
        <v/>
      </c>
    </row>
    <row r="1239" spans="1:9" x14ac:dyDescent="0.3">
      <c r="A1239" t="str">
        <f t="shared" si="42"/>
        <v/>
      </c>
      <c r="D1239" t="str">
        <f t="shared" si="43"/>
        <v xml:space="preserve">. </v>
      </c>
      <c r="E1239" s="5" t="str">
        <f t="shared" si="44"/>
        <v/>
      </c>
      <c r="F1239" t="str">
        <f>IFERROR(VLOOKUP(Table1[[#This Row],[Tên đối tượng]],'DANH MỤC ĐỐI TƯỢNG'!A:E,5,0),"")</f>
        <v/>
      </c>
      <c r="G1239" t="str">
        <f>_xlfn.IFNA(VLOOKUP(Table1[[#This Row],[Tên đối tượng]],'DANH MỤC ĐỐI TƯỢNG'!A:F,6,0),"")</f>
        <v/>
      </c>
      <c r="H1239" t="str">
        <f>_xlfn.IFNA(VLOOKUP(Table1[[#This Row],[Tên đối tượng]],'DANH MỤC ĐỐI TƯỢNG'!A:I,9,0),"")</f>
        <v/>
      </c>
      <c r="I1239" t="str">
        <f>_xlfn.IFNA(VLOOKUP(Table1[[#This Row],[Tên đối tượng]],'DANH MỤC ĐỐI TƯỢNG'!A:J,10,0),"")</f>
        <v/>
      </c>
    </row>
    <row r="1240" spans="1:9" x14ac:dyDescent="0.3">
      <c r="A1240" t="str">
        <f t="shared" si="42"/>
        <v/>
      </c>
      <c r="D1240" t="str">
        <f t="shared" si="43"/>
        <v xml:space="preserve">. </v>
      </c>
      <c r="E1240" s="5" t="str">
        <f t="shared" si="44"/>
        <v/>
      </c>
      <c r="F1240" t="str">
        <f>IFERROR(VLOOKUP(Table1[[#This Row],[Tên đối tượng]],'DANH MỤC ĐỐI TƯỢNG'!A:E,5,0),"")</f>
        <v/>
      </c>
      <c r="G1240" t="str">
        <f>_xlfn.IFNA(VLOOKUP(Table1[[#This Row],[Tên đối tượng]],'DANH MỤC ĐỐI TƯỢNG'!A:F,6,0),"")</f>
        <v/>
      </c>
      <c r="H1240" t="str">
        <f>_xlfn.IFNA(VLOOKUP(Table1[[#This Row],[Tên đối tượng]],'DANH MỤC ĐỐI TƯỢNG'!A:I,9,0),"")</f>
        <v/>
      </c>
      <c r="I1240" t="str">
        <f>_xlfn.IFNA(VLOOKUP(Table1[[#This Row],[Tên đối tượng]],'DANH MỤC ĐỐI TƯỢNG'!A:J,10,0),"")</f>
        <v/>
      </c>
    </row>
    <row r="1241" spans="1:9" x14ac:dyDescent="0.3">
      <c r="A1241" t="str">
        <f t="shared" si="42"/>
        <v/>
      </c>
      <c r="D1241" t="str">
        <f t="shared" si="43"/>
        <v xml:space="preserve">. </v>
      </c>
      <c r="E1241" s="5" t="str">
        <f t="shared" si="44"/>
        <v/>
      </c>
      <c r="F1241" t="str">
        <f>IFERROR(VLOOKUP(Table1[[#This Row],[Tên đối tượng]],'DANH MỤC ĐỐI TƯỢNG'!A:E,5,0),"")</f>
        <v/>
      </c>
      <c r="G1241" t="str">
        <f>_xlfn.IFNA(VLOOKUP(Table1[[#This Row],[Tên đối tượng]],'DANH MỤC ĐỐI TƯỢNG'!A:F,6,0),"")</f>
        <v/>
      </c>
      <c r="H1241" t="str">
        <f>_xlfn.IFNA(VLOOKUP(Table1[[#This Row],[Tên đối tượng]],'DANH MỤC ĐỐI TƯỢNG'!A:I,9,0),"")</f>
        <v/>
      </c>
      <c r="I1241" t="str">
        <f>_xlfn.IFNA(VLOOKUP(Table1[[#This Row],[Tên đối tượng]],'DANH MỤC ĐỐI TƯỢNG'!A:J,10,0),"")</f>
        <v/>
      </c>
    </row>
    <row r="1242" spans="1:9" x14ac:dyDescent="0.3">
      <c r="A1242" t="str">
        <f t="shared" si="42"/>
        <v/>
      </c>
      <c r="D1242" t="str">
        <f t="shared" si="43"/>
        <v xml:space="preserve">. </v>
      </c>
      <c r="E1242" s="5" t="str">
        <f t="shared" si="44"/>
        <v/>
      </c>
      <c r="F1242" t="str">
        <f>IFERROR(VLOOKUP(Table1[[#This Row],[Tên đối tượng]],'DANH MỤC ĐỐI TƯỢNG'!A:E,5,0),"")</f>
        <v/>
      </c>
      <c r="G1242" t="str">
        <f>_xlfn.IFNA(VLOOKUP(Table1[[#This Row],[Tên đối tượng]],'DANH MỤC ĐỐI TƯỢNG'!A:F,6,0),"")</f>
        <v/>
      </c>
      <c r="H1242" t="str">
        <f>_xlfn.IFNA(VLOOKUP(Table1[[#This Row],[Tên đối tượng]],'DANH MỤC ĐỐI TƯỢNG'!A:I,9,0),"")</f>
        <v/>
      </c>
      <c r="I1242" t="str">
        <f>_xlfn.IFNA(VLOOKUP(Table1[[#This Row],[Tên đối tượng]],'DANH MỤC ĐỐI TƯỢNG'!A:J,10,0),"")</f>
        <v/>
      </c>
    </row>
    <row r="1243" spans="1:9" x14ac:dyDescent="0.3">
      <c r="A1243" t="str">
        <f t="shared" si="42"/>
        <v/>
      </c>
      <c r="D1243" t="str">
        <f t="shared" si="43"/>
        <v xml:space="preserve">. </v>
      </c>
      <c r="E1243" s="5" t="str">
        <f t="shared" si="44"/>
        <v/>
      </c>
      <c r="F1243" t="str">
        <f>IFERROR(VLOOKUP(Table1[[#This Row],[Tên đối tượng]],'DANH MỤC ĐỐI TƯỢNG'!A:E,5,0),"")</f>
        <v/>
      </c>
      <c r="G1243" t="str">
        <f>_xlfn.IFNA(VLOOKUP(Table1[[#This Row],[Tên đối tượng]],'DANH MỤC ĐỐI TƯỢNG'!A:F,6,0),"")</f>
        <v/>
      </c>
      <c r="H1243" t="str">
        <f>_xlfn.IFNA(VLOOKUP(Table1[[#This Row],[Tên đối tượng]],'DANH MỤC ĐỐI TƯỢNG'!A:I,9,0),"")</f>
        <v/>
      </c>
      <c r="I1243" t="str">
        <f>_xlfn.IFNA(VLOOKUP(Table1[[#This Row],[Tên đối tượng]],'DANH MỤC ĐỐI TƯỢNG'!A:J,10,0),"")</f>
        <v/>
      </c>
    </row>
    <row r="1244" spans="1:9" x14ac:dyDescent="0.3">
      <c r="A1244" t="str">
        <f t="shared" si="42"/>
        <v/>
      </c>
      <c r="D1244" t="str">
        <f t="shared" si="43"/>
        <v xml:space="preserve">. </v>
      </c>
      <c r="E1244" s="5" t="str">
        <f t="shared" si="44"/>
        <v/>
      </c>
      <c r="F1244" t="str">
        <f>IFERROR(VLOOKUP(Table1[[#This Row],[Tên đối tượng]],'DANH MỤC ĐỐI TƯỢNG'!A:E,5,0),"")</f>
        <v/>
      </c>
      <c r="G1244" t="str">
        <f>_xlfn.IFNA(VLOOKUP(Table1[[#This Row],[Tên đối tượng]],'DANH MỤC ĐỐI TƯỢNG'!A:F,6,0),"")</f>
        <v/>
      </c>
      <c r="H1244" t="str">
        <f>_xlfn.IFNA(VLOOKUP(Table1[[#This Row],[Tên đối tượng]],'DANH MỤC ĐỐI TƯỢNG'!A:I,9,0),"")</f>
        <v/>
      </c>
      <c r="I1244" t="str">
        <f>_xlfn.IFNA(VLOOKUP(Table1[[#This Row],[Tên đối tượng]],'DANH MỤC ĐỐI TƯỢNG'!A:J,10,0),"")</f>
        <v/>
      </c>
    </row>
    <row r="1245" spans="1:9" x14ac:dyDescent="0.3">
      <c r="A1245" t="str">
        <f t="shared" si="42"/>
        <v/>
      </c>
      <c r="D1245" t="str">
        <f t="shared" si="43"/>
        <v xml:space="preserve">. </v>
      </c>
      <c r="E1245" s="5" t="str">
        <f t="shared" si="44"/>
        <v/>
      </c>
      <c r="F1245" t="str">
        <f>IFERROR(VLOOKUP(Table1[[#This Row],[Tên đối tượng]],'DANH MỤC ĐỐI TƯỢNG'!A:E,5,0),"")</f>
        <v/>
      </c>
      <c r="G1245" t="str">
        <f>_xlfn.IFNA(VLOOKUP(Table1[[#This Row],[Tên đối tượng]],'DANH MỤC ĐỐI TƯỢNG'!A:F,6,0),"")</f>
        <v/>
      </c>
      <c r="H1245" t="str">
        <f>_xlfn.IFNA(VLOOKUP(Table1[[#This Row],[Tên đối tượng]],'DANH MỤC ĐỐI TƯỢNG'!A:I,9,0),"")</f>
        <v/>
      </c>
      <c r="I1245" t="str">
        <f>_xlfn.IFNA(VLOOKUP(Table1[[#This Row],[Tên đối tượng]],'DANH MỤC ĐỐI TƯỢNG'!A:J,10,0),"")</f>
        <v/>
      </c>
    </row>
    <row r="1246" spans="1:9" x14ac:dyDescent="0.3">
      <c r="A1246" t="str">
        <f t="shared" si="42"/>
        <v/>
      </c>
      <c r="D1246" t="str">
        <f t="shared" si="43"/>
        <v xml:space="preserve">. </v>
      </c>
      <c r="E1246" s="5" t="str">
        <f t="shared" si="44"/>
        <v/>
      </c>
      <c r="F1246" t="str">
        <f>IFERROR(VLOOKUP(Table1[[#This Row],[Tên đối tượng]],'DANH MỤC ĐỐI TƯỢNG'!A:E,5,0),"")</f>
        <v/>
      </c>
      <c r="G1246" t="str">
        <f>_xlfn.IFNA(VLOOKUP(Table1[[#This Row],[Tên đối tượng]],'DANH MỤC ĐỐI TƯỢNG'!A:F,6,0),"")</f>
        <v/>
      </c>
      <c r="H1246" t="str">
        <f>_xlfn.IFNA(VLOOKUP(Table1[[#This Row],[Tên đối tượng]],'DANH MỤC ĐỐI TƯỢNG'!A:I,9,0),"")</f>
        <v/>
      </c>
      <c r="I1246" t="str">
        <f>_xlfn.IFNA(VLOOKUP(Table1[[#This Row],[Tên đối tượng]],'DANH MỤC ĐỐI TƯỢNG'!A:J,10,0),"")</f>
        <v/>
      </c>
    </row>
    <row r="1247" spans="1:9" x14ac:dyDescent="0.3">
      <c r="A1247" t="str">
        <f t="shared" si="42"/>
        <v/>
      </c>
      <c r="D1247" t="str">
        <f t="shared" si="43"/>
        <v xml:space="preserve">. </v>
      </c>
      <c r="E1247" s="5" t="str">
        <f t="shared" si="44"/>
        <v/>
      </c>
      <c r="F1247" t="str">
        <f>IFERROR(VLOOKUP(Table1[[#This Row],[Tên đối tượng]],'DANH MỤC ĐỐI TƯỢNG'!A:E,5,0),"")</f>
        <v/>
      </c>
      <c r="G1247" t="str">
        <f>_xlfn.IFNA(VLOOKUP(Table1[[#This Row],[Tên đối tượng]],'DANH MỤC ĐỐI TƯỢNG'!A:F,6,0),"")</f>
        <v/>
      </c>
      <c r="H1247" t="str">
        <f>_xlfn.IFNA(VLOOKUP(Table1[[#This Row],[Tên đối tượng]],'DANH MỤC ĐỐI TƯỢNG'!A:I,9,0),"")</f>
        <v/>
      </c>
      <c r="I1247" t="str">
        <f>_xlfn.IFNA(VLOOKUP(Table1[[#This Row],[Tên đối tượng]],'DANH MỤC ĐỐI TƯỢNG'!A:J,10,0),"")</f>
        <v/>
      </c>
    </row>
    <row r="1248" spans="1:9" x14ac:dyDescent="0.3">
      <c r="A1248" t="str">
        <f t="shared" si="42"/>
        <v/>
      </c>
      <c r="D1248" t="str">
        <f t="shared" si="43"/>
        <v xml:space="preserve">. </v>
      </c>
      <c r="E1248" s="5" t="str">
        <f t="shared" si="44"/>
        <v/>
      </c>
      <c r="F1248" t="str">
        <f>IFERROR(VLOOKUP(Table1[[#This Row],[Tên đối tượng]],'DANH MỤC ĐỐI TƯỢNG'!A:E,5,0),"")</f>
        <v/>
      </c>
      <c r="G1248" t="str">
        <f>_xlfn.IFNA(VLOOKUP(Table1[[#This Row],[Tên đối tượng]],'DANH MỤC ĐỐI TƯỢNG'!A:F,6,0),"")</f>
        <v/>
      </c>
      <c r="H1248" t="str">
        <f>_xlfn.IFNA(VLOOKUP(Table1[[#This Row],[Tên đối tượng]],'DANH MỤC ĐỐI TƯỢNG'!A:I,9,0),"")</f>
        <v/>
      </c>
      <c r="I1248" t="str">
        <f>_xlfn.IFNA(VLOOKUP(Table1[[#This Row],[Tên đối tượng]],'DANH MỤC ĐỐI TƯỢNG'!A:J,10,0),"")</f>
        <v/>
      </c>
    </row>
    <row r="1249" spans="1:9" x14ac:dyDescent="0.3">
      <c r="A1249" t="str">
        <f t="shared" si="42"/>
        <v/>
      </c>
      <c r="D1249" t="str">
        <f t="shared" si="43"/>
        <v xml:space="preserve">. </v>
      </c>
      <c r="E1249" s="5" t="str">
        <f t="shared" si="44"/>
        <v/>
      </c>
      <c r="F1249" t="str">
        <f>IFERROR(VLOOKUP(Table1[[#This Row],[Tên đối tượng]],'DANH MỤC ĐỐI TƯỢNG'!A:E,5,0),"")</f>
        <v/>
      </c>
      <c r="G1249" t="str">
        <f>_xlfn.IFNA(VLOOKUP(Table1[[#This Row],[Tên đối tượng]],'DANH MỤC ĐỐI TƯỢNG'!A:F,6,0),"")</f>
        <v/>
      </c>
      <c r="H1249" t="str">
        <f>_xlfn.IFNA(VLOOKUP(Table1[[#This Row],[Tên đối tượng]],'DANH MỤC ĐỐI TƯỢNG'!A:I,9,0),"")</f>
        <v/>
      </c>
      <c r="I1249" t="str">
        <f>_xlfn.IFNA(VLOOKUP(Table1[[#This Row],[Tên đối tượng]],'DANH MỤC ĐỐI TƯỢNG'!A:J,10,0),"")</f>
        <v/>
      </c>
    </row>
    <row r="1250" spans="1:9" x14ac:dyDescent="0.3">
      <c r="A1250" t="str">
        <f t="shared" si="42"/>
        <v/>
      </c>
      <c r="D1250" t="str">
        <f t="shared" si="43"/>
        <v xml:space="preserve">. </v>
      </c>
      <c r="E1250" s="5" t="str">
        <f t="shared" si="44"/>
        <v/>
      </c>
      <c r="F1250" t="str">
        <f>IFERROR(VLOOKUP(Table1[[#This Row],[Tên đối tượng]],'DANH MỤC ĐỐI TƯỢNG'!A:E,5,0),"")</f>
        <v/>
      </c>
      <c r="G1250" t="str">
        <f>_xlfn.IFNA(VLOOKUP(Table1[[#This Row],[Tên đối tượng]],'DANH MỤC ĐỐI TƯỢNG'!A:F,6,0),"")</f>
        <v/>
      </c>
      <c r="H1250" t="str">
        <f>_xlfn.IFNA(VLOOKUP(Table1[[#This Row],[Tên đối tượng]],'DANH MỤC ĐỐI TƯỢNG'!A:I,9,0),"")</f>
        <v/>
      </c>
      <c r="I1250" t="str">
        <f>_xlfn.IFNA(VLOOKUP(Table1[[#This Row],[Tên đối tượng]],'DANH MỤC ĐỐI TƯỢNG'!A:J,10,0),"")</f>
        <v/>
      </c>
    </row>
    <row r="1251" spans="1:9" x14ac:dyDescent="0.3">
      <c r="A1251" t="str">
        <f t="shared" si="42"/>
        <v/>
      </c>
      <c r="D1251" t="str">
        <f t="shared" si="43"/>
        <v xml:space="preserve">. </v>
      </c>
      <c r="E1251" s="5" t="str">
        <f t="shared" si="44"/>
        <v/>
      </c>
      <c r="F1251" t="str">
        <f>IFERROR(VLOOKUP(Table1[[#This Row],[Tên đối tượng]],'DANH MỤC ĐỐI TƯỢNG'!A:E,5,0),"")</f>
        <v/>
      </c>
      <c r="G1251" t="str">
        <f>_xlfn.IFNA(VLOOKUP(Table1[[#This Row],[Tên đối tượng]],'DANH MỤC ĐỐI TƯỢNG'!A:F,6,0),"")</f>
        <v/>
      </c>
      <c r="H1251" t="str">
        <f>_xlfn.IFNA(VLOOKUP(Table1[[#This Row],[Tên đối tượng]],'DANH MỤC ĐỐI TƯỢNG'!A:I,9,0),"")</f>
        <v/>
      </c>
      <c r="I1251" t="str">
        <f>_xlfn.IFNA(VLOOKUP(Table1[[#This Row],[Tên đối tượng]],'DANH MỤC ĐỐI TƯỢNG'!A:J,10,0),"")</f>
        <v/>
      </c>
    </row>
    <row r="1252" spans="1:9" x14ac:dyDescent="0.3">
      <c r="A1252" t="str">
        <f t="shared" si="42"/>
        <v/>
      </c>
      <c r="D1252" t="str">
        <f t="shared" si="43"/>
        <v xml:space="preserve">. </v>
      </c>
      <c r="E1252" s="5" t="str">
        <f t="shared" si="44"/>
        <v/>
      </c>
      <c r="F1252" t="str">
        <f>IFERROR(VLOOKUP(Table1[[#This Row],[Tên đối tượng]],'DANH MỤC ĐỐI TƯỢNG'!A:E,5,0),"")</f>
        <v/>
      </c>
      <c r="G1252" t="str">
        <f>_xlfn.IFNA(VLOOKUP(Table1[[#This Row],[Tên đối tượng]],'DANH MỤC ĐỐI TƯỢNG'!A:F,6,0),"")</f>
        <v/>
      </c>
      <c r="H1252" t="str">
        <f>_xlfn.IFNA(VLOOKUP(Table1[[#This Row],[Tên đối tượng]],'DANH MỤC ĐỐI TƯỢNG'!A:I,9,0),"")</f>
        <v/>
      </c>
      <c r="I1252" t="str">
        <f>_xlfn.IFNA(VLOOKUP(Table1[[#This Row],[Tên đối tượng]],'DANH MỤC ĐỐI TƯỢNG'!A:J,10,0),"")</f>
        <v/>
      </c>
    </row>
    <row r="1253" spans="1:9" x14ac:dyDescent="0.3">
      <c r="A1253" t="str">
        <f t="shared" si="42"/>
        <v/>
      </c>
      <c r="D1253" t="str">
        <f t="shared" si="43"/>
        <v xml:space="preserve">. </v>
      </c>
      <c r="E1253" s="5" t="str">
        <f t="shared" si="44"/>
        <v/>
      </c>
      <c r="F1253" t="str">
        <f>IFERROR(VLOOKUP(Table1[[#This Row],[Tên đối tượng]],'DANH MỤC ĐỐI TƯỢNG'!A:E,5,0),"")</f>
        <v/>
      </c>
      <c r="G1253" t="str">
        <f>_xlfn.IFNA(VLOOKUP(Table1[[#This Row],[Tên đối tượng]],'DANH MỤC ĐỐI TƯỢNG'!A:F,6,0),"")</f>
        <v/>
      </c>
      <c r="H1253" t="str">
        <f>_xlfn.IFNA(VLOOKUP(Table1[[#This Row],[Tên đối tượng]],'DANH MỤC ĐỐI TƯỢNG'!A:I,9,0),"")</f>
        <v/>
      </c>
      <c r="I1253" t="str">
        <f>_xlfn.IFNA(VLOOKUP(Table1[[#This Row],[Tên đối tượng]],'DANH MỤC ĐỐI TƯỢNG'!A:J,10,0),"")</f>
        <v/>
      </c>
    </row>
    <row r="1254" spans="1:9" x14ac:dyDescent="0.3">
      <c r="A1254" t="str">
        <f t="shared" si="42"/>
        <v/>
      </c>
      <c r="D1254" t="str">
        <f t="shared" si="43"/>
        <v xml:space="preserve">. </v>
      </c>
      <c r="E1254" s="5" t="str">
        <f t="shared" si="44"/>
        <v/>
      </c>
      <c r="F1254" t="str">
        <f>IFERROR(VLOOKUP(Table1[[#This Row],[Tên đối tượng]],'DANH MỤC ĐỐI TƯỢNG'!A:E,5,0),"")</f>
        <v/>
      </c>
      <c r="G1254" t="str">
        <f>_xlfn.IFNA(VLOOKUP(Table1[[#This Row],[Tên đối tượng]],'DANH MỤC ĐỐI TƯỢNG'!A:F,6,0),"")</f>
        <v/>
      </c>
      <c r="H1254" t="str">
        <f>_xlfn.IFNA(VLOOKUP(Table1[[#This Row],[Tên đối tượng]],'DANH MỤC ĐỐI TƯỢNG'!A:I,9,0),"")</f>
        <v/>
      </c>
      <c r="I1254" t="str">
        <f>_xlfn.IFNA(VLOOKUP(Table1[[#This Row],[Tên đối tượng]],'DANH MỤC ĐỐI TƯỢNG'!A:J,10,0),"")</f>
        <v/>
      </c>
    </row>
    <row r="1255" spans="1:9" x14ac:dyDescent="0.3">
      <c r="A1255" t="str">
        <f t="shared" si="42"/>
        <v/>
      </c>
      <c r="D1255" t="str">
        <f t="shared" si="43"/>
        <v xml:space="preserve">. </v>
      </c>
      <c r="E1255" s="5" t="str">
        <f t="shared" si="44"/>
        <v/>
      </c>
      <c r="F1255" t="str">
        <f>IFERROR(VLOOKUP(Table1[[#This Row],[Tên đối tượng]],'DANH MỤC ĐỐI TƯỢNG'!A:E,5,0),"")</f>
        <v/>
      </c>
      <c r="G1255" t="str">
        <f>_xlfn.IFNA(VLOOKUP(Table1[[#This Row],[Tên đối tượng]],'DANH MỤC ĐỐI TƯỢNG'!A:F,6,0),"")</f>
        <v/>
      </c>
      <c r="H1255" t="str">
        <f>_xlfn.IFNA(VLOOKUP(Table1[[#This Row],[Tên đối tượng]],'DANH MỤC ĐỐI TƯỢNG'!A:I,9,0),"")</f>
        <v/>
      </c>
      <c r="I1255" t="str">
        <f>_xlfn.IFNA(VLOOKUP(Table1[[#This Row],[Tên đối tượng]],'DANH MỤC ĐỐI TƯỢNG'!A:J,10,0),"")</f>
        <v/>
      </c>
    </row>
    <row r="1256" spans="1:9" x14ac:dyDescent="0.3">
      <c r="A1256" t="str">
        <f t="shared" si="42"/>
        <v/>
      </c>
      <c r="D1256" t="str">
        <f t="shared" si="43"/>
        <v xml:space="preserve">. </v>
      </c>
      <c r="E1256" s="5" t="str">
        <f t="shared" si="44"/>
        <v/>
      </c>
      <c r="F1256" t="str">
        <f>IFERROR(VLOOKUP(Table1[[#This Row],[Tên đối tượng]],'DANH MỤC ĐỐI TƯỢNG'!A:E,5,0),"")</f>
        <v/>
      </c>
      <c r="G1256" t="str">
        <f>_xlfn.IFNA(VLOOKUP(Table1[[#This Row],[Tên đối tượng]],'DANH MỤC ĐỐI TƯỢNG'!A:F,6,0),"")</f>
        <v/>
      </c>
      <c r="H1256" t="str">
        <f>_xlfn.IFNA(VLOOKUP(Table1[[#This Row],[Tên đối tượng]],'DANH MỤC ĐỐI TƯỢNG'!A:I,9,0),"")</f>
        <v/>
      </c>
      <c r="I1256" t="str">
        <f>_xlfn.IFNA(VLOOKUP(Table1[[#This Row],[Tên đối tượng]],'DANH MỤC ĐỐI TƯỢNG'!A:J,10,0),"")</f>
        <v/>
      </c>
    </row>
    <row r="1257" spans="1:9" x14ac:dyDescent="0.3">
      <c r="A1257" t="str">
        <f t="shared" si="42"/>
        <v/>
      </c>
      <c r="D1257" t="str">
        <f t="shared" si="43"/>
        <v xml:space="preserve">. </v>
      </c>
      <c r="E1257" s="5" t="str">
        <f t="shared" si="44"/>
        <v/>
      </c>
      <c r="F1257" t="str">
        <f>IFERROR(VLOOKUP(Table1[[#This Row],[Tên đối tượng]],'DANH MỤC ĐỐI TƯỢNG'!A:E,5,0),"")</f>
        <v/>
      </c>
      <c r="G1257" t="str">
        <f>_xlfn.IFNA(VLOOKUP(Table1[[#This Row],[Tên đối tượng]],'DANH MỤC ĐỐI TƯỢNG'!A:F,6,0),"")</f>
        <v/>
      </c>
      <c r="H1257" t="str">
        <f>_xlfn.IFNA(VLOOKUP(Table1[[#This Row],[Tên đối tượng]],'DANH MỤC ĐỐI TƯỢNG'!A:I,9,0),"")</f>
        <v/>
      </c>
      <c r="I1257" t="str">
        <f>_xlfn.IFNA(VLOOKUP(Table1[[#This Row],[Tên đối tượng]],'DANH MỤC ĐỐI TƯỢNG'!A:J,10,0),"")</f>
        <v/>
      </c>
    </row>
    <row r="1258" spans="1:9" x14ac:dyDescent="0.3">
      <c r="A1258" t="str">
        <f t="shared" si="42"/>
        <v/>
      </c>
      <c r="D1258" t="str">
        <f t="shared" si="43"/>
        <v xml:space="preserve">. </v>
      </c>
      <c r="E1258" s="5" t="str">
        <f t="shared" si="44"/>
        <v/>
      </c>
      <c r="F1258" t="str">
        <f>IFERROR(VLOOKUP(Table1[[#This Row],[Tên đối tượng]],'DANH MỤC ĐỐI TƯỢNG'!A:E,5,0),"")</f>
        <v/>
      </c>
      <c r="G1258" t="str">
        <f>_xlfn.IFNA(VLOOKUP(Table1[[#This Row],[Tên đối tượng]],'DANH MỤC ĐỐI TƯỢNG'!A:F,6,0),"")</f>
        <v/>
      </c>
      <c r="H1258" t="str">
        <f>_xlfn.IFNA(VLOOKUP(Table1[[#This Row],[Tên đối tượng]],'DANH MỤC ĐỐI TƯỢNG'!A:I,9,0),"")</f>
        <v/>
      </c>
      <c r="I1258" t="str">
        <f>_xlfn.IFNA(VLOOKUP(Table1[[#This Row],[Tên đối tượng]],'DANH MỤC ĐỐI TƯỢNG'!A:J,10,0),"")</f>
        <v/>
      </c>
    </row>
    <row r="1259" spans="1:9" x14ac:dyDescent="0.3">
      <c r="A1259" t="str">
        <f t="shared" si="42"/>
        <v/>
      </c>
      <c r="D1259" t="str">
        <f t="shared" si="43"/>
        <v xml:space="preserve">. </v>
      </c>
      <c r="E1259" s="5" t="str">
        <f t="shared" si="44"/>
        <v/>
      </c>
      <c r="F1259" t="str">
        <f>IFERROR(VLOOKUP(Table1[[#This Row],[Tên đối tượng]],'DANH MỤC ĐỐI TƯỢNG'!A:E,5,0),"")</f>
        <v/>
      </c>
      <c r="G1259" t="str">
        <f>_xlfn.IFNA(VLOOKUP(Table1[[#This Row],[Tên đối tượng]],'DANH MỤC ĐỐI TƯỢNG'!A:F,6,0),"")</f>
        <v/>
      </c>
      <c r="H1259" t="str">
        <f>_xlfn.IFNA(VLOOKUP(Table1[[#This Row],[Tên đối tượng]],'DANH MỤC ĐỐI TƯỢNG'!A:I,9,0),"")</f>
        <v/>
      </c>
      <c r="I1259" t="str">
        <f>_xlfn.IFNA(VLOOKUP(Table1[[#This Row],[Tên đối tượng]],'DANH MỤC ĐỐI TƯỢNG'!A:J,10,0),"")</f>
        <v/>
      </c>
    </row>
    <row r="1260" spans="1:9" x14ac:dyDescent="0.3">
      <c r="A1260" t="str">
        <f t="shared" si="42"/>
        <v/>
      </c>
      <c r="D1260" t="str">
        <f t="shared" si="43"/>
        <v xml:space="preserve">. </v>
      </c>
      <c r="E1260" s="5" t="str">
        <f t="shared" si="44"/>
        <v/>
      </c>
      <c r="F1260" t="str">
        <f>IFERROR(VLOOKUP(Table1[[#This Row],[Tên đối tượng]],'DANH MỤC ĐỐI TƯỢNG'!A:E,5,0),"")</f>
        <v/>
      </c>
      <c r="G1260" t="str">
        <f>_xlfn.IFNA(VLOOKUP(Table1[[#This Row],[Tên đối tượng]],'DANH MỤC ĐỐI TƯỢNG'!A:F,6,0),"")</f>
        <v/>
      </c>
      <c r="H1260" t="str">
        <f>_xlfn.IFNA(VLOOKUP(Table1[[#This Row],[Tên đối tượng]],'DANH MỤC ĐỐI TƯỢNG'!A:I,9,0),"")</f>
        <v/>
      </c>
      <c r="I1260" t="str">
        <f>_xlfn.IFNA(VLOOKUP(Table1[[#This Row],[Tên đối tượng]],'DANH MỤC ĐỐI TƯỢNG'!A:J,10,0),"")</f>
        <v/>
      </c>
    </row>
    <row r="1261" spans="1:9" x14ac:dyDescent="0.3">
      <c r="A1261" t="str">
        <f t="shared" si="42"/>
        <v/>
      </c>
      <c r="D1261" t="str">
        <f t="shared" si="43"/>
        <v xml:space="preserve">. </v>
      </c>
      <c r="E1261" s="5" t="str">
        <f t="shared" si="44"/>
        <v/>
      </c>
      <c r="F1261" t="str">
        <f>IFERROR(VLOOKUP(Table1[[#This Row],[Tên đối tượng]],'DANH MỤC ĐỐI TƯỢNG'!A:E,5,0),"")</f>
        <v/>
      </c>
      <c r="G1261" t="str">
        <f>_xlfn.IFNA(VLOOKUP(Table1[[#This Row],[Tên đối tượng]],'DANH MỤC ĐỐI TƯỢNG'!A:F,6,0),"")</f>
        <v/>
      </c>
      <c r="H1261" t="str">
        <f>_xlfn.IFNA(VLOOKUP(Table1[[#This Row],[Tên đối tượng]],'DANH MỤC ĐỐI TƯỢNG'!A:I,9,0),"")</f>
        <v/>
      </c>
      <c r="I1261" t="str">
        <f>_xlfn.IFNA(VLOOKUP(Table1[[#This Row],[Tên đối tượng]],'DANH MỤC ĐỐI TƯỢNG'!A:J,10,0),"")</f>
        <v/>
      </c>
    </row>
    <row r="1262" spans="1:9" x14ac:dyDescent="0.3">
      <c r="A1262" t="str">
        <f t="shared" si="42"/>
        <v/>
      </c>
      <c r="D1262" t="str">
        <f t="shared" si="43"/>
        <v xml:space="preserve">. </v>
      </c>
      <c r="E1262" s="5" t="str">
        <f t="shared" si="44"/>
        <v/>
      </c>
      <c r="F1262" t="str">
        <f>IFERROR(VLOOKUP(Table1[[#This Row],[Tên đối tượng]],'DANH MỤC ĐỐI TƯỢNG'!A:E,5,0),"")</f>
        <v/>
      </c>
      <c r="G1262" t="str">
        <f>_xlfn.IFNA(VLOOKUP(Table1[[#This Row],[Tên đối tượng]],'DANH MỤC ĐỐI TƯỢNG'!A:F,6,0),"")</f>
        <v/>
      </c>
      <c r="H1262" t="str">
        <f>_xlfn.IFNA(VLOOKUP(Table1[[#This Row],[Tên đối tượng]],'DANH MỤC ĐỐI TƯỢNG'!A:I,9,0),"")</f>
        <v/>
      </c>
      <c r="I1262" t="str">
        <f>_xlfn.IFNA(VLOOKUP(Table1[[#This Row],[Tên đối tượng]],'DANH MỤC ĐỐI TƯỢNG'!A:J,10,0),"")</f>
        <v/>
      </c>
    </row>
    <row r="1263" spans="1:9" x14ac:dyDescent="0.3">
      <c r="A1263" t="str">
        <f t="shared" si="42"/>
        <v/>
      </c>
      <c r="D1263" t="str">
        <f t="shared" si="43"/>
        <v xml:space="preserve">. </v>
      </c>
      <c r="E1263" s="5" t="str">
        <f t="shared" si="44"/>
        <v/>
      </c>
      <c r="F1263" t="str">
        <f>IFERROR(VLOOKUP(Table1[[#This Row],[Tên đối tượng]],'DANH MỤC ĐỐI TƯỢNG'!A:E,5,0),"")</f>
        <v/>
      </c>
      <c r="G1263" t="str">
        <f>_xlfn.IFNA(VLOOKUP(Table1[[#This Row],[Tên đối tượng]],'DANH MỤC ĐỐI TƯỢNG'!A:F,6,0),"")</f>
        <v/>
      </c>
      <c r="H1263" t="str">
        <f>_xlfn.IFNA(VLOOKUP(Table1[[#This Row],[Tên đối tượng]],'DANH MỤC ĐỐI TƯỢNG'!A:I,9,0),"")</f>
        <v/>
      </c>
      <c r="I1263" t="str">
        <f>_xlfn.IFNA(VLOOKUP(Table1[[#This Row],[Tên đối tượng]],'DANH MỤC ĐỐI TƯỢNG'!A:J,10,0),"")</f>
        <v/>
      </c>
    </row>
    <row r="1264" spans="1:9" x14ac:dyDescent="0.3">
      <c r="A1264" t="str">
        <f t="shared" si="42"/>
        <v/>
      </c>
      <c r="D1264" t="str">
        <f t="shared" si="43"/>
        <v xml:space="preserve">. </v>
      </c>
      <c r="E1264" s="5" t="str">
        <f t="shared" si="44"/>
        <v/>
      </c>
      <c r="F1264" t="str">
        <f>IFERROR(VLOOKUP(Table1[[#This Row],[Tên đối tượng]],'DANH MỤC ĐỐI TƯỢNG'!A:E,5,0),"")</f>
        <v/>
      </c>
      <c r="G1264" t="str">
        <f>_xlfn.IFNA(VLOOKUP(Table1[[#This Row],[Tên đối tượng]],'DANH MỤC ĐỐI TƯỢNG'!A:F,6,0),"")</f>
        <v/>
      </c>
      <c r="H1264" t="str">
        <f>_xlfn.IFNA(VLOOKUP(Table1[[#This Row],[Tên đối tượng]],'DANH MỤC ĐỐI TƯỢNG'!A:I,9,0),"")</f>
        <v/>
      </c>
      <c r="I1264" t="str">
        <f>_xlfn.IFNA(VLOOKUP(Table1[[#This Row],[Tên đối tượng]],'DANH MỤC ĐỐI TƯỢNG'!A:J,10,0),"")</f>
        <v/>
      </c>
    </row>
    <row r="1265" spans="1:9" x14ac:dyDescent="0.3">
      <c r="A1265" t="str">
        <f t="shared" si="42"/>
        <v/>
      </c>
      <c r="D1265" t="str">
        <f t="shared" si="43"/>
        <v xml:space="preserve">. </v>
      </c>
      <c r="E1265" s="5" t="str">
        <f t="shared" si="44"/>
        <v/>
      </c>
      <c r="F1265" t="str">
        <f>IFERROR(VLOOKUP(Table1[[#This Row],[Tên đối tượng]],'DANH MỤC ĐỐI TƯỢNG'!A:E,5,0),"")</f>
        <v/>
      </c>
      <c r="G1265" t="str">
        <f>_xlfn.IFNA(VLOOKUP(Table1[[#This Row],[Tên đối tượng]],'DANH MỤC ĐỐI TƯỢNG'!A:F,6,0),"")</f>
        <v/>
      </c>
      <c r="H1265" t="str">
        <f>_xlfn.IFNA(VLOOKUP(Table1[[#This Row],[Tên đối tượng]],'DANH MỤC ĐỐI TƯỢNG'!A:I,9,0),"")</f>
        <v/>
      </c>
      <c r="I1265" t="str">
        <f>_xlfn.IFNA(VLOOKUP(Table1[[#This Row],[Tên đối tượng]],'DANH MỤC ĐỐI TƯỢNG'!A:J,10,0),"")</f>
        <v/>
      </c>
    </row>
    <row r="1266" spans="1:9" x14ac:dyDescent="0.3">
      <c r="A1266" t="str">
        <f t="shared" si="42"/>
        <v/>
      </c>
      <c r="D1266" t="str">
        <f t="shared" si="43"/>
        <v xml:space="preserve">. </v>
      </c>
      <c r="E1266" s="5" t="str">
        <f t="shared" si="44"/>
        <v/>
      </c>
      <c r="F1266" t="str">
        <f>IFERROR(VLOOKUP(Table1[[#This Row],[Tên đối tượng]],'DANH MỤC ĐỐI TƯỢNG'!A:E,5,0),"")</f>
        <v/>
      </c>
      <c r="G1266" t="str">
        <f>_xlfn.IFNA(VLOOKUP(Table1[[#This Row],[Tên đối tượng]],'DANH MỤC ĐỐI TƯỢNG'!A:F,6,0),"")</f>
        <v/>
      </c>
      <c r="H1266" t="str">
        <f>_xlfn.IFNA(VLOOKUP(Table1[[#This Row],[Tên đối tượng]],'DANH MỤC ĐỐI TƯỢNG'!A:I,9,0),"")</f>
        <v/>
      </c>
      <c r="I1266" t="str">
        <f>_xlfn.IFNA(VLOOKUP(Table1[[#This Row],[Tên đối tượng]],'DANH MỤC ĐỐI TƯỢNG'!A:J,10,0),"")</f>
        <v/>
      </c>
    </row>
    <row r="1267" spans="1:9" x14ac:dyDescent="0.3">
      <c r="A1267" t="str">
        <f t="shared" si="42"/>
        <v/>
      </c>
      <c r="D1267" t="str">
        <f t="shared" si="43"/>
        <v xml:space="preserve">. </v>
      </c>
      <c r="E1267" s="5" t="str">
        <f t="shared" si="44"/>
        <v/>
      </c>
      <c r="F1267" t="str">
        <f>IFERROR(VLOOKUP(Table1[[#This Row],[Tên đối tượng]],'DANH MỤC ĐỐI TƯỢNG'!A:E,5,0),"")</f>
        <v/>
      </c>
      <c r="G1267" t="str">
        <f>_xlfn.IFNA(VLOOKUP(Table1[[#This Row],[Tên đối tượng]],'DANH MỤC ĐỐI TƯỢNG'!A:F,6,0),"")</f>
        <v/>
      </c>
      <c r="H1267" t="str">
        <f>_xlfn.IFNA(VLOOKUP(Table1[[#This Row],[Tên đối tượng]],'DANH MỤC ĐỐI TƯỢNG'!A:I,9,0),"")</f>
        <v/>
      </c>
      <c r="I1267" t="str">
        <f>_xlfn.IFNA(VLOOKUP(Table1[[#This Row],[Tên đối tượng]],'DANH MỤC ĐỐI TƯỢNG'!A:J,10,0),"")</f>
        <v/>
      </c>
    </row>
    <row r="1268" spans="1:9" x14ac:dyDescent="0.3">
      <c r="A1268" t="str">
        <f t="shared" si="42"/>
        <v/>
      </c>
      <c r="D1268" t="str">
        <f t="shared" si="43"/>
        <v xml:space="preserve">. </v>
      </c>
      <c r="E1268" s="5" t="str">
        <f t="shared" si="44"/>
        <v/>
      </c>
      <c r="F1268" t="str">
        <f>IFERROR(VLOOKUP(Table1[[#This Row],[Tên đối tượng]],'DANH MỤC ĐỐI TƯỢNG'!A:E,5,0),"")</f>
        <v/>
      </c>
      <c r="G1268" t="str">
        <f>_xlfn.IFNA(VLOOKUP(Table1[[#This Row],[Tên đối tượng]],'DANH MỤC ĐỐI TƯỢNG'!A:F,6,0),"")</f>
        <v/>
      </c>
      <c r="H1268" t="str">
        <f>_xlfn.IFNA(VLOOKUP(Table1[[#This Row],[Tên đối tượng]],'DANH MỤC ĐỐI TƯỢNG'!A:I,9,0),"")</f>
        <v/>
      </c>
      <c r="I1268" t="str">
        <f>_xlfn.IFNA(VLOOKUP(Table1[[#This Row],[Tên đối tượng]],'DANH MỤC ĐỐI TƯỢNG'!A:J,10,0),"")</f>
        <v/>
      </c>
    </row>
    <row r="1269" spans="1:9" x14ac:dyDescent="0.3">
      <c r="A1269" t="str">
        <f t="shared" si="42"/>
        <v/>
      </c>
      <c r="D1269" t="str">
        <f t="shared" si="43"/>
        <v xml:space="preserve">. </v>
      </c>
      <c r="E1269" s="5" t="str">
        <f t="shared" si="44"/>
        <v/>
      </c>
      <c r="F1269" t="str">
        <f>IFERROR(VLOOKUP(Table1[[#This Row],[Tên đối tượng]],'DANH MỤC ĐỐI TƯỢNG'!A:E,5,0),"")</f>
        <v/>
      </c>
      <c r="G1269" t="str">
        <f>_xlfn.IFNA(VLOOKUP(Table1[[#This Row],[Tên đối tượng]],'DANH MỤC ĐỐI TƯỢNG'!A:F,6,0),"")</f>
        <v/>
      </c>
      <c r="H1269" t="str">
        <f>_xlfn.IFNA(VLOOKUP(Table1[[#This Row],[Tên đối tượng]],'DANH MỤC ĐỐI TƯỢNG'!A:I,9,0),"")</f>
        <v/>
      </c>
      <c r="I1269" t="str">
        <f>_xlfn.IFNA(VLOOKUP(Table1[[#This Row],[Tên đối tượng]],'DANH MỤC ĐỐI TƯỢNG'!A:J,10,0),"")</f>
        <v/>
      </c>
    </row>
    <row r="1270" spans="1:9" x14ac:dyDescent="0.3">
      <c r="A1270" t="str">
        <f t="shared" si="42"/>
        <v/>
      </c>
      <c r="D1270" t="str">
        <f t="shared" si="43"/>
        <v xml:space="preserve">. </v>
      </c>
      <c r="E1270" s="5" t="str">
        <f t="shared" si="44"/>
        <v/>
      </c>
      <c r="F1270" t="str">
        <f>IFERROR(VLOOKUP(Table1[[#This Row],[Tên đối tượng]],'DANH MỤC ĐỐI TƯỢNG'!A:E,5,0),"")</f>
        <v/>
      </c>
      <c r="G1270" t="str">
        <f>_xlfn.IFNA(VLOOKUP(Table1[[#This Row],[Tên đối tượng]],'DANH MỤC ĐỐI TƯỢNG'!A:F,6,0),"")</f>
        <v/>
      </c>
      <c r="H1270" t="str">
        <f>_xlfn.IFNA(VLOOKUP(Table1[[#This Row],[Tên đối tượng]],'DANH MỤC ĐỐI TƯỢNG'!A:I,9,0),"")</f>
        <v/>
      </c>
      <c r="I1270" t="str">
        <f>_xlfn.IFNA(VLOOKUP(Table1[[#This Row],[Tên đối tượng]],'DANH MỤC ĐỐI TƯỢNG'!A:J,10,0),"")</f>
        <v/>
      </c>
    </row>
    <row r="1271" spans="1:9" x14ac:dyDescent="0.3">
      <c r="A1271" t="str">
        <f t="shared" si="42"/>
        <v/>
      </c>
      <c r="D1271" t="str">
        <f t="shared" si="43"/>
        <v xml:space="preserve">. </v>
      </c>
      <c r="E1271" s="5" t="str">
        <f t="shared" si="44"/>
        <v/>
      </c>
      <c r="F1271" t="str">
        <f>IFERROR(VLOOKUP(Table1[[#This Row],[Tên đối tượng]],'DANH MỤC ĐỐI TƯỢNG'!A:E,5,0),"")</f>
        <v/>
      </c>
      <c r="G1271" t="str">
        <f>_xlfn.IFNA(VLOOKUP(Table1[[#This Row],[Tên đối tượng]],'DANH MỤC ĐỐI TƯỢNG'!A:F,6,0),"")</f>
        <v/>
      </c>
      <c r="H1271" t="str">
        <f>_xlfn.IFNA(VLOOKUP(Table1[[#This Row],[Tên đối tượng]],'DANH MỤC ĐỐI TƯỢNG'!A:I,9,0),"")</f>
        <v/>
      </c>
      <c r="I1271" t="str">
        <f>_xlfn.IFNA(VLOOKUP(Table1[[#This Row],[Tên đối tượng]],'DANH MỤC ĐỐI TƯỢNG'!A:J,10,0),"")</f>
        <v/>
      </c>
    </row>
    <row r="1272" spans="1:9" x14ac:dyDescent="0.3">
      <c r="A1272" t="str">
        <f t="shared" si="42"/>
        <v/>
      </c>
      <c r="D1272" t="str">
        <f t="shared" si="43"/>
        <v xml:space="preserve">. </v>
      </c>
      <c r="E1272" s="5" t="str">
        <f t="shared" si="44"/>
        <v/>
      </c>
      <c r="F1272" t="str">
        <f>IFERROR(VLOOKUP(Table1[[#This Row],[Tên đối tượng]],'DANH MỤC ĐỐI TƯỢNG'!A:E,5,0),"")</f>
        <v/>
      </c>
      <c r="G1272" t="str">
        <f>_xlfn.IFNA(VLOOKUP(Table1[[#This Row],[Tên đối tượng]],'DANH MỤC ĐỐI TƯỢNG'!A:F,6,0),"")</f>
        <v/>
      </c>
      <c r="H1272" t="str">
        <f>_xlfn.IFNA(VLOOKUP(Table1[[#This Row],[Tên đối tượng]],'DANH MỤC ĐỐI TƯỢNG'!A:I,9,0),"")</f>
        <v/>
      </c>
      <c r="I1272" t="str">
        <f>_xlfn.IFNA(VLOOKUP(Table1[[#This Row],[Tên đối tượng]],'DANH MỤC ĐỐI TƯỢNG'!A:J,10,0),"")</f>
        <v/>
      </c>
    </row>
    <row r="1273" spans="1:9" x14ac:dyDescent="0.3">
      <c r="A1273" t="str">
        <f t="shared" si="42"/>
        <v/>
      </c>
      <c r="D1273" t="str">
        <f t="shared" si="43"/>
        <v xml:space="preserve">. </v>
      </c>
      <c r="E1273" s="5" t="str">
        <f t="shared" si="44"/>
        <v/>
      </c>
      <c r="F1273" t="str">
        <f>IFERROR(VLOOKUP(Table1[[#This Row],[Tên đối tượng]],'DANH MỤC ĐỐI TƯỢNG'!A:E,5,0),"")</f>
        <v/>
      </c>
      <c r="G1273" t="str">
        <f>_xlfn.IFNA(VLOOKUP(Table1[[#This Row],[Tên đối tượng]],'DANH MỤC ĐỐI TƯỢNG'!A:F,6,0),"")</f>
        <v/>
      </c>
      <c r="H1273" t="str">
        <f>_xlfn.IFNA(VLOOKUP(Table1[[#This Row],[Tên đối tượng]],'DANH MỤC ĐỐI TƯỢNG'!A:I,9,0),"")</f>
        <v/>
      </c>
      <c r="I1273" t="str">
        <f>_xlfn.IFNA(VLOOKUP(Table1[[#This Row],[Tên đối tượng]],'DANH MỤC ĐỐI TƯỢNG'!A:J,10,0),"")</f>
        <v/>
      </c>
    </row>
    <row r="1274" spans="1:9" x14ac:dyDescent="0.3">
      <c r="A1274" t="str">
        <f t="shared" si="42"/>
        <v/>
      </c>
      <c r="D1274" t="str">
        <f t="shared" si="43"/>
        <v xml:space="preserve">. </v>
      </c>
      <c r="E1274" s="5" t="str">
        <f t="shared" si="44"/>
        <v/>
      </c>
      <c r="F1274" t="str">
        <f>IFERROR(VLOOKUP(Table1[[#This Row],[Tên đối tượng]],'DANH MỤC ĐỐI TƯỢNG'!A:E,5,0),"")</f>
        <v/>
      </c>
      <c r="G1274" t="str">
        <f>_xlfn.IFNA(VLOOKUP(Table1[[#This Row],[Tên đối tượng]],'DANH MỤC ĐỐI TƯỢNG'!A:F,6,0),"")</f>
        <v/>
      </c>
      <c r="H1274" t="str">
        <f>_xlfn.IFNA(VLOOKUP(Table1[[#This Row],[Tên đối tượng]],'DANH MỤC ĐỐI TƯỢNG'!A:I,9,0),"")</f>
        <v/>
      </c>
      <c r="I1274" t="str">
        <f>_xlfn.IFNA(VLOOKUP(Table1[[#This Row],[Tên đối tượng]],'DANH MỤC ĐỐI TƯỢNG'!A:J,10,0),"")</f>
        <v/>
      </c>
    </row>
    <row r="1275" spans="1:9" x14ac:dyDescent="0.3">
      <c r="A1275" t="str">
        <f t="shared" si="42"/>
        <v/>
      </c>
      <c r="D1275" t="str">
        <f t="shared" si="43"/>
        <v xml:space="preserve">. </v>
      </c>
      <c r="E1275" s="5" t="str">
        <f t="shared" si="44"/>
        <v/>
      </c>
      <c r="F1275" t="str">
        <f>IFERROR(VLOOKUP(Table1[[#This Row],[Tên đối tượng]],'DANH MỤC ĐỐI TƯỢNG'!A:E,5,0),"")</f>
        <v/>
      </c>
      <c r="G1275" t="str">
        <f>_xlfn.IFNA(VLOOKUP(Table1[[#This Row],[Tên đối tượng]],'DANH MỤC ĐỐI TƯỢNG'!A:F,6,0),"")</f>
        <v/>
      </c>
      <c r="H1275" t="str">
        <f>_xlfn.IFNA(VLOOKUP(Table1[[#This Row],[Tên đối tượng]],'DANH MỤC ĐỐI TƯỢNG'!A:I,9,0),"")</f>
        <v/>
      </c>
      <c r="I1275" t="str">
        <f>_xlfn.IFNA(VLOOKUP(Table1[[#This Row],[Tên đối tượng]],'DANH MỤC ĐỐI TƯỢNG'!A:J,10,0),"")</f>
        <v/>
      </c>
    </row>
    <row r="1276" spans="1:9" x14ac:dyDescent="0.3">
      <c r="A1276" t="str">
        <f t="shared" si="42"/>
        <v/>
      </c>
      <c r="D1276" t="str">
        <f t="shared" si="43"/>
        <v xml:space="preserve">. </v>
      </c>
      <c r="E1276" s="5" t="str">
        <f t="shared" si="44"/>
        <v/>
      </c>
      <c r="F1276" t="str">
        <f>IFERROR(VLOOKUP(Table1[[#This Row],[Tên đối tượng]],'DANH MỤC ĐỐI TƯỢNG'!A:E,5,0),"")</f>
        <v/>
      </c>
      <c r="G1276" t="str">
        <f>_xlfn.IFNA(VLOOKUP(Table1[[#This Row],[Tên đối tượng]],'DANH MỤC ĐỐI TƯỢNG'!A:F,6,0),"")</f>
        <v/>
      </c>
      <c r="H1276" t="str">
        <f>_xlfn.IFNA(VLOOKUP(Table1[[#This Row],[Tên đối tượng]],'DANH MỤC ĐỐI TƯỢNG'!A:I,9,0),"")</f>
        <v/>
      </c>
      <c r="I1276" t="str">
        <f>_xlfn.IFNA(VLOOKUP(Table1[[#This Row],[Tên đối tượng]],'DANH MỤC ĐỐI TƯỢNG'!A:J,10,0),"")</f>
        <v/>
      </c>
    </row>
    <row r="1277" spans="1:9" x14ac:dyDescent="0.3">
      <c r="A1277" t="str">
        <f t="shared" si="42"/>
        <v/>
      </c>
      <c r="D1277" t="str">
        <f t="shared" si="43"/>
        <v xml:space="preserve">. </v>
      </c>
      <c r="E1277" s="5" t="str">
        <f t="shared" si="44"/>
        <v/>
      </c>
      <c r="F1277" t="str">
        <f>IFERROR(VLOOKUP(Table1[[#This Row],[Tên đối tượng]],'DANH MỤC ĐỐI TƯỢNG'!A:E,5,0),"")</f>
        <v/>
      </c>
      <c r="G1277" t="str">
        <f>_xlfn.IFNA(VLOOKUP(Table1[[#This Row],[Tên đối tượng]],'DANH MỤC ĐỐI TƯỢNG'!A:F,6,0),"")</f>
        <v/>
      </c>
      <c r="H1277" t="str">
        <f>_xlfn.IFNA(VLOOKUP(Table1[[#This Row],[Tên đối tượng]],'DANH MỤC ĐỐI TƯỢNG'!A:I,9,0),"")</f>
        <v/>
      </c>
      <c r="I1277" t="str">
        <f>_xlfn.IFNA(VLOOKUP(Table1[[#This Row],[Tên đối tượng]],'DANH MỤC ĐỐI TƯỢNG'!A:J,10,0),"")</f>
        <v/>
      </c>
    </row>
    <row r="1278" spans="1:9" x14ac:dyDescent="0.3">
      <c r="A1278" t="str">
        <f t="shared" si="42"/>
        <v/>
      </c>
      <c r="D1278" t="str">
        <f t="shared" si="43"/>
        <v xml:space="preserve">. </v>
      </c>
      <c r="E1278" s="5" t="str">
        <f t="shared" si="44"/>
        <v/>
      </c>
      <c r="F1278" t="str">
        <f>IFERROR(VLOOKUP(Table1[[#This Row],[Tên đối tượng]],'DANH MỤC ĐỐI TƯỢNG'!A:E,5,0),"")</f>
        <v/>
      </c>
      <c r="G1278" t="str">
        <f>_xlfn.IFNA(VLOOKUP(Table1[[#This Row],[Tên đối tượng]],'DANH MỤC ĐỐI TƯỢNG'!A:F,6,0),"")</f>
        <v/>
      </c>
      <c r="H1278" t="str">
        <f>_xlfn.IFNA(VLOOKUP(Table1[[#This Row],[Tên đối tượng]],'DANH MỤC ĐỐI TƯỢNG'!A:I,9,0),"")</f>
        <v/>
      </c>
      <c r="I1278" t="str">
        <f>_xlfn.IFNA(VLOOKUP(Table1[[#This Row],[Tên đối tượng]],'DANH MỤC ĐỐI TƯỢNG'!A:J,10,0),"")</f>
        <v/>
      </c>
    </row>
    <row r="1279" spans="1:9" x14ac:dyDescent="0.3">
      <c r="A1279" t="str">
        <f t="shared" si="42"/>
        <v/>
      </c>
      <c r="D1279" t="str">
        <f t="shared" si="43"/>
        <v xml:space="preserve">. </v>
      </c>
      <c r="E1279" s="5" t="str">
        <f t="shared" si="44"/>
        <v/>
      </c>
      <c r="F1279" t="str">
        <f>IFERROR(VLOOKUP(Table1[[#This Row],[Tên đối tượng]],'DANH MỤC ĐỐI TƯỢNG'!A:E,5,0),"")</f>
        <v/>
      </c>
      <c r="G1279" t="str">
        <f>_xlfn.IFNA(VLOOKUP(Table1[[#This Row],[Tên đối tượng]],'DANH MỤC ĐỐI TƯỢNG'!A:F,6,0),"")</f>
        <v/>
      </c>
      <c r="H1279" t="str">
        <f>_xlfn.IFNA(VLOOKUP(Table1[[#This Row],[Tên đối tượng]],'DANH MỤC ĐỐI TƯỢNG'!A:I,9,0),"")</f>
        <v/>
      </c>
      <c r="I1279" t="str">
        <f>_xlfn.IFNA(VLOOKUP(Table1[[#This Row],[Tên đối tượng]],'DANH MỤC ĐỐI TƯỢNG'!A:J,10,0),"")</f>
        <v/>
      </c>
    </row>
    <row r="1280" spans="1:9" x14ac:dyDescent="0.3">
      <c r="A1280" t="str">
        <f t="shared" ref="A1280:A1343" si="45">IF(B1280&lt;&gt;0,ROW()-3,"")</f>
        <v/>
      </c>
      <c r="D1280" t="str">
        <f t="shared" si="43"/>
        <v xml:space="preserve">. </v>
      </c>
      <c r="E1280" s="5" t="str">
        <f t="shared" si="44"/>
        <v/>
      </c>
      <c r="F1280" t="str">
        <f>IFERROR(VLOOKUP(Table1[[#This Row],[Tên đối tượng]],'DANH MỤC ĐỐI TƯỢNG'!A:E,5,0),"")</f>
        <v/>
      </c>
      <c r="G1280" t="str">
        <f>_xlfn.IFNA(VLOOKUP(Table1[[#This Row],[Tên đối tượng]],'DANH MỤC ĐỐI TƯỢNG'!A:F,6,0),"")</f>
        <v/>
      </c>
      <c r="H1280" t="str">
        <f>_xlfn.IFNA(VLOOKUP(Table1[[#This Row],[Tên đối tượng]],'DANH MỤC ĐỐI TƯỢNG'!A:I,9,0),"")</f>
        <v/>
      </c>
      <c r="I1280" t="str">
        <f>_xlfn.IFNA(VLOOKUP(Table1[[#This Row],[Tên đối tượng]],'DANH MỤC ĐỐI TƯỢNG'!A:J,10,0),"")</f>
        <v/>
      </c>
    </row>
    <row r="1281" spans="1:9" x14ac:dyDescent="0.3">
      <c r="A1281" t="str">
        <f t="shared" si="45"/>
        <v/>
      </c>
      <c r="D1281" t="str">
        <f t="shared" si="43"/>
        <v xml:space="preserve">. </v>
      </c>
      <c r="E1281" s="5" t="str">
        <f t="shared" si="44"/>
        <v/>
      </c>
      <c r="F1281" t="str">
        <f>IFERROR(VLOOKUP(Table1[[#This Row],[Tên đối tượng]],'DANH MỤC ĐỐI TƯỢNG'!A:E,5,0),"")</f>
        <v/>
      </c>
      <c r="G1281" t="str">
        <f>_xlfn.IFNA(VLOOKUP(Table1[[#This Row],[Tên đối tượng]],'DANH MỤC ĐỐI TƯỢNG'!A:F,6,0),"")</f>
        <v/>
      </c>
      <c r="H1281" t="str">
        <f>_xlfn.IFNA(VLOOKUP(Table1[[#This Row],[Tên đối tượng]],'DANH MỤC ĐỐI TƯỢNG'!A:I,9,0),"")</f>
        <v/>
      </c>
      <c r="I1281" t="str">
        <f>_xlfn.IFNA(VLOOKUP(Table1[[#This Row],[Tên đối tượng]],'DANH MỤC ĐỐI TƯỢNG'!A:J,10,0),"")</f>
        <v/>
      </c>
    </row>
    <row r="1282" spans="1:9" x14ac:dyDescent="0.3">
      <c r="A1282" t="str">
        <f t="shared" si="45"/>
        <v/>
      </c>
      <c r="D1282" t="str">
        <f t="shared" si="43"/>
        <v xml:space="preserve">. </v>
      </c>
      <c r="E1282" s="5" t="str">
        <f t="shared" si="44"/>
        <v/>
      </c>
      <c r="F1282" t="str">
        <f>IFERROR(VLOOKUP(Table1[[#This Row],[Tên đối tượng]],'DANH MỤC ĐỐI TƯỢNG'!A:E,5,0),"")</f>
        <v/>
      </c>
      <c r="G1282" t="str">
        <f>_xlfn.IFNA(VLOOKUP(Table1[[#This Row],[Tên đối tượng]],'DANH MỤC ĐỐI TƯỢNG'!A:F,6,0),"")</f>
        <v/>
      </c>
      <c r="H1282" t="str">
        <f>_xlfn.IFNA(VLOOKUP(Table1[[#This Row],[Tên đối tượng]],'DANH MỤC ĐỐI TƯỢNG'!A:I,9,0),"")</f>
        <v/>
      </c>
      <c r="I1282" t="str">
        <f>_xlfn.IFNA(VLOOKUP(Table1[[#This Row],[Tên đối tượng]],'DANH MỤC ĐỐI TƯỢNG'!A:J,10,0),"")</f>
        <v/>
      </c>
    </row>
    <row r="1283" spans="1:9" x14ac:dyDescent="0.3">
      <c r="A1283" t="str">
        <f t="shared" si="45"/>
        <v/>
      </c>
      <c r="D1283" t="str">
        <f t="shared" si="43"/>
        <v xml:space="preserve">. </v>
      </c>
      <c r="E1283" s="5" t="str">
        <f t="shared" si="44"/>
        <v/>
      </c>
      <c r="F1283" t="str">
        <f>IFERROR(VLOOKUP(Table1[[#This Row],[Tên đối tượng]],'DANH MỤC ĐỐI TƯỢNG'!A:E,5,0),"")</f>
        <v/>
      </c>
      <c r="G1283" t="str">
        <f>_xlfn.IFNA(VLOOKUP(Table1[[#This Row],[Tên đối tượng]],'DANH MỤC ĐỐI TƯỢNG'!A:F,6,0),"")</f>
        <v/>
      </c>
      <c r="H1283" t="str">
        <f>_xlfn.IFNA(VLOOKUP(Table1[[#This Row],[Tên đối tượng]],'DANH MỤC ĐỐI TƯỢNG'!A:I,9,0),"")</f>
        <v/>
      </c>
      <c r="I1283" t="str">
        <f>_xlfn.IFNA(VLOOKUP(Table1[[#This Row],[Tên đối tượng]],'DANH MỤC ĐỐI TƯỢNG'!A:J,10,0),"")</f>
        <v/>
      </c>
    </row>
    <row r="1284" spans="1:9" x14ac:dyDescent="0.3">
      <c r="A1284" t="str">
        <f t="shared" si="45"/>
        <v/>
      </c>
      <c r="D1284" t="str">
        <f t="shared" si="43"/>
        <v xml:space="preserve">. </v>
      </c>
      <c r="E1284" s="5" t="str">
        <f t="shared" si="44"/>
        <v/>
      </c>
      <c r="F1284" t="str">
        <f>IFERROR(VLOOKUP(Table1[[#This Row],[Tên đối tượng]],'DANH MỤC ĐỐI TƯỢNG'!A:E,5,0),"")</f>
        <v/>
      </c>
      <c r="G1284" t="str">
        <f>_xlfn.IFNA(VLOOKUP(Table1[[#This Row],[Tên đối tượng]],'DANH MỤC ĐỐI TƯỢNG'!A:F,6,0),"")</f>
        <v/>
      </c>
      <c r="H1284" t="str">
        <f>_xlfn.IFNA(VLOOKUP(Table1[[#This Row],[Tên đối tượng]],'DANH MỤC ĐỐI TƯỢNG'!A:I,9,0),"")</f>
        <v/>
      </c>
      <c r="I1284" t="str">
        <f>_xlfn.IFNA(VLOOKUP(Table1[[#This Row],[Tên đối tượng]],'DANH MỤC ĐỐI TƯỢNG'!A:J,10,0),"")</f>
        <v/>
      </c>
    </row>
    <row r="1285" spans="1:9" x14ac:dyDescent="0.3">
      <c r="A1285" t="str">
        <f t="shared" si="45"/>
        <v/>
      </c>
      <c r="D1285" t="str">
        <f t="shared" ref="D1285:D1295" si="46">A1285&amp;". "&amp;B1285</f>
        <v xml:space="preserve">. </v>
      </c>
      <c r="E1285" s="5" t="str">
        <f t="shared" ref="E1285:E1295" si="47">IF(B1285&lt;&gt;"",HYPERLINK($A$2&amp;D1285,C1285),"")</f>
        <v/>
      </c>
      <c r="F1285" t="str">
        <f>IFERROR(VLOOKUP(Table1[[#This Row],[Tên đối tượng]],'DANH MỤC ĐỐI TƯỢNG'!A:E,5,0),"")</f>
        <v/>
      </c>
      <c r="G1285" t="str">
        <f>_xlfn.IFNA(VLOOKUP(Table1[[#This Row],[Tên đối tượng]],'DANH MỤC ĐỐI TƯỢNG'!A:F,6,0),"")</f>
        <v/>
      </c>
      <c r="H1285" t="str">
        <f>_xlfn.IFNA(VLOOKUP(Table1[[#This Row],[Tên đối tượng]],'DANH MỤC ĐỐI TƯỢNG'!A:I,9,0),"")</f>
        <v/>
      </c>
      <c r="I1285" t="str">
        <f>_xlfn.IFNA(VLOOKUP(Table1[[#This Row],[Tên đối tượng]],'DANH MỤC ĐỐI TƯỢNG'!A:J,10,0),"")</f>
        <v/>
      </c>
    </row>
    <row r="1286" spans="1:9" x14ac:dyDescent="0.3">
      <c r="A1286" t="str">
        <f t="shared" si="45"/>
        <v/>
      </c>
      <c r="D1286" t="str">
        <f t="shared" si="46"/>
        <v xml:space="preserve">. </v>
      </c>
      <c r="E1286" s="5" t="str">
        <f t="shared" si="47"/>
        <v/>
      </c>
      <c r="F1286" t="str">
        <f>IFERROR(VLOOKUP(Table1[[#This Row],[Tên đối tượng]],'DANH MỤC ĐỐI TƯỢNG'!A:E,5,0),"")</f>
        <v/>
      </c>
      <c r="G1286" t="str">
        <f>_xlfn.IFNA(VLOOKUP(Table1[[#This Row],[Tên đối tượng]],'DANH MỤC ĐỐI TƯỢNG'!A:F,6,0),"")</f>
        <v/>
      </c>
      <c r="H1286" t="str">
        <f>_xlfn.IFNA(VLOOKUP(Table1[[#This Row],[Tên đối tượng]],'DANH MỤC ĐỐI TƯỢNG'!A:I,9,0),"")</f>
        <v/>
      </c>
      <c r="I1286" t="str">
        <f>_xlfn.IFNA(VLOOKUP(Table1[[#This Row],[Tên đối tượng]],'DANH MỤC ĐỐI TƯỢNG'!A:J,10,0),"")</f>
        <v/>
      </c>
    </row>
    <row r="1287" spans="1:9" x14ac:dyDescent="0.3">
      <c r="A1287" t="str">
        <f t="shared" si="45"/>
        <v/>
      </c>
      <c r="D1287" t="str">
        <f t="shared" si="46"/>
        <v xml:space="preserve">. </v>
      </c>
      <c r="E1287" s="5" t="str">
        <f t="shared" si="47"/>
        <v/>
      </c>
      <c r="F1287" t="str">
        <f>IFERROR(VLOOKUP(Table1[[#This Row],[Tên đối tượng]],'DANH MỤC ĐỐI TƯỢNG'!A:E,5,0),"")</f>
        <v/>
      </c>
      <c r="G1287" t="str">
        <f>_xlfn.IFNA(VLOOKUP(Table1[[#This Row],[Tên đối tượng]],'DANH MỤC ĐỐI TƯỢNG'!A:F,6,0),"")</f>
        <v/>
      </c>
      <c r="H1287" t="str">
        <f>_xlfn.IFNA(VLOOKUP(Table1[[#This Row],[Tên đối tượng]],'DANH MỤC ĐỐI TƯỢNG'!A:I,9,0),"")</f>
        <v/>
      </c>
      <c r="I1287" t="str">
        <f>_xlfn.IFNA(VLOOKUP(Table1[[#This Row],[Tên đối tượng]],'DANH MỤC ĐỐI TƯỢNG'!A:J,10,0),"")</f>
        <v/>
      </c>
    </row>
    <row r="1288" spans="1:9" x14ac:dyDescent="0.3">
      <c r="A1288" t="str">
        <f t="shared" si="45"/>
        <v/>
      </c>
      <c r="D1288" t="str">
        <f t="shared" si="46"/>
        <v xml:space="preserve">. </v>
      </c>
      <c r="E1288" s="5" t="str">
        <f t="shared" si="47"/>
        <v/>
      </c>
      <c r="F1288" t="str">
        <f>IFERROR(VLOOKUP(Table1[[#This Row],[Tên đối tượng]],'DANH MỤC ĐỐI TƯỢNG'!A:E,5,0),"")</f>
        <v/>
      </c>
      <c r="G1288" t="str">
        <f>_xlfn.IFNA(VLOOKUP(Table1[[#This Row],[Tên đối tượng]],'DANH MỤC ĐỐI TƯỢNG'!A:F,6,0),"")</f>
        <v/>
      </c>
      <c r="H1288" t="str">
        <f>_xlfn.IFNA(VLOOKUP(Table1[[#This Row],[Tên đối tượng]],'DANH MỤC ĐỐI TƯỢNG'!A:I,9,0),"")</f>
        <v/>
      </c>
      <c r="I1288" t="str">
        <f>_xlfn.IFNA(VLOOKUP(Table1[[#This Row],[Tên đối tượng]],'DANH MỤC ĐỐI TƯỢNG'!A:J,10,0),"")</f>
        <v/>
      </c>
    </row>
    <row r="1289" spans="1:9" x14ac:dyDescent="0.3">
      <c r="A1289" t="str">
        <f t="shared" si="45"/>
        <v/>
      </c>
      <c r="D1289" t="str">
        <f t="shared" si="46"/>
        <v xml:space="preserve">. </v>
      </c>
      <c r="E1289" s="5" t="str">
        <f t="shared" si="47"/>
        <v/>
      </c>
      <c r="F1289" t="str">
        <f>IFERROR(VLOOKUP(Table1[[#This Row],[Tên đối tượng]],'DANH MỤC ĐỐI TƯỢNG'!A:E,5,0),"")</f>
        <v/>
      </c>
      <c r="G1289" t="str">
        <f>_xlfn.IFNA(VLOOKUP(Table1[[#This Row],[Tên đối tượng]],'DANH MỤC ĐỐI TƯỢNG'!A:F,6,0),"")</f>
        <v/>
      </c>
      <c r="H1289" t="str">
        <f>_xlfn.IFNA(VLOOKUP(Table1[[#This Row],[Tên đối tượng]],'DANH MỤC ĐỐI TƯỢNG'!A:I,9,0),"")</f>
        <v/>
      </c>
      <c r="I1289" t="str">
        <f>_xlfn.IFNA(VLOOKUP(Table1[[#This Row],[Tên đối tượng]],'DANH MỤC ĐỐI TƯỢNG'!A:J,10,0),"")</f>
        <v/>
      </c>
    </row>
    <row r="1290" spans="1:9" x14ac:dyDescent="0.3">
      <c r="A1290" t="str">
        <f t="shared" si="45"/>
        <v/>
      </c>
      <c r="D1290" t="str">
        <f t="shared" si="46"/>
        <v xml:space="preserve">. </v>
      </c>
      <c r="E1290" s="5" t="str">
        <f t="shared" si="47"/>
        <v/>
      </c>
      <c r="F1290" t="str">
        <f>IFERROR(VLOOKUP(Table1[[#This Row],[Tên đối tượng]],'DANH MỤC ĐỐI TƯỢNG'!A:E,5,0),"")</f>
        <v/>
      </c>
      <c r="G1290" t="str">
        <f>_xlfn.IFNA(VLOOKUP(Table1[[#This Row],[Tên đối tượng]],'DANH MỤC ĐỐI TƯỢNG'!A:F,6,0),"")</f>
        <v/>
      </c>
      <c r="H1290" t="str">
        <f>_xlfn.IFNA(VLOOKUP(Table1[[#This Row],[Tên đối tượng]],'DANH MỤC ĐỐI TƯỢNG'!A:I,9,0),"")</f>
        <v/>
      </c>
      <c r="I1290" t="str">
        <f>_xlfn.IFNA(VLOOKUP(Table1[[#This Row],[Tên đối tượng]],'DANH MỤC ĐỐI TƯỢNG'!A:J,10,0),"")</f>
        <v/>
      </c>
    </row>
    <row r="1291" spans="1:9" x14ac:dyDescent="0.3">
      <c r="A1291" t="str">
        <f t="shared" si="45"/>
        <v/>
      </c>
      <c r="D1291" t="str">
        <f t="shared" si="46"/>
        <v xml:space="preserve">. </v>
      </c>
      <c r="E1291" s="5" t="str">
        <f t="shared" si="47"/>
        <v/>
      </c>
      <c r="F1291" t="str">
        <f>IFERROR(VLOOKUP(Table1[[#This Row],[Tên đối tượng]],'DANH MỤC ĐỐI TƯỢNG'!A:E,5,0),"")</f>
        <v/>
      </c>
      <c r="G1291" t="str">
        <f>_xlfn.IFNA(VLOOKUP(Table1[[#This Row],[Tên đối tượng]],'DANH MỤC ĐỐI TƯỢNG'!A:F,6,0),"")</f>
        <v/>
      </c>
      <c r="H1291" t="str">
        <f>_xlfn.IFNA(VLOOKUP(Table1[[#This Row],[Tên đối tượng]],'DANH MỤC ĐỐI TƯỢNG'!A:I,9,0),"")</f>
        <v/>
      </c>
      <c r="I1291" t="str">
        <f>_xlfn.IFNA(VLOOKUP(Table1[[#This Row],[Tên đối tượng]],'DANH MỤC ĐỐI TƯỢNG'!A:J,10,0),"")</f>
        <v/>
      </c>
    </row>
    <row r="1292" spans="1:9" x14ac:dyDescent="0.3">
      <c r="A1292" t="str">
        <f t="shared" si="45"/>
        <v/>
      </c>
      <c r="D1292" t="str">
        <f t="shared" si="46"/>
        <v xml:space="preserve">. </v>
      </c>
      <c r="E1292" s="5" t="str">
        <f t="shared" si="47"/>
        <v/>
      </c>
      <c r="F1292" t="str">
        <f>IFERROR(VLOOKUP(Table1[[#This Row],[Tên đối tượng]],'DANH MỤC ĐỐI TƯỢNG'!A:E,5,0),"")</f>
        <v/>
      </c>
      <c r="G1292" t="str">
        <f>_xlfn.IFNA(VLOOKUP(Table1[[#This Row],[Tên đối tượng]],'DANH MỤC ĐỐI TƯỢNG'!A:F,6,0),"")</f>
        <v/>
      </c>
      <c r="H1292" t="str">
        <f>_xlfn.IFNA(VLOOKUP(Table1[[#This Row],[Tên đối tượng]],'DANH MỤC ĐỐI TƯỢNG'!A:I,9,0),"")</f>
        <v/>
      </c>
      <c r="I1292" t="str">
        <f>_xlfn.IFNA(VLOOKUP(Table1[[#This Row],[Tên đối tượng]],'DANH MỤC ĐỐI TƯỢNG'!A:J,10,0),"")</f>
        <v/>
      </c>
    </row>
    <row r="1293" spans="1:9" x14ac:dyDescent="0.3">
      <c r="A1293" t="str">
        <f t="shared" si="45"/>
        <v/>
      </c>
      <c r="D1293" t="str">
        <f t="shared" si="46"/>
        <v xml:space="preserve">. </v>
      </c>
      <c r="E1293" s="5" t="str">
        <f t="shared" si="47"/>
        <v/>
      </c>
      <c r="F1293" t="str">
        <f>IFERROR(VLOOKUP(Table1[[#This Row],[Tên đối tượng]],'DANH MỤC ĐỐI TƯỢNG'!A:E,5,0),"")</f>
        <v/>
      </c>
      <c r="G1293" t="str">
        <f>_xlfn.IFNA(VLOOKUP(Table1[[#This Row],[Tên đối tượng]],'DANH MỤC ĐỐI TƯỢNG'!A:F,6,0),"")</f>
        <v/>
      </c>
      <c r="H1293" t="str">
        <f>_xlfn.IFNA(VLOOKUP(Table1[[#This Row],[Tên đối tượng]],'DANH MỤC ĐỐI TƯỢNG'!A:I,9,0),"")</f>
        <v/>
      </c>
      <c r="I1293" t="str">
        <f>_xlfn.IFNA(VLOOKUP(Table1[[#This Row],[Tên đối tượng]],'DANH MỤC ĐỐI TƯỢNG'!A:J,10,0),"")</f>
        <v/>
      </c>
    </row>
    <row r="1294" spans="1:9" x14ac:dyDescent="0.3">
      <c r="A1294" t="str">
        <f t="shared" si="45"/>
        <v/>
      </c>
      <c r="D1294" t="str">
        <f t="shared" si="46"/>
        <v xml:space="preserve">. </v>
      </c>
      <c r="E1294" s="5" t="str">
        <f t="shared" si="47"/>
        <v/>
      </c>
      <c r="F1294" t="str">
        <f>IFERROR(VLOOKUP(Table1[[#This Row],[Tên đối tượng]],'DANH MỤC ĐỐI TƯỢNG'!A:E,5,0),"")</f>
        <v/>
      </c>
      <c r="G1294" t="str">
        <f>_xlfn.IFNA(VLOOKUP(Table1[[#This Row],[Tên đối tượng]],'DANH MỤC ĐỐI TƯỢNG'!A:F,6,0),"")</f>
        <v/>
      </c>
      <c r="H1294" t="str">
        <f>_xlfn.IFNA(VLOOKUP(Table1[[#This Row],[Tên đối tượng]],'DANH MỤC ĐỐI TƯỢNG'!A:I,9,0),"")</f>
        <v/>
      </c>
      <c r="I1294" t="str">
        <f>_xlfn.IFNA(VLOOKUP(Table1[[#This Row],[Tên đối tượng]],'DANH MỤC ĐỐI TƯỢNG'!A:J,10,0),"")</f>
        <v/>
      </c>
    </row>
    <row r="1295" spans="1:9" x14ac:dyDescent="0.3">
      <c r="A1295" t="str">
        <f t="shared" si="45"/>
        <v/>
      </c>
      <c r="D1295" t="str">
        <f t="shared" si="46"/>
        <v xml:space="preserve">. </v>
      </c>
      <c r="E1295" s="5" t="str">
        <f t="shared" si="47"/>
        <v/>
      </c>
      <c r="F1295" t="str">
        <f>IFERROR(VLOOKUP(Table1[[#This Row],[Tên đối tượng]],'DANH MỤC ĐỐI TƯỢNG'!A:E,5,0),"")</f>
        <v/>
      </c>
      <c r="G1295" t="str">
        <f>_xlfn.IFNA(VLOOKUP(Table1[[#This Row],[Tên đối tượng]],'DANH MỤC ĐỐI TƯỢNG'!A:F,6,0),"")</f>
        <v/>
      </c>
      <c r="H1295" t="str">
        <f>_xlfn.IFNA(VLOOKUP(Table1[[#This Row],[Tên đối tượng]],'DANH MỤC ĐỐI TƯỢNG'!A:I,9,0),"")</f>
        <v/>
      </c>
      <c r="I1295" t="str">
        <f>_xlfn.IFNA(VLOOKUP(Table1[[#This Row],[Tên đối tượng]],'DANH MỤC ĐỐI TƯỢNG'!A:J,10,0),"")</f>
        <v/>
      </c>
    </row>
    <row r="1296" spans="1:9" x14ac:dyDescent="0.3">
      <c r="A1296" t="str">
        <f t="shared" si="45"/>
        <v/>
      </c>
      <c r="F1296" t="str">
        <f>IFERROR(VLOOKUP(Table1[[#This Row],[Tên đối tượng]],'DANH MỤC ĐỐI TƯỢNG'!A:E,5,0),"")</f>
        <v/>
      </c>
      <c r="G1296" t="str">
        <f>_xlfn.IFNA(VLOOKUP(Table1[[#This Row],[Tên đối tượng]],'DANH MỤC ĐỐI TƯỢNG'!A:F,6,0),"")</f>
        <v/>
      </c>
      <c r="H1296" t="str">
        <f>_xlfn.IFNA(VLOOKUP(Table1[[#This Row],[Tên đối tượng]],'DANH MỤC ĐỐI TƯỢNG'!A:I,9,0),"")</f>
        <v/>
      </c>
      <c r="I1296" t="str">
        <f>_xlfn.IFNA(VLOOKUP(Table1[[#This Row],[Tên đối tượng]],'DANH MỤC ĐỐI TƯỢNG'!A:J,10,0),"")</f>
        <v/>
      </c>
    </row>
    <row r="1297" spans="1:9" x14ac:dyDescent="0.3">
      <c r="A1297" t="str">
        <f t="shared" si="45"/>
        <v/>
      </c>
      <c r="F1297" t="str">
        <f>IFERROR(VLOOKUP(Table1[[#This Row],[Tên đối tượng]],'DANH MỤC ĐỐI TƯỢNG'!A:E,5,0),"")</f>
        <v/>
      </c>
      <c r="G1297" t="str">
        <f>_xlfn.IFNA(VLOOKUP(Table1[[#This Row],[Tên đối tượng]],'DANH MỤC ĐỐI TƯỢNG'!A:F,6,0),"")</f>
        <v/>
      </c>
      <c r="H1297" t="str">
        <f>_xlfn.IFNA(VLOOKUP(Table1[[#This Row],[Tên đối tượng]],'DANH MỤC ĐỐI TƯỢNG'!A:I,9,0),"")</f>
        <v/>
      </c>
      <c r="I1297" t="str">
        <f>_xlfn.IFNA(VLOOKUP(Table1[[#This Row],[Tên đối tượng]],'DANH MỤC ĐỐI TƯỢNG'!A:J,10,0),"")</f>
        <v/>
      </c>
    </row>
    <row r="1298" spans="1:9" x14ac:dyDescent="0.3">
      <c r="A1298" t="str">
        <f t="shared" si="45"/>
        <v/>
      </c>
      <c r="F1298" t="str">
        <f>IFERROR(VLOOKUP(Table1[[#This Row],[Tên đối tượng]],'DANH MỤC ĐỐI TƯỢNG'!A:E,5,0),"")</f>
        <v/>
      </c>
      <c r="G1298" t="str">
        <f>_xlfn.IFNA(VLOOKUP(Table1[[#This Row],[Tên đối tượng]],'DANH MỤC ĐỐI TƯỢNG'!A:F,6,0),"")</f>
        <v/>
      </c>
      <c r="H1298" t="str">
        <f>_xlfn.IFNA(VLOOKUP(Table1[[#This Row],[Tên đối tượng]],'DANH MỤC ĐỐI TƯỢNG'!A:I,9,0),"")</f>
        <v/>
      </c>
      <c r="I1298" t="str">
        <f>_xlfn.IFNA(VLOOKUP(Table1[[#This Row],[Tên đối tượng]],'DANH MỤC ĐỐI TƯỢNG'!A:J,10,0),"")</f>
        <v/>
      </c>
    </row>
    <row r="1299" spans="1:9" x14ac:dyDescent="0.3">
      <c r="A1299" t="str">
        <f t="shared" si="45"/>
        <v/>
      </c>
      <c r="F1299" t="str">
        <f>IFERROR(VLOOKUP(Table1[[#This Row],[Tên đối tượng]],'DANH MỤC ĐỐI TƯỢNG'!A:E,5,0),"")</f>
        <v/>
      </c>
      <c r="G1299" t="str">
        <f>_xlfn.IFNA(VLOOKUP(Table1[[#This Row],[Tên đối tượng]],'DANH MỤC ĐỐI TƯỢNG'!A:F,6,0),"")</f>
        <v/>
      </c>
      <c r="H1299" t="str">
        <f>_xlfn.IFNA(VLOOKUP(Table1[[#This Row],[Tên đối tượng]],'DANH MỤC ĐỐI TƯỢNG'!A:I,9,0),"")</f>
        <v/>
      </c>
      <c r="I1299" t="str">
        <f>_xlfn.IFNA(VLOOKUP(Table1[[#This Row],[Tên đối tượng]],'DANH MỤC ĐỐI TƯỢNG'!A:J,10,0),"")</f>
        <v/>
      </c>
    </row>
    <row r="1300" spans="1:9" x14ac:dyDescent="0.3">
      <c r="A1300" t="str">
        <f t="shared" si="45"/>
        <v/>
      </c>
      <c r="F1300" t="str">
        <f>IFERROR(VLOOKUP(Table1[[#This Row],[Tên đối tượng]],'DANH MỤC ĐỐI TƯỢNG'!A:E,5,0),"")</f>
        <v/>
      </c>
      <c r="G1300" t="str">
        <f>_xlfn.IFNA(VLOOKUP(Table1[[#This Row],[Tên đối tượng]],'DANH MỤC ĐỐI TƯỢNG'!A:F,6,0),"")</f>
        <v/>
      </c>
      <c r="H1300" t="str">
        <f>_xlfn.IFNA(VLOOKUP(Table1[[#This Row],[Tên đối tượng]],'DANH MỤC ĐỐI TƯỢNG'!A:I,9,0),"")</f>
        <v/>
      </c>
      <c r="I1300" t="str">
        <f>_xlfn.IFNA(VLOOKUP(Table1[[#This Row],[Tên đối tượng]],'DANH MỤC ĐỐI TƯỢNG'!A:J,10,0),"")</f>
        <v/>
      </c>
    </row>
    <row r="1301" spans="1:9" x14ac:dyDescent="0.3">
      <c r="A1301" t="str">
        <f t="shared" si="45"/>
        <v/>
      </c>
      <c r="F1301" t="str">
        <f>IFERROR(VLOOKUP(Table1[[#This Row],[Tên đối tượng]],'DANH MỤC ĐỐI TƯỢNG'!A:E,5,0),"")</f>
        <v/>
      </c>
      <c r="G1301" t="str">
        <f>_xlfn.IFNA(VLOOKUP(Table1[[#This Row],[Tên đối tượng]],'DANH MỤC ĐỐI TƯỢNG'!A:F,6,0),"")</f>
        <v/>
      </c>
      <c r="H1301" t="str">
        <f>_xlfn.IFNA(VLOOKUP(Table1[[#This Row],[Tên đối tượng]],'DANH MỤC ĐỐI TƯỢNG'!A:I,9,0),"")</f>
        <v/>
      </c>
      <c r="I1301" t="str">
        <f>_xlfn.IFNA(VLOOKUP(Table1[[#This Row],[Tên đối tượng]],'DANH MỤC ĐỐI TƯỢNG'!A:J,10,0),"")</f>
        <v/>
      </c>
    </row>
    <row r="1302" spans="1:9" x14ac:dyDescent="0.3">
      <c r="A1302" t="str">
        <f t="shared" si="45"/>
        <v/>
      </c>
      <c r="F1302" t="str">
        <f>IFERROR(VLOOKUP(Table1[[#This Row],[Tên đối tượng]],'DANH MỤC ĐỐI TƯỢNG'!A:E,5,0),"")</f>
        <v/>
      </c>
      <c r="G1302" t="str">
        <f>_xlfn.IFNA(VLOOKUP(Table1[[#This Row],[Tên đối tượng]],'DANH MỤC ĐỐI TƯỢNG'!A:F,6,0),"")</f>
        <v/>
      </c>
      <c r="H1302" t="str">
        <f>_xlfn.IFNA(VLOOKUP(Table1[[#This Row],[Tên đối tượng]],'DANH MỤC ĐỐI TƯỢNG'!A:I,9,0),"")</f>
        <v/>
      </c>
      <c r="I1302" t="str">
        <f>_xlfn.IFNA(VLOOKUP(Table1[[#This Row],[Tên đối tượng]],'DANH MỤC ĐỐI TƯỢNG'!A:J,10,0),"")</f>
        <v/>
      </c>
    </row>
    <row r="1303" spans="1:9" x14ac:dyDescent="0.3">
      <c r="A1303" t="str">
        <f t="shared" si="45"/>
        <v/>
      </c>
      <c r="F1303" t="str">
        <f>IFERROR(VLOOKUP(Table1[[#This Row],[Tên đối tượng]],'DANH MỤC ĐỐI TƯỢNG'!A:E,5,0),"")</f>
        <v/>
      </c>
      <c r="G1303" t="str">
        <f>_xlfn.IFNA(VLOOKUP(Table1[[#This Row],[Tên đối tượng]],'DANH MỤC ĐỐI TƯỢNG'!A:F,6,0),"")</f>
        <v/>
      </c>
      <c r="H1303" t="str">
        <f>_xlfn.IFNA(VLOOKUP(Table1[[#This Row],[Tên đối tượng]],'DANH MỤC ĐỐI TƯỢNG'!A:I,9,0),"")</f>
        <v/>
      </c>
      <c r="I1303" t="str">
        <f>_xlfn.IFNA(VLOOKUP(Table1[[#This Row],[Tên đối tượng]],'DANH MỤC ĐỐI TƯỢNG'!A:J,10,0),"")</f>
        <v/>
      </c>
    </row>
    <row r="1304" spans="1:9" x14ac:dyDescent="0.3">
      <c r="A1304" t="str">
        <f t="shared" si="45"/>
        <v/>
      </c>
      <c r="F1304" t="str">
        <f>IFERROR(VLOOKUP(Table1[[#This Row],[Tên đối tượng]],'DANH MỤC ĐỐI TƯỢNG'!A:E,5,0),"")</f>
        <v/>
      </c>
      <c r="G1304" t="str">
        <f>_xlfn.IFNA(VLOOKUP(Table1[[#This Row],[Tên đối tượng]],'DANH MỤC ĐỐI TƯỢNG'!A:F,6,0),"")</f>
        <v/>
      </c>
      <c r="H1304" t="str">
        <f>_xlfn.IFNA(VLOOKUP(Table1[[#This Row],[Tên đối tượng]],'DANH MỤC ĐỐI TƯỢNG'!A:I,9,0),"")</f>
        <v/>
      </c>
      <c r="I1304" t="str">
        <f>_xlfn.IFNA(VLOOKUP(Table1[[#This Row],[Tên đối tượng]],'DANH MỤC ĐỐI TƯỢNG'!A:J,10,0),"")</f>
        <v/>
      </c>
    </row>
    <row r="1305" spans="1:9" x14ac:dyDescent="0.3">
      <c r="A1305" t="str">
        <f t="shared" si="45"/>
        <v/>
      </c>
      <c r="F1305" t="str">
        <f>IFERROR(VLOOKUP(Table1[[#This Row],[Tên đối tượng]],'DANH MỤC ĐỐI TƯỢNG'!A:E,5,0),"")</f>
        <v/>
      </c>
      <c r="G1305" t="str">
        <f>_xlfn.IFNA(VLOOKUP(Table1[[#This Row],[Tên đối tượng]],'DANH MỤC ĐỐI TƯỢNG'!A:F,6,0),"")</f>
        <v/>
      </c>
      <c r="H1305" t="str">
        <f>_xlfn.IFNA(VLOOKUP(Table1[[#This Row],[Tên đối tượng]],'DANH MỤC ĐỐI TƯỢNG'!A:I,9,0),"")</f>
        <v/>
      </c>
      <c r="I1305" t="str">
        <f>_xlfn.IFNA(VLOOKUP(Table1[[#This Row],[Tên đối tượng]],'DANH MỤC ĐỐI TƯỢNG'!A:J,10,0),"")</f>
        <v/>
      </c>
    </row>
    <row r="1306" spans="1:9" x14ac:dyDescent="0.3">
      <c r="A1306" t="str">
        <f t="shared" si="45"/>
        <v/>
      </c>
      <c r="F1306" t="str">
        <f>IFERROR(VLOOKUP(Table1[[#This Row],[Tên đối tượng]],'DANH MỤC ĐỐI TƯỢNG'!A:E,5,0),"")</f>
        <v/>
      </c>
      <c r="G1306" t="str">
        <f>_xlfn.IFNA(VLOOKUP(Table1[[#This Row],[Tên đối tượng]],'DANH MỤC ĐỐI TƯỢNG'!A:F,6,0),"")</f>
        <v/>
      </c>
      <c r="H1306" t="str">
        <f>_xlfn.IFNA(VLOOKUP(Table1[[#This Row],[Tên đối tượng]],'DANH MỤC ĐỐI TƯỢNG'!A:I,9,0),"")</f>
        <v/>
      </c>
      <c r="I1306" t="str">
        <f>_xlfn.IFNA(VLOOKUP(Table1[[#This Row],[Tên đối tượng]],'DANH MỤC ĐỐI TƯỢNG'!A:J,10,0),"")</f>
        <v/>
      </c>
    </row>
    <row r="1307" spans="1:9" x14ac:dyDescent="0.3">
      <c r="A1307" t="str">
        <f t="shared" si="45"/>
        <v/>
      </c>
      <c r="F1307" t="str">
        <f>IFERROR(VLOOKUP(Table1[[#This Row],[Tên đối tượng]],'DANH MỤC ĐỐI TƯỢNG'!A:E,5,0),"")</f>
        <v/>
      </c>
      <c r="G1307" t="str">
        <f>_xlfn.IFNA(VLOOKUP(Table1[[#This Row],[Tên đối tượng]],'DANH MỤC ĐỐI TƯỢNG'!A:F,6,0),"")</f>
        <v/>
      </c>
      <c r="H1307" t="str">
        <f>_xlfn.IFNA(VLOOKUP(Table1[[#This Row],[Tên đối tượng]],'DANH MỤC ĐỐI TƯỢNG'!A:I,9,0),"")</f>
        <v/>
      </c>
      <c r="I1307" t="str">
        <f>_xlfn.IFNA(VLOOKUP(Table1[[#This Row],[Tên đối tượng]],'DANH MỤC ĐỐI TƯỢNG'!A:J,10,0),"")</f>
        <v/>
      </c>
    </row>
    <row r="1308" spans="1:9" x14ac:dyDescent="0.3">
      <c r="A1308" t="str">
        <f t="shared" si="45"/>
        <v/>
      </c>
      <c r="F1308" t="str">
        <f>IFERROR(VLOOKUP(Table1[[#This Row],[Tên đối tượng]],'DANH MỤC ĐỐI TƯỢNG'!A:E,5,0),"")</f>
        <v/>
      </c>
      <c r="G1308" t="str">
        <f>_xlfn.IFNA(VLOOKUP(Table1[[#This Row],[Tên đối tượng]],'DANH MỤC ĐỐI TƯỢNG'!A:F,6,0),"")</f>
        <v/>
      </c>
      <c r="H1308" t="str">
        <f>_xlfn.IFNA(VLOOKUP(Table1[[#This Row],[Tên đối tượng]],'DANH MỤC ĐỐI TƯỢNG'!A:I,9,0),"")</f>
        <v/>
      </c>
      <c r="I1308" t="str">
        <f>_xlfn.IFNA(VLOOKUP(Table1[[#This Row],[Tên đối tượng]],'DANH MỤC ĐỐI TƯỢNG'!A:J,10,0),"")</f>
        <v/>
      </c>
    </row>
    <row r="1309" spans="1:9" x14ac:dyDescent="0.3">
      <c r="A1309" t="str">
        <f t="shared" si="45"/>
        <v/>
      </c>
      <c r="F1309" t="str">
        <f>IFERROR(VLOOKUP(Table1[[#This Row],[Tên đối tượng]],'DANH MỤC ĐỐI TƯỢNG'!A:E,5,0),"")</f>
        <v/>
      </c>
      <c r="G1309" t="str">
        <f>_xlfn.IFNA(VLOOKUP(Table1[[#This Row],[Tên đối tượng]],'DANH MỤC ĐỐI TƯỢNG'!A:F,6,0),"")</f>
        <v/>
      </c>
      <c r="H1309" t="str">
        <f>_xlfn.IFNA(VLOOKUP(Table1[[#This Row],[Tên đối tượng]],'DANH MỤC ĐỐI TƯỢNG'!A:I,9,0),"")</f>
        <v/>
      </c>
      <c r="I1309" t="str">
        <f>_xlfn.IFNA(VLOOKUP(Table1[[#This Row],[Tên đối tượng]],'DANH MỤC ĐỐI TƯỢNG'!A:J,10,0),"")</f>
        <v/>
      </c>
    </row>
    <row r="1310" spans="1:9" x14ac:dyDescent="0.3">
      <c r="A1310" t="str">
        <f t="shared" si="45"/>
        <v/>
      </c>
      <c r="F1310" t="str">
        <f>IFERROR(VLOOKUP(Table1[[#This Row],[Tên đối tượng]],'DANH MỤC ĐỐI TƯỢNG'!A:E,5,0),"")</f>
        <v/>
      </c>
      <c r="G1310" t="str">
        <f>_xlfn.IFNA(VLOOKUP(Table1[[#This Row],[Tên đối tượng]],'DANH MỤC ĐỐI TƯỢNG'!A:F,6,0),"")</f>
        <v/>
      </c>
      <c r="H1310" t="str">
        <f>_xlfn.IFNA(VLOOKUP(Table1[[#This Row],[Tên đối tượng]],'DANH MỤC ĐỐI TƯỢNG'!A:I,9,0),"")</f>
        <v/>
      </c>
      <c r="I1310" t="str">
        <f>_xlfn.IFNA(VLOOKUP(Table1[[#This Row],[Tên đối tượng]],'DANH MỤC ĐỐI TƯỢNG'!A:J,10,0),"")</f>
        <v/>
      </c>
    </row>
    <row r="1311" spans="1:9" x14ac:dyDescent="0.3">
      <c r="A1311" t="str">
        <f t="shared" si="45"/>
        <v/>
      </c>
      <c r="F1311" t="str">
        <f>IFERROR(VLOOKUP(Table1[[#This Row],[Tên đối tượng]],'DANH MỤC ĐỐI TƯỢNG'!A:E,5,0),"")</f>
        <v/>
      </c>
      <c r="G1311" t="str">
        <f>_xlfn.IFNA(VLOOKUP(Table1[[#This Row],[Tên đối tượng]],'DANH MỤC ĐỐI TƯỢNG'!A:F,6,0),"")</f>
        <v/>
      </c>
      <c r="H1311" t="str">
        <f>_xlfn.IFNA(VLOOKUP(Table1[[#This Row],[Tên đối tượng]],'DANH MỤC ĐỐI TƯỢNG'!A:I,9,0),"")</f>
        <v/>
      </c>
      <c r="I1311" t="str">
        <f>_xlfn.IFNA(VLOOKUP(Table1[[#This Row],[Tên đối tượng]],'DANH MỤC ĐỐI TƯỢNG'!A:J,10,0),"")</f>
        <v/>
      </c>
    </row>
    <row r="1312" spans="1:9" x14ac:dyDescent="0.3">
      <c r="A1312" t="str">
        <f t="shared" si="45"/>
        <v/>
      </c>
      <c r="F1312" t="str">
        <f>IFERROR(VLOOKUP(Table1[[#This Row],[Tên đối tượng]],'DANH MỤC ĐỐI TƯỢNG'!A:E,5,0),"")</f>
        <v/>
      </c>
      <c r="G1312" t="str">
        <f>_xlfn.IFNA(VLOOKUP(Table1[[#This Row],[Tên đối tượng]],'DANH MỤC ĐỐI TƯỢNG'!A:F,6,0),"")</f>
        <v/>
      </c>
      <c r="H1312" t="str">
        <f>_xlfn.IFNA(VLOOKUP(Table1[[#This Row],[Tên đối tượng]],'DANH MỤC ĐỐI TƯỢNG'!A:I,9,0),"")</f>
        <v/>
      </c>
      <c r="I1312" t="str">
        <f>_xlfn.IFNA(VLOOKUP(Table1[[#This Row],[Tên đối tượng]],'DANH MỤC ĐỐI TƯỢNG'!A:J,10,0),"")</f>
        <v/>
      </c>
    </row>
    <row r="1313" spans="1:9" x14ac:dyDescent="0.3">
      <c r="A1313" t="str">
        <f t="shared" si="45"/>
        <v/>
      </c>
      <c r="F1313" t="str">
        <f>IFERROR(VLOOKUP(Table1[[#This Row],[Tên đối tượng]],'DANH MỤC ĐỐI TƯỢNG'!A:E,5,0),"")</f>
        <v/>
      </c>
      <c r="G1313" t="str">
        <f>_xlfn.IFNA(VLOOKUP(Table1[[#This Row],[Tên đối tượng]],'DANH MỤC ĐỐI TƯỢNG'!A:F,6,0),"")</f>
        <v/>
      </c>
      <c r="H1313" t="str">
        <f>_xlfn.IFNA(VLOOKUP(Table1[[#This Row],[Tên đối tượng]],'DANH MỤC ĐỐI TƯỢNG'!A:I,9,0),"")</f>
        <v/>
      </c>
      <c r="I1313" t="str">
        <f>_xlfn.IFNA(VLOOKUP(Table1[[#This Row],[Tên đối tượng]],'DANH MỤC ĐỐI TƯỢNG'!A:J,10,0),"")</f>
        <v/>
      </c>
    </row>
    <row r="1314" spans="1:9" x14ac:dyDescent="0.3">
      <c r="A1314" t="str">
        <f t="shared" si="45"/>
        <v/>
      </c>
      <c r="F1314" t="str">
        <f>IFERROR(VLOOKUP(Table1[[#This Row],[Tên đối tượng]],'DANH MỤC ĐỐI TƯỢNG'!A:E,5,0),"")</f>
        <v/>
      </c>
      <c r="G1314" t="str">
        <f>_xlfn.IFNA(VLOOKUP(Table1[[#This Row],[Tên đối tượng]],'DANH MỤC ĐỐI TƯỢNG'!A:F,6,0),"")</f>
        <v/>
      </c>
      <c r="H1314" t="str">
        <f>_xlfn.IFNA(VLOOKUP(Table1[[#This Row],[Tên đối tượng]],'DANH MỤC ĐỐI TƯỢNG'!A:I,9,0),"")</f>
        <v/>
      </c>
      <c r="I1314" t="str">
        <f>_xlfn.IFNA(VLOOKUP(Table1[[#This Row],[Tên đối tượng]],'DANH MỤC ĐỐI TƯỢNG'!A:J,10,0),"")</f>
        <v/>
      </c>
    </row>
    <row r="1315" spans="1:9" x14ac:dyDescent="0.3">
      <c r="A1315" t="str">
        <f t="shared" si="45"/>
        <v/>
      </c>
      <c r="F1315" t="str">
        <f>IFERROR(VLOOKUP(Table1[[#This Row],[Tên đối tượng]],'DANH MỤC ĐỐI TƯỢNG'!A:E,5,0),"")</f>
        <v/>
      </c>
      <c r="G1315" t="str">
        <f>_xlfn.IFNA(VLOOKUP(Table1[[#This Row],[Tên đối tượng]],'DANH MỤC ĐỐI TƯỢNG'!A:F,6,0),"")</f>
        <v/>
      </c>
      <c r="H1315" t="str">
        <f>_xlfn.IFNA(VLOOKUP(Table1[[#This Row],[Tên đối tượng]],'DANH MỤC ĐỐI TƯỢNG'!A:I,9,0),"")</f>
        <v/>
      </c>
      <c r="I1315" t="str">
        <f>_xlfn.IFNA(VLOOKUP(Table1[[#This Row],[Tên đối tượng]],'DANH MỤC ĐỐI TƯỢNG'!A:J,10,0),"")</f>
        <v/>
      </c>
    </row>
    <row r="1316" spans="1:9" x14ac:dyDescent="0.3">
      <c r="A1316" t="str">
        <f t="shared" si="45"/>
        <v/>
      </c>
      <c r="F1316" t="str">
        <f>IFERROR(VLOOKUP(Table1[[#This Row],[Tên đối tượng]],'DANH MỤC ĐỐI TƯỢNG'!A:E,5,0),"")</f>
        <v/>
      </c>
      <c r="G1316" t="str">
        <f>_xlfn.IFNA(VLOOKUP(Table1[[#This Row],[Tên đối tượng]],'DANH MỤC ĐỐI TƯỢNG'!A:F,6,0),"")</f>
        <v/>
      </c>
      <c r="H1316" t="str">
        <f>_xlfn.IFNA(VLOOKUP(Table1[[#This Row],[Tên đối tượng]],'DANH MỤC ĐỐI TƯỢNG'!A:I,9,0),"")</f>
        <v/>
      </c>
      <c r="I1316" t="str">
        <f>_xlfn.IFNA(VLOOKUP(Table1[[#This Row],[Tên đối tượng]],'DANH MỤC ĐỐI TƯỢNG'!A:J,10,0),"")</f>
        <v/>
      </c>
    </row>
    <row r="1317" spans="1:9" x14ac:dyDescent="0.3">
      <c r="A1317" t="str">
        <f t="shared" si="45"/>
        <v/>
      </c>
      <c r="F1317" t="str">
        <f>IFERROR(VLOOKUP(Table1[[#This Row],[Tên đối tượng]],'DANH MỤC ĐỐI TƯỢNG'!A:E,5,0),"")</f>
        <v/>
      </c>
      <c r="G1317" t="str">
        <f>_xlfn.IFNA(VLOOKUP(Table1[[#This Row],[Tên đối tượng]],'DANH MỤC ĐỐI TƯỢNG'!A:F,6,0),"")</f>
        <v/>
      </c>
      <c r="H1317" t="str">
        <f>_xlfn.IFNA(VLOOKUP(Table1[[#This Row],[Tên đối tượng]],'DANH MỤC ĐỐI TƯỢNG'!A:I,9,0),"")</f>
        <v/>
      </c>
      <c r="I1317" t="str">
        <f>_xlfn.IFNA(VLOOKUP(Table1[[#This Row],[Tên đối tượng]],'DANH MỤC ĐỐI TƯỢNG'!A:J,10,0),"")</f>
        <v/>
      </c>
    </row>
    <row r="1318" spans="1:9" x14ac:dyDescent="0.3">
      <c r="A1318" t="str">
        <f t="shared" si="45"/>
        <v/>
      </c>
      <c r="F1318" t="str">
        <f>IFERROR(VLOOKUP(Table1[[#This Row],[Tên đối tượng]],'DANH MỤC ĐỐI TƯỢNG'!A:E,5,0),"")</f>
        <v/>
      </c>
      <c r="G1318" t="str">
        <f>_xlfn.IFNA(VLOOKUP(Table1[[#This Row],[Tên đối tượng]],'DANH MỤC ĐỐI TƯỢNG'!A:F,6,0),"")</f>
        <v/>
      </c>
      <c r="H1318" t="str">
        <f>_xlfn.IFNA(VLOOKUP(Table1[[#This Row],[Tên đối tượng]],'DANH MỤC ĐỐI TƯỢNG'!A:I,9,0),"")</f>
        <v/>
      </c>
      <c r="I1318" t="str">
        <f>_xlfn.IFNA(VLOOKUP(Table1[[#This Row],[Tên đối tượng]],'DANH MỤC ĐỐI TƯỢNG'!A:J,10,0),"")</f>
        <v/>
      </c>
    </row>
    <row r="1319" spans="1:9" x14ac:dyDescent="0.3">
      <c r="A1319" t="str">
        <f t="shared" si="45"/>
        <v/>
      </c>
      <c r="F1319" t="str">
        <f>IFERROR(VLOOKUP(Table1[[#This Row],[Tên đối tượng]],'DANH MỤC ĐỐI TƯỢNG'!A:E,5,0),"")</f>
        <v/>
      </c>
      <c r="G1319" t="str">
        <f>_xlfn.IFNA(VLOOKUP(Table1[[#This Row],[Tên đối tượng]],'DANH MỤC ĐỐI TƯỢNG'!A:F,6,0),"")</f>
        <v/>
      </c>
      <c r="H1319" t="str">
        <f>_xlfn.IFNA(VLOOKUP(Table1[[#This Row],[Tên đối tượng]],'DANH MỤC ĐỐI TƯỢNG'!A:I,9,0),"")</f>
        <v/>
      </c>
      <c r="I1319" t="str">
        <f>_xlfn.IFNA(VLOOKUP(Table1[[#This Row],[Tên đối tượng]],'DANH MỤC ĐỐI TƯỢNG'!A:J,10,0),"")</f>
        <v/>
      </c>
    </row>
    <row r="1320" spans="1:9" x14ac:dyDescent="0.3">
      <c r="A1320" t="str">
        <f t="shared" si="45"/>
        <v/>
      </c>
      <c r="F1320" t="str">
        <f>IFERROR(VLOOKUP(Table1[[#This Row],[Tên đối tượng]],'DANH MỤC ĐỐI TƯỢNG'!A:E,5,0),"")</f>
        <v/>
      </c>
      <c r="G1320" t="str">
        <f>_xlfn.IFNA(VLOOKUP(Table1[[#This Row],[Tên đối tượng]],'DANH MỤC ĐỐI TƯỢNG'!A:F,6,0),"")</f>
        <v/>
      </c>
      <c r="H1320" t="str">
        <f>_xlfn.IFNA(VLOOKUP(Table1[[#This Row],[Tên đối tượng]],'DANH MỤC ĐỐI TƯỢNG'!A:I,9,0),"")</f>
        <v/>
      </c>
      <c r="I1320" t="str">
        <f>_xlfn.IFNA(VLOOKUP(Table1[[#This Row],[Tên đối tượng]],'DANH MỤC ĐỐI TƯỢNG'!A:J,10,0),"")</f>
        <v/>
      </c>
    </row>
    <row r="1321" spans="1:9" x14ac:dyDescent="0.3">
      <c r="A1321" t="str">
        <f t="shared" si="45"/>
        <v/>
      </c>
      <c r="F1321" t="str">
        <f>IFERROR(VLOOKUP(Table1[[#This Row],[Tên đối tượng]],'DANH MỤC ĐỐI TƯỢNG'!A:E,5,0),"")</f>
        <v/>
      </c>
      <c r="G1321" t="str">
        <f>_xlfn.IFNA(VLOOKUP(Table1[[#This Row],[Tên đối tượng]],'DANH MỤC ĐỐI TƯỢNG'!A:F,6,0),"")</f>
        <v/>
      </c>
      <c r="H1321" t="str">
        <f>_xlfn.IFNA(VLOOKUP(Table1[[#This Row],[Tên đối tượng]],'DANH MỤC ĐỐI TƯỢNG'!A:I,9,0),"")</f>
        <v/>
      </c>
      <c r="I1321" t="str">
        <f>_xlfn.IFNA(VLOOKUP(Table1[[#This Row],[Tên đối tượng]],'DANH MỤC ĐỐI TƯỢNG'!A:J,10,0),"")</f>
        <v/>
      </c>
    </row>
    <row r="1322" spans="1:9" x14ac:dyDescent="0.3">
      <c r="A1322" t="str">
        <f t="shared" si="45"/>
        <v/>
      </c>
      <c r="F1322" t="str">
        <f>IFERROR(VLOOKUP(Table1[[#This Row],[Tên đối tượng]],'DANH MỤC ĐỐI TƯỢNG'!A:E,5,0),"")</f>
        <v/>
      </c>
      <c r="G1322" t="str">
        <f>_xlfn.IFNA(VLOOKUP(Table1[[#This Row],[Tên đối tượng]],'DANH MỤC ĐỐI TƯỢNG'!A:F,6,0),"")</f>
        <v/>
      </c>
      <c r="H1322" t="str">
        <f>_xlfn.IFNA(VLOOKUP(Table1[[#This Row],[Tên đối tượng]],'DANH MỤC ĐỐI TƯỢNG'!A:I,9,0),"")</f>
        <v/>
      </c>
      <c r="I1322" t="str">
        <f>_xlfn.IFNA(VLOOKUP(Table1[[#This Row],[Tên đối tượng]],'DANH MỤC ĐỐI TƯỢNG'!A:J,10,0),"")</f>
        <v/>
      </c>
    </row>
    <row r="1323" spans="1:9" x14ac:dyDescent="0.3">
      <c r="A1323" t="str">
        <f t="shared" si="45"/>
        <v/>
      </c>
      <c r="F1323" t="str">
        <f>IFERROR(VLOOKUP(Table1[[#This Row],[Tên đối tượng]],'DANH MỤC ĐỐI TƯỢNG'!A:E,5,0),"")</f>
        <v/>
      </c>
      <c r="G1323" t="str">
        <f>_xlfn.IFNA(VLOOKUP(Table1[[#This Row],[Tên đối tượng]],'DANH MỤC ĐỐI TƯỢNG'!A:F,6,0),"")</f>
        <v/>
      </c>
      <c r="H1323" t="str">
        <f>_xlfn.IFNA(VLOOKUP(Table1[[#This Row],[Tên đối tượng]],'DANH MỤC ĐỐI TƯỢNG'!A:I,9,0),"")</f>
        <v/>
      </c>
      <c r="I1323" t="str">
        <f>_xlfn.IFNA(VLOOKUP(Table1[[#This Row],[Tên đối tượng]],'DANH MỤC ĐỐI TƯỢNG'!A:J,10,0),"")</f>
        <v/>
      </c>
    </row>
    <row r="1324" spans="1:9" x14ac:dyDescent="0.3">
      <c r="A1324" t="str">
        <f t="shared" si="45"/>
        <v/>
      </c>
      <c r="F1324" t="str">
        <f>IFERROR(VLOOKUP(Table1[[#This Row],[Tên đối tượng]],'DANH MỤC ĐỐI TƯỢNG'!A:E,5,0),"")</f>
        <v/>
      </c>
      <c r="G1324" t="str">
        <f>_xlfn.IFNA(VLOOKUP(Table1[[#This Row],[Tên đối tượng]],'DANH MỤC ĐỐI TƯỢNG'!A:F,6,0),"")</f>
        <v/>
      </c>
      <c r="H1324" t="str">
        <f>_xlfn.IFNA(VLOOKUP(Table1[[#This Row],[Tên đối tượng]],'DANH MỤC ĐỐI TƯỢNG'!A:I,9,0),"")</f>
        <v/>
      </c>
      <c r="I1324" t="str">
        <f>_xlfn.IFNA(VLOOKUP(Table1[[#This Row],[Tên đối tượng]],'DANH MỤC ĐỐI TƯỢNG'!A:J,10,0),"")</f>
        <v/>
      </c>
    </row>
    <row r="1325" spans="1:9" x14ac:dyDescent="0.3">
      <c r="A1325" t="str">
        <f t="shared" si="45"/>
        <v/>
      </c>
      <c r="F1325" t="str">
        <f>IFERROR(VLOOKUP(Table1[[#This Row],[Tên đối tượng]],'DANH MỤC ĐỐI TƯỢNG'!A:E,5,0),"")</f>
        <v/>
      </c>
      <c r="G1325" t="str">
        <f>_xlfn.IFNA(VLOOKUP(Table1[[#This Row],[Tên đối tượng]],'DANH MỤC ĐỐI TƯỢNG'!A:F,6,0),"")</f>
        <v/>
      </c>
      <c r="H1325" t="str">
        <f>_xlfn.IFNA(VLOOKUP(Table1[[#This Row],[Tên đối tượng]],'DANH MỤC ĐỐI TƯỢNG'!A:I,9,0),"")</f>
        <v/>
      </c>
      <c r="I1325" t="str">
        <f>_xlfn.IFNA(VLOOKUP(Table1[[#This Row],[Tên đối tượng]],'DANH MỤC ĐỐI TƯỢNG'!A:J,10,0),"")</f>
        <v/>
      </c>
    </row>
    <row r="1326" spans="1:9" x14ac:dyDescent="0.3">
      <c r="A1326" t="str">
        <f t="shared" si="45"/>
        <v/>
      </c>
      <c r="F1326" t="str">
        <f>IFERROR(VLOOKUP(Table1[[#This Row],[Tên đối tượng]],'DANH MỤC ĐỐI TƯỢNG'!A:E,5,0),"")</f>
        <v/>
      </c>
      <c r="G1326" t="str">
        <f>_xlfn.IFNA(VLOOKUP(Table1[[#This Row],[Tên đối tượng]],'DANH MỤC ĐỐI TƯỢNG'!A:F,6,0),"")</f>
        <v/>
      </c>
      <c r="H1326" t="str">
        <f>_xlfn.IFNA(VLOOKUP(Table1[[#This Row],[Tên đối tượng]],'DANH MỤC ĐỐI TƯỢNG'!A:I,9,0),"")</f>
        <v/>
      </c>
      <c r="I1326" t="str">
        <f>_xlfn.IFNA(VLOOKUP(Table1[[#This Row],[Tên đối tượng]],'DANH MỤC ĐỐI TƯỢNG'!A:J,10,0),"")</f>
        <v/>
      </c>
    </row>
    <row r="1327" spans="1:9" x14ac:dyDescent="0.3">
      <c r="A1327" t="str">
        <f t="shared" si="45"/>
        <v/>
      </c>
      <c r="F1327" t="str">
        <f>IFERROR(VLOOKUP(Table1[[#This Row],[Tên đối tượng]],'DANH MỤC ĐỐI TƯỢNG'!A:E,5,0),"")</f>
        <v/>
      </c>
      <c r="G1327" t="str">
        <f>_xlfn.IFNA(VLOOKUP(Table1[[#This Row],[Tên đối tượng]],'DANH MỤC ĐỐI TƯỢNG'!A:F,6,0),"")</f>
        <v/>
      </c>
      <c r="H1327" t="str">
        <f>_xlfn.IFNA(VLOOKUP(Table1[[#This Row],[Tên đối tượng]],'DANH MỤC ĐỐI TƯỢNG'!A:I,9,0),"")</f>
        <v/>
      </c>
      <c r="I1327" t="str">
        <f>_xlfn.IFNA(VLOOKUP(Table1[[#This Row],[Tên đối tượng]],'DANH MỤC ĐỐI TƯỢNG'!A:J,10,0),"")</f>
        <v/>
      </c>
    </row>
    <row r="1328" spans="1:9" x14ac:dyDescent="0.3">
      <c r="A1328" t="str">
        <f t="shared" si="45"/>
        <v/>
      </c>
      <c r="F1328" t="str">
        <f>IFERROR(VLOOKUP(Table1[[#This Row],[Tên đối tượng]],'DANH MỤC ĐỐI TƯỢNG'!A:E,5,0),"")</f>
        <v/>
      </c>
      <c r="G1328" t="str">
        <f>_xlfn.IFNA(VLOOKUP(Table1[[#This Row],[Tên đối tượng]],'DANH MỤC ĐỐI TƯỢNG'!A:F,6,0),"")</f>
        <v/>
      </c>
      <c r="H1328" t="str">
        <f>_xlfn.IFNA(VLOOKUP(Table1[[#This Row],[Tên đối tượng]],'DANH MỤC ĐỐI TƯỢNG'!A:I,9,0),"")</f>
        <v/>
      </c>
      <c r="I1328" t="str">
        <f>_xlfn.IFNA(VLOOKUP(Table1[[#This Row],[Tên đối tượng]],'DANH MỤC ĐỐI TƯỢNG'!A:J,10,0),"")</f>
        <v/>
      </c>
    </row>
    <row r="1329" spans="1:9" x14ac:dyDescent="0.3">
      <c r="A1329" t="str">
        <f t="shared" si="45"/>
        <v/>
      </c>
      <c r="F1329" t="str">
        <f>IFERROR(VLOOKUP(Table1[[#This Row],[Tên đối tượng]],'DANH MỤC ĐỐI TƯỢNG'!A:E,5,0),"")</f>
        <v/>
      </c>
      <c r="G1329" t="str">
        <f>_xlfn.IFNA(VLOOKUP(Table1[[#This Row],[Tên đối tượng]],'DANH MỤC ĐỐI TƯỢNG'!A:F,6,0),"")</f>
        <v/>
      </c>
      <c r="H1329" t="str">
        <f>_xlfn.IFNA(VLOOKUP(Table1[[#This Row],[Tên đối tượng]],'DANH MỤC ĐỐI TƯỢNG'!A:I,9,0),"")</f>
        <v/>
      </c>
      <c r="I1329" t="str">
        <f>_xlfn.IFNA(VLOOKUP(Table1[[#This Row],[Tên đối tượng]],'DANH MỤC ĐỐI TƯỢNG'!A:J,10,0),"")</f>
        <v/>
      </c>
    </row>
    <row r="1330" spans="1:9" x14ac:dyDescent="0.3">
      <c r="A1330" t="str">
        <f t="shared" si="45"/>
        <v/>
      </c>
      <c r="F1330" t="str">
        <f>IFERROR(VLOOKUP(Table1[[#This Row],[Tên đối tượng]],'DANH MỤC ĐỐI TƯỢNG'!A:E,5,0),"")</f>
        <v/>
      </c>
      <c r="G1330" t="str">
        <f>_xlfn.IFNA(VLOOKUP(Table1[[#This Row],[Tên đối tượng]],'DANH MỤC ĐỐI TƯỢNG'!A:F,6,0),"")</f>
        <v/>
      </c>
      <c r="H1330" t="str">
        <f>_xlfn.IFNA(VLOOKUP(Table1[[#This Row],[Tên đối tượng]],'DANH MỤC ĐỐI TƯỢNG'!A:I,9,0),"")</f>
        <v/>
      </c>
      <c r="I1330" t="str">
        <f>_xlfn.IFNA(VLOOKUP(Table1[[#This Row],[Tên đối tượng]],'DANH MỤC ĐỐI TƯỢNG'!A:J,10,0),"")</f>
        <v/>
      </c>
    </row>
    <row r="1331" spans="1:9" x14ac:dyDescent="0.3">
      <c r="A1331" t="str">
        <f t="shared" si="45"/>
        <v/>
      </c>
      <c r="F1331" t="str">
        <f>IFERROR(VLOOKUP(Table1[[#This Row],[Tên đối tượng]],'DANH MỤC ĐỐI TƯỢNG'!A:E,5,0),"")</f>
        <v/>
      </c>
      <c r="G1331" t="str">
        <f>_xlfn.IFNA(VLOOKUP(Table1[[#This Row],[Tên đối tượng]],'DANH MỤC ĐỐI TƯỢNG'!A:F,6,0),"")</f>
        <v/>
      </c>
      <c r="H1331" t="str">
        <f>_xlfn.IFNA(VLOOKUP(Table1[[#This Row],[Tên đối tượng]],'DANH MỤC ĐỐI TƯỢNG'!A:I,9,0),"")</f>
        <v/>
      </c>
      <c r="I1331" t="str">
        <f>_xlfn.IFNA(VLOOKUP(Table1[[#This Row],[Tên đối tượng]],'DANH MỤC ĐỐI TƯỢNG'!A:J,10,0),"")</f>
        <v/>
      </c>
    </row>
    <row r="1332" spans="1:9" x14ac:dyDescent="0.3">
      <c r="A1332" t="str">
        <f t="shared" si="45"/>
        <v/>
      </c>
      <c r="F1332" t="str">
        <f>IFERROR(VLOOKUP(Table1[[#This Row],[Tên đối tượng]],'DANH MỤC ĐỐI TƯỢNG'!A:E,5,0),"")</f>
        <v/>
      </c>
      <c r="G1332" t="str">
        <f>_xlfn.IFNA(VLOOKUP(Table1[[#This Row],[Tên đối tượng]],'DANH MỤC ĐỐI TƯỢNG'!A:F,6,0),"")</f>
        <v/>
      </c>
      <c r="H1332" t="str">
        <f>_xlfn.IFNA(VLOOKUP(Table1[[#This Row],[Tên đối tượng]],'DANH MỤC ĐỐI TƯỢNG'!A:I,9,0),"")</f>
        <v/>
      </c>
      <c r="I1332" t="str">
        <f>_xlfn.IFNA(VLOOKUP(Table1[[#This Row],[Tên đối tượng]],'DANH MỤC ĐỐI TƯỢNG'!A:J,10,0),"")</f>
        <v/>
      </c>
    </row>
    <row r="1333" spans="1:9" x14ac:dyDescent="0.3">
      <c r="A1333" t="str">
        <f t="shared" si="45"/>
        <v/>
      </c>
      <c r="F1333" t="str">
        <f>IFERROR(VLOOKUP(Table1[[#This Row],[Tên đối tượng]],'DANH MỤC ĐỐI TƯỢNG'!A:E,5,0),"")</f>
        <v/>
      </c>
      <c r="G1333" t="str">
        <f>_xlfn.IFNA(VLOOKUP(Table1[[#This Row],[Tên đối tượng]],'DANH MỤC ĐỐI TƯỢNG'!A:F,6,0),"")</f>
        <v/>
      </c>
      <c r="H1333" t="str">
        <f>_xlfn.IFNA(VLOOKUP(Table1[[#This Row],[Tên đối tượng]],'DANH MỤC ĐỐI TƯỢNG'!A:I,9,0),"")</f>
        <v/>
      </c>
      <c r="I1333" t="str">
        <f>_xlfn.IFNA(VLOOKUP(Table1[[#This Row],[Tên đối tượng]],'DANH MỤC ĐỐI TƯỢNG'!A:J,10,0),"")</f>
        <v/>
      </c>
    </row>
    <row r="1334" spans="1:9" x14ac:dyDescent="0.3">
      <c r="A1334" t="str">
        <f t="shared" si="45"/>
        <v/>
      </c>
      <c r="F1334" t="str">
        <f>IFERROR(VLOOKUP(Table1[[#This Row],[Tên đối tượng]],'DANH MỤC ĐỐI TƯỢNG'!A:E,5,0),"")</f>
        <v/>
      </c>
      <c r="G1334" t="str">
        <f>_xlfn.IFNA(VLOOKUP(Table1[[#This Row],[Tên đối tượng]],'DANH MỤC ĐỐI TƯỢNG'!A:F,6,0),"")</f>
        <v/>
      </c>
      <c r="H1334" t="str">
        <f>_xlfn.IFNA(VLOOKUP(Table1[[#This Row],[Tên đối tượng]],'DANH MỤC ĐỐI TƯỢNG'!A:I,9,0),"")</f>
        <v/>
      </c>
      <c r="I1334" t="str">
        <f>_xlfn.IFNA(VLOOKUP(Table1[[#This Row],[Tên đối tượng]],'DANH MỤC ĐỐI TƯỢNG'!A:J,10,0),"")</f>
        <v/>
      </c>
    </row>
    <row r="1335" spans="1:9" x14ac:dyDescent="0.3">
      <c r="A1335" t="str">
        <f t="shared" si="45"/>
        <v/>
      </c>
      <c r="F1335" t="str">
        <f>IFERROR(VLOOKUP(Table1[[#This Row],[Tên đối tượng]],'DANH MỤC ĐỐI TƯỢNG'!A:E,5,0),"")</f>
        <v/>
      </c>
      <c r="G1335" t="str">
        <f>_xlfn.IFNA(VLOOKUP(Table1[[#This Row],[Tên đối tượng]],'DANH MỤC ĐỐI TƯỢNG'!A:F,6,0),"")</f>
        <v/>
      </c>
      <c r="H1335" t="str">
        <f>_xlfn.IFNA(VLOOKUP(Table1[[#This Row],[Tên đối tượng]],'DANH MỤC ĐỐI TƯỢNG'!A:I,9,0),"")</f>
        <v/>
      </c>
      <c r="I1335" t="str">
        <f>_xlfn.IFNA(VLOOKUP(Table1[[#This Row],[Tên đối tượng]],'DANH MỤC ĐỐI TƯỢNG'!A:J,10,0),"")</f>
        <v/>
      </c>
    </row>
    <row r="1336" spans="1:9" x14ac:dyDescent="0.3">
      <c r="A1336" t="str">
        <f t="shared" si="45"/>
        <v/>
      </c>
      <c r="F1336" t="str">
        <f>IFERROR(VLOOKUP(Table1[[#This Row],[Tên đối tượng]],'DANH MỤC ĐỐI TƯỢNG'!A:E,5,0),"")</f>
        <v/>
      </c>
      <c r="G1336" t="str">
        <f>_xlfn.IFNA(VLOOKUP(Table1[[#This Row],[Tên đối tượng]],'DANH MỤC ĐỐI TƯỢNG'!A:F,6,0),"")</f>
        <v/>
      </c>
      <c r="H1336" t="str">
        <f>_xlfn.IFNA(VLOOKUP(Table1[[#This Row],[Tên đối tượng]],'DANH MỤC ĐỐI TƯỢNG'!A:I,9,0),"")</f>
        <v/>
      </c>
      <c r="I1336" t="str">
        <f>_xlfn.IFNA(VLOOKUP(Table1[[#This Row],[Tên đối tượng]],'DANH MỤC ĐỐI TƯỢNG'!A:J,10,0),"")</f>
        <v/>
      </c>
    </row>
    <row r="1337" spans="1:9" x14ac:dyDescent="0.3">
      <c r="A1337" t="str">
        <f t="shared" si="45"/>
        <v/>
      </c>
      <c r="F1337" t="str">
        <f>IFERROR(VLOOKUP(Table1[[#This Row],[Tên đối tượng]],'DANH MỤC ĐỐI TƯỢNG'!A:E,5,0),"")</f>
        <v/>
      </c>
      <c r="G1337" t="str">
        <f>_xlfn.IFNA(VLOOKUP(Table1[[#This Row],[Tên đối tượng]],'DANH MỤC ĐỐI TƯỢNG'!A:F,6,0),"")</f>
        <v/>
      </c>
      <c r="H1337" t="str">
        <f>_xlfn.IFNA(VLOOKUP(Table1[[#This Row],[Tên đối tượng]],'DANH MỤC ĐỐI TƯỢNG'!A:I,9,0),"")</f>
        <v/>
      </c>
      <c r="I1337" t="str">
        <f>_xlfn.IFNA(VLOOKUP(Table1[[#This Row],[Tên đối tượng]],'DANH MỤC ĐỐI TƯỢNG'!A:J,10,0),"")</f>
        <v/>
      </c>
    </row>
    <row r="1338" spans="1:9" x14ac:dyDescent="0.3">
      <c r="A1338" t="str">
        <f t="shared" si="45"/>
        <v/>
      </c>
      <c r="F1338" t="str">
        <f>IFERROR(VLOOKUP(Table1[[#This Row],[Tên đối tượng]],'DANH MỤC ĐỐI TƯỢNG'!A:E,5,0),"")</f>
        <v/>
      </c>
      <c r="G1338" t="str">
        <f>_xlfn.IFNA(VLOOKUP(Table1[[#This Row],[Tên đối tượng]],'DANH MỤC ĐỐI TƯỢNG'!A:F,6,0),"")</f>
        <v/>
      </c>
      <c r="H1338" t="str">
        <f>_xlfn.IFNA(VLOOKUP(Table1[[#This Row],[Tên đối tượng]],'DANH MỤC ĐỐI TƯỢNG'!A:I,9,0),"")</f>
        <v/>
      </c>
      <c r="I1338" t="str">
        <f>_xlfn.IFNA(VLOOKUP(Table1[[#This Row],[Tên đối tượng]],'DANH MỤC ĐỐI TƯỢNG'!A:J,10,0),"")</f>
        <v/>
      </c>
    </row>
    <row r="1339" spans="1:9" x14ac:dyDescent="0.3">
      <c r="A1339" t="str">
        <f t="shared" si="45"/>
        <v/>
      </c>
      <c r="F1339" t="str">
        <f>IFERROR(VLOOKUP(Table1[[#This Row],[Tên đối tượng]],'DANH MỤC ĐỐI TƯỢNG'!A:E,5,0),"")</f>
        <v/>
      </c>
      <c r="G1339" t="str">
        <f>_xlfn.IFNA(VLOOKUP(Table1[[#This Row],[Tên đối tượng]],'DANH MỤC ĐỐI TƯỢNG'!A:F,6,0),"")</f>
        <v/>
      </c>
      <c r="H1339" t="str">
        <f>_xlfn.IFNA(VLOOKUP(Table1[[#This Row],[Tên đối tượng]],'DANH MỤC ĐỐI TƯỢNG'!A:I,9,0),"")</f>
        <v/>
      </c>
      <c r="I1339" t="str">
        <f>_xlfn.IFNA(VLOOKUP(Table1[[#This Row],[Tên đối tượng]],'DANH MỤC ĐỐI TƯỢNG'!A:J,10,0),"")</f>
        <v/>
      </c>
    </row>
    <row r="1340" spans="1:9" x14ac:dyDescent="0.3">
      <c r="A1340" t="str">
        <f t="shared" si="45"/>
        <v/>
      </c>
      <c r="F1340" t="str">
        <f>IFERROR(VLOOKUP(Table1[[#This Row],[Tên đối tượng]],'DANH MỤC ĐỐI TƯỢNG'!A:E,5,0),"")</f>
        <v/>
      </c>
      <c r="G1340" t="str">
        <f>_xlfn.IFNA(VLOOKUP(Table1[[#This Row],[Tên đối tượng]],'DANH MỤC ĐỐI TƯỢNG'!A:F,6,0),"")</f>
        <v/>
      </c>
      <c r="H1340" t="str">
        <f>_xlfn.IFNA(VLOOKUP(Table1[[#This Row],[Tên đối tượng]],'DANH MỤC ĐỐI TƯỢNG'!A:I,9,0),"")</f>
        <v/>
      </c>
      <c r="I1340" t="str">
        <f>_xlfn.IFNA(VLOOKUP(Table1[[#This Row],[Tên đối tượng]],'DANH MỤC ĐỐI TƯỢNG'!A:J,10,0),"")</f>
        <v/>
      </c>
    </row>
    <row r="1341" spans="1:9" x14ac:dyDescent="0.3">
      <c r="A1341" t="str">
        <f t="shared" si="45"/>
        <v/>
      </c>
      <c r="F1341" t="str">
        <f>IFERROR(VLOOKUP(Table1[[#This Row],[Tên đối tượng]],'DANH MỤC ĐỐI TƯỢNG'!A:E,5,0),"")</f>
        <v/>
      </c>
      <c r="G1341" t="str">
        <f>_xlfn.IFNA(VLOOKUP(Table1[[#This Row],[Tên đối tượng]],'DANH MỤC ĐỐI TƯỢNG'!A:F,6,0),"")</f>
        <v/>
      </c>
      <c r="H1341" t="str">
        <f>_xlfn.IFNA(VLOOKUP(Table1[[#This Row],[Tên đối tượng]],'DANH MỤC ĐỐI TƯỢNG'!A:I,9,0),"")</f>
        <v/>
      </c>
      <c r="I1341" t="str">
        <f>_xlfn.IFNA(VLOOKUP(Table1[[#This Row],[Tên đối tượng]],'DANH MỤC ĐỐI TƯỢNG'!A:J,10,0),"")</f>
        <v/>
      </c>
    </row>
    <row r="1342" spans="1:9" x14ac:dyDescent="0.3">
      <c r="A1342" t="str">
        <f t="shared" si="45"/>
        <v/>
      </c>
      <c r="F1342" t="str">
        <f>IFERROR(VLOOKUP(Table1[[#This Row],[Tên đối tượng]],'DANH MỤC ĐỐI TƯỢNG'!A:E,5,0),"")</f>
        <v/>
      </c>
      <c r="G1342" t="str">
        <f>_xlfn.IFNA(VLOOKUP(Table1[[#This Row],[Tên đối tượng]],'DANH MỤC ĐỐI TƯỢNG'!A:F,6,0),"")</f>
        <v/>
      </c>
      <c r="H1342" t="str">
        <f>_xlfn.IFNA(VLOOKUP(Table1[[#This Row],[Tên đối tượng]],'DANH MỤC ĐỐI TƯỢNG'!A:I,9,0),"")</f>
        <v/>
      </c>
      <c r="I1342" t="str">
        <f>_xlfn.IFNA(VLOOKUP(Table1[[#This Row],[Tên đối tượng]],'DANH MỤC ĐỐI TƯỢNG'!A:J,10,0),"")</f>
        <v/>
      </c>
    </row>
    <row r="1343" spans="1:9" x14ac:dyDescent="0.3">
      <c r="A1343" t="str">
        <f t="shared" si="45"/>
        <v/>
      </c>
      <c r="F1343" t="str">
        <f>IFERROR(VLOOKUP(Table1[[#This Row],[Tên đối tượng]],'DANH MỤC ĐỐI TƯỢNG'!A:E,5,0),"")</f>
        <v/>
      </c>
      <c r="G1343" t="str">
        <f>_xlfn.IFNA(VLOOKUP(Table1[[#This Row],[Tên đối tượng]],'DANH MỤC ĐỐI TƯỢNG'!A:F,6,0),"")</f>
        <v/>
      </c>
      <c r="H1343" t="str">
        <f>_xlfn.IFNA(VLOOKUP(Table1[[#This Row],[Tên đối tượng]],'DANH MỤC ĐỐI TƯỢNG'!A:I,9,0),"")</f>
        <v/>
      </c>
      <c r="I1343" t="str">
        <f>_xlfn.IFNA(VLOOKUP(Table1[[#This Row],[Tên đối tượng]],'DANH MỤC ĐỐI TƯỢNG'!A:J,10,0),"")</f>
        <v/>
      </c>
    </row>
    <row r="1344" spans="1:9" x14ac:dyDescent="0.3">
      <c r="A1344" t="str">
        <f t="shared" ref="A1344:A1407" si="48">IF(B1344&lt;&gt;0,ROW()-3,"")</f>
        <v/>
      </c>
      <c r="F1344" t="str">
        <f>IFERROR(VLOOKUP(Table1[[#This Row],[Tên đối tượng]],'DANH MỤC ĐỐI TƯỢNG'!A:E,5,0),"")</f>
        <v/>
      </c>
      <c r="G1344" t="str">
        <f>_xlfn.IFNA(VLOOKUP(Table1[[#This Row],[Tên đối tượng]],'DANH MỤC ĐỐI TƯỢNG'!A:F,6,0),"")</f>
        <v/>
      </c>
      <c r="H1344" t="str">
        <f>_xlfn.IFNA(VLOOKUP(Table1[[#This Row],[Tên đối tượng]],'DANH MỤC ĐỐI TƯỢNG'!A:I,9,0),"")</f>
        <v/>
      </c>
      <c r="I1344" t="str">
        <f>_xlfn.IFNA(VLOOKUP(Table1[[#This Row],[Tên đối tượng]],'DANH MỤC ĐỐI TƯỢNG'!A:J,10,0),"")</f>
        <v/>
      </c>
    </row>
    <row r="1345" spans="1:9" x14ac:dyDescent="0.3">
      <c r="A1345" t="str">
        <f t="shared" si="48"/>
        <v/>
      </c>
      <c r="F1345" t="str">
        <f>IFERROR(VLOOKUP(Table1[[#This Row],[Tên đối tượng]],'DANH MỤC ĐỐI TƯỢNG'!A:E,5,0),"")</f>
        <v/>
      </c>
      <c r="G1345" t="str">
        <f>_xlfn.IFNA(VLOOKUP(Table1[[#This Row],[Tên đối tượng]],'DANH MỤC ĐỐI TƯỢNG'!A:F,6,0),"")</f>
        <v/>
      </c>
      <c r="H1345" t="str">
        <f>_xlfn.IFNA(VLOOKUP(Table1[[#This Row],[Tên đối tượng]],'DANH MỤC ĐỐI TƯỢNG'!A:I,9,0),"")</f>
        <v/>
      </c>
      <c r="I1345" t="str">
        <f>_xlfn.IFNA(VLOOKUP(Table1[[#This Row],[Tên đối tượng]],'DANH MỤC ĐỐI TƯỢNG'!A:J,10,0),"")</f>
        <v/>
      </c>
    </row>
    <row r="1346" spans="1:9" x14ac:dyDescent="0.3">
      <c r="A1346" t="str">
        <f t="shared" si="48"/>
        <v/>
      </c>
      <c r="F1346" t="str">
        <f>IFERROR(VLOOKUP(Table1[[#This Row],[Tên đối tượng]],'DANH MỤC ĐỐI TƯỢNG'!A:E,5,0),"")</f>
        <v/>
      </c>
      <c r="G1346" t="str">
        <f>_xlfn.IFNA(VLOOKUP(Table1[[#This Row],[Tên đối tượng]],'DANH MỤC ĐỐI TƯỢNG'!A:F,6,0),"")</f>
        <v/>
      </c>
      <c r="H1346" t="str">
        <f>_xlfn.IFNA(VLOOKUP(Table1[[#This Row],[Tên đối tượng]],'DANH MỤC ĐỐI TƯỢNG'!A:I,9,0),"")</f>
        <v/>
      </c>
      <c r="I1346" t="str">
        <f>_xlfn.IFNA(VLOOKUP(Table1[[#This Row],[Tên đối tượng]],'DANH MỤC ĐỐI TƯỢNG'!A:J,10,0),"")</f>
        <v/>
      </c>
    </row>
    <row r="1347" spans="1:9" x14ac:dyDescent="0.3">
      <c r="A1347" t="str">
        <f t="shared" si="48"/>
        <v/>
      </c>
      <c r="F1347" t="str">
        <f>IFERROR(VLOOKUP(Table1[[#This Row],[Tên đối tượng]],'DANH MỤC ĐỐI TƯỢNG'!A:E,5,0),"")</f>
        <v/>
      </c>
      <c r="G1347" t="str">
        <f>_xlfn.IFNA(VLOOKUP(Table1[[#This Row],[Tên đối tượng]],'DANH MỤC ĐỐI TƯỢNG'!A:F,6,0),"")</f>
        <v/>
      </c>
      <c r="H1347" t="str">
        <f>_xlfn.IFNA(VLOOKUP(Table1[[#This Row],[Tên đối tượng]],'DANH MỤC ĐỐI TƯỢNG'!A:I,9,0),"")</f>
        <v/>
      </c>
      <c r="I1347" t="str">
        <f>_xlfn.IFNA(VLOOKUP(Table1[[#This Row],[Tên đối tượng]],'DANH MỤC ĐỐI TƯỢNG'!A:J,10,0),"")</f>
        <v/>
      </c>
    </row>
    <row r="1348" spans="1:9" x14ac:dyDescent="0.3">
      <c r="A1348" t="str">
        <f t="shared" si="48"/>
        <v/>
      </c>
      <c r="F1348" t="str">
        <f>IFERROR(VLOOKUP(Table1[[#This Row],[Tên đối tượng]],'DANH MỤC ĐỐI TƯỢNG'!A:E,5,0),"")</f>
        <v/>
      </c>
      <c r="G1348" t="str">
        <f>_xlfn.IFNA(VLOOKUP(Table1[[#This Row],[Tên đối tượng]],'DANH MỤC ĐỐI TƯỢNG'!A:F,6,0),"")</f>
        <v/>
      </c>
      <c r="H1348" t="str">
        <f>_xlfn.IFNA(VLOOKUP(Table1[[#This Row],[Tên đối tượng]],'DANH MỤC ĐỐI TƯỢNG'!A:I,9,0),"")</f>
        <v/>
      </c>
      <c r="I1348" t="str">
        <f>_xlfn.IFNA(VLOOKUP(Table1[[#This Row],[Tên đối tượng]],'DANH MỤC ĐỐI TƯỢNG'!A:J,10,0),"")</f>
        <v/>
      </c>
    </row>
    <row r="1349" spans="1:9" x14ac:dyDescent="0.3">
      <c r="A1349" t="str">
        <f t="shared" si="48"/>
        <v/>
      </c>
      <c r="F1349" t="str">
        <f>IFERROR(VLOOKUP(Table1[[#This Row],[Tên đối tượng]],'DANH MỤC ĐỐI TƯỢNG'!A:E,5,0),"")</f>
        <v/>
      </c>
      <c r="G1349" t="str">
        <f>_xlfn.IFNA(VLOOKUP(Table1[[#This Row],[Tên đối tượng]],'DANH MỤC ĐỐI TƯỢNG'!A:F,6,0),"")</f>
        <v/>
      </c>
      <c r="H1349" t="str">
        <f>_xlfn.IFNA(VLOOKUP(Table1[[#This Row],[Tên đối tượng]],'DANH MỤC ĐỐI TƯỢNG'!A:I,9,0),"")</f>
        <v/>
      </c>
      <c r="I1349" t="str">
        <f>_xlfn.IFNA(VLOOKUP(Table1[[#This Row],[Tên đối tượng]],'DANH MỤC ĐỐI TƯỢNG'!A:J,10,0),"")</f>
        <v/>
      </c>
    </row>
    <row r="1350" spans="1:9" x14ac:dyDescent="0.3">
      <c r="A1350" t="str">
        <f t="shared" si="48"/>
        <v/>
      </c>
      <c r="F1350" t="str">
        <f>IFERROR(VLOOKUP(Table1[[#This Row],[Tên đối tượng]],'DANH MỤC ĐỐI TƯỢNG'!A:E,5,0),"")</f>
        <v/>
      </c>
      <c r="G1350" t="str">
        <f>_xlfn.IFNA(VLOOKUP(Table1[[#This Row],[Tên đối tượng]],'DANH MỤC ĐỐI TƯỢNG'!A:F,6,0),"")</f>
        <v/>
      </c>
      <c r="H1350" t="str">
        <f>_xlfn.IFNA(VLOOKUP(Table1[[#This Row],[Tên đối tượng]],'DANH MỤC ĐỐI TƯỢNG'!A:I,9,0),"")</f>
        <v/>
      </c>
      <c r="I1350" t="str">
        <f>_xlfn.IFNA(VLOOKUP(Table1[[#This Row],[Tên đối tượng]],'DANH MỤC ĐỐI TƯỢNG'!A:J,10,0),"")</f>
        <v/>
      </c>
    </row>
    <row r="1351" spans="1:9" x14ac:dyDescent="0.3">
      <c r="A1351" t="str">
        <f t="shared" si="48"/>
        <v/>
      </c>
      <c r="F1351" t="str">
        <f>IFERROR(VLOOKUP(Table1[[#This Row],[Tên đối tượng]],'DANH MỤC ĐỐI TƯỢNG'!A:E,5,0),"")</f>
        <v/>
      </c>
      <c r="G1351" t="str">
        <f>_xlfn.IFNA(VLOOKUP(Table1[[#This Row],[Tên đối tượng]],'DANH MỤC ĐỐI TƯỢNG'!A:F,6,0),"")</f>
        <v/>
      </c>
      <c r="H1351" t="str">
        <f>_xlfn.IFNA(VLOOKUP(Table1[[#This Row],[Tên đối tượng]],'DANH MỤC ĐỐI TƯỢNG'!A:I,9,0),"")</f>
        <v/>
      </c>
      <c r="I1351" t="str">
        <f>_xlfn.IFNA(VLOOKUP(Table1[[#This Row],[Tên đối tượng]],'DANH MỤC ĐỐI TƯỢNG'!A:J,10,0),"")</f>
        <v/>
      </c>
    </row>
    <row r="1352" spans="1:9" x14ac:dyDescent="0.3">
      <c r="A1352" t="str">
        <f t="shared" si="48"/>
        <v/>
      </c>
      <c r="F1352" t="str">
        <f>IFERROR(VLOOKUP(Table1[[#This Row],[Tên đối tượng]],'DANH MỤC ĐỐI TƯỢNG'!A:E,5,0),"")</f>
        <v/>
      </c>
      <c r="G1352" t="str">
        <f>_xlfn.IFNA(VLOOKUP(Table1[[#This Row],[Tên đối tượng]],'DANH MỤC ĐỐI TƯỢNG'!A:F,6,0),"")</f>
        <v/>
      </c>
      <c r="H1352" t="str">
        <f>_xlfn.IFNA(VLOOKUP(Table1[[#This Row],[Tên đối tượng]],'DANH MỤC ĐỐI TƯỢNG'!A:I,9,0),"")</f>
        <v/>
      </c>
      <c r="I1352" t="str">
        <f>_xlfn.IFNA(VLOOKUP(Table1[[#This Row],[Tên đối tượng]],'DANH MỤC ĐỐI TƯỢNG'!A:J,10,0),"")</f>
        <v/>
      </c>
    </row>
    <row r="1353" spans="1:9" x14ac:dyDescent="0.3">
      <c r="A1353" t="str">
        <f t="shared" si="48"/>
        <v/>
      </c>
      <c r="F1353" t="str">
        <f>IFERROR(VLOOKUP(Table1[[#This Row],[Tên đối tượng]],'DANH MỤC ĐỐI TƯỢNG'!A:E,5,0),"")</f>
        <v/>
      </c>
      <c r="G1353" t="str">
        <f>_xlfn.IFNA(VLOOKUP(Table1[[#This Row],[Tên đối tượng]],'DANH MỤC ĐỐI TƯỢNG'!A:F,6,0),"")</f>
        <v/>
      </c>
      <c r="H1353" t="str">
        <f>_xlfn.IFNA(VLOOKUP(Table1[[#This Row],[Tên đối tượng]],'DANH MỤC ĐỐI TƯỢNG'!A:I,9,0),"")</f>
        <v/>
      </c>
      <c r="I1353" t="str">
        <f>_xlfn.IFNA(VLOOKUP(Table1[[#This Row],[Tên đối tượng]],'DANH MỤC ĐỐI TƯỢNG'!A:J,10,0),"")</f>
        <v/>
      </c>
    </row>
    <row r="1354" spans="1:9" x14ac:dyDescent="0.3">
      <c r="A1354" t="str">
        <f t="shared" si="48"/>
        <v/>
      </c>
      <c r="F1354" t="str">
        <f>IFERROR(VLOOKUP(Table1[[#This Row],[Tên đối tượng]],'DANH MỤC ĐỐI TƯỢNG'!A:E,5,0),"")</f>
        <v/>
      </c>
      <c r="G1354" t="str">
        <f>_xlfn.IFNA(VLOOKUP(Table1[[#This Row],[Tên đối tượng]],'DANH MỤC ĐỐI TƯỢNG'!A:F,6,0),"")</f>
        <v/>
      </c>
      <c r="H1354" t="str">
        <f>_xlfn.IFNA(VLOOKUP(Table1[[#This Row],[Tên đối tượng]],'DANH MỤC ĐỐI TƯỢNG'!A:I,9,0),"")</f>
        <v/>
      </c>
      <c r="I1354" t="str">
        <f>_xlfn.IFNA(VLOOKUP(Table1[[#This Row],[Tên đối tượng]],'DANH MỤC ĐỐI TƯỢNG'!A:J,10,0),"")</f>
        <v/>
      </c>
    </row>
    <row r="1355" spans="1:9" x14ac:dyDescent="0.3">
      <c r="A1355" t="str">
        <f t="shared" si="48"/>
        <v/>
      </c>
      <c r="F1355" t="str">
        <f>IFERROR(VLOOKUP(Table1[[#This Row],[Tên đối tượng]],'DANH MỤC ĐỐI TƯỢNG'!A:E,5,0),"")</f>
        <v/>
      </c>
      <c r="G1355" t="str">
        <f>_xlfn.IFNA(VLOOKUP(Table1[[#This Row],[Tên đối tượng]],'DANH MỤC ĐỐI TƯỢNG'!A:F,6,0),"")</f>
        <v/>
      </c>
      <c r="H1355" t="str">
        <f>_xlfn.IFNA(VLOOKUP(Table1[[#This Row],[Tên đối tượng]],'DANH MỤC ĐỐI TƯỢNG'!A:I,9,0),"")</f>
        <v/>
      </c>
      <c r="I1355" t="str">
        <f>_xlfn.IFNA(VLOOKUP(Table1[[#This Row],[Tên đối tượng]],'DANH MỤC ĐỐI TƯỢNG'!A:J,10,0),"")</f>
        <v/>
      </c>
    </row>
    <row r="1356" spans="1:9" x14ac:dyDescent="0.3">
      <c r="A1356" t="str">
        <f t="shared" si="48"/>
        <v/>
      </c>
      <c r="F1356" t="str">
        <f>IFERROR(VLOOKUP(Table1[[#This Row],[Tên đối tượng]],'DANH MỤC ĐỐI TƯỢNG'!A:E,5,0),"")</f>
        <v/>
      </c>
      <c r="G1356" t="str">
        <f>_xlfn.IFNA(VLOOKUP(Table1[[#This Row],[Tên đối tượng]],'DANH MỤC ĐỐI TƯỢNG'!A:F,6,0),"")</f>
        <v/>
      </c>
      <c r="H1356" t="str">
        <f>_xlfn.IFNA(VLOOKUP(Table1[[#This Row],[Tên đối tượng]],'DANH MỤC ĐỐI TƯỢNG'!A:I,9,0),"")</f>
        <v/>
      </c>
      <c r="I1356" t="str">
        <f>_xlfn.IFNA(VLOOKUP(Table1[[#This Row],[Tên đối tượng]],'DANH MỤC ĐỐI TƯỢNG'!A:J,10,0),"")</f>
        <v/>
      </c>
    </row>
    <row r="1357" spans="1:9" x14ac:dyDescent="0.3">
      <c r="A1357" t="str">
        <f t="shared" si="48"/>
        <v/>
      </c>
      <c r="F1357" t="str">
        <f>IFERROR(VLOOKUP(Table1[[#This Row],[Tên đối tượng]],'DANH MỤC ĐỐI TƯỢNG'!A:E,5,0),"")</f>
        <v/>
      </c>
      <c r="G1357" t="str">
        <f>_xlfn.IFNA(VLOOKUP(Table1[[#This Row],[Tên đối tượng]],'DANH MỤC ĐỐI TƯỢNG'!A:F,6,0),"")</f>
        <v/>
      </c>
      <c r="H1357" t="str">
        <f>_xlfn.IFNA(VLOOKUP(Table1[[#This Row],[Tên đối tượng]],'DANH MỤC ĐỐI TƯỢNG'!A:I,9,0),"")</f>
        <v/>
      </c>
      <c r="I1357" t="str">
        <f>_xlfn.IFNA(VLOOKUP(Table1[[#This Row],[Tên đối tượng]],'DANH MỤC ĐỐI TƯỢNG'!A:J,10,0),"")</f>
        <v/>
      </c>
    </row>
    <row r="1358" spans="1:9" x14ac:dyDescent="0.3">
      <c r="A1358" t="str">
        <f t="shared" si="48"/>
        <v/>
      </c>
      <c r="F1358" t="str">
        <f>IFERROR(VLOOKUP(Table1[[#This Row],[Tên đối tượng]],'DANH MỤC ĐỐI TƯỢNG'!A:E,5,0),"")</f>
        <v/>
      </c>
      <c r="G1358" t="str">
        <f>_xlfn.IFNA(VLOOKUP(Table1[[#This Row],[Tên đối tượng]],'DANH MỤC ĐỐI TƯỢNG'!A:F,6,0),"")</f>
        <v/>
      </c>
      <c r="H1358" t="str">
        <f>_xlfn.IFNA(VLOOKUP(Table1[[#This Row],[Tên đối tượng]],'DANH MỤC ĐỐI TƯỢNG'!A:I,9,0),"")</f>
        <v/>
      </c>
      <c r="I1358" t="str">
        <f>_xlfn.IFNA(VLOOKUP(Table1[[#This Row],[Tên đối tượng]],'DANH MỤC ĐỐI TƯỢNG'!A:J,10,0),"")</f>
        <v/>
      </c>
    </row>
    <row r="1359" spans="1:9" x14ac:dyDescent="0.3">
      <c r="A1359" t="str">
        <f t="shared" si="48"/>
        <v/>
      </c>
      <c r="F1359" t="str">
        <f>IFERROR(VLOOKUP(Table1[[#This Row],[Tên đối tượng]],'DANH MỤC ĐỐI TƯỢNG'!A:E,5,0),"")</f>
        <v/>
      </c>
      <c r="G1359" t="str">
        <f>_xlfn.IFNA(VLOOKUP(Table1[[#This Row],[Tên đối tượng]],'DANH MỤC ĐỐI TƯỢNG'!A:F,6,0),"")</f>
        <v/>
      </c>
      <c r="H1359" t="str">
        <f>_xlfn.IFNA(VLOOKUP(Table1[[#This Row],[Tên đối tượng]],'DANH MỤC ĐỐI TƯỢNG'!A:I,9,0),"")</f>
        <v/>
      </c>
      <c r="I1359" t="str">
        <f>_xlfn.IFNA(VLOOKUP(Table1[[#This Row],[Tên đối tượng]],'DANH MỤC ĐỐI TƯỢNG'!A:J,10,0),"")</f>
        <v/>
      </c>
    </row>
    <row r="1360" spans="1:9" x14ac:dyDescent="0.3">
      <c r="A1360" t="str">
        <f t="shared" si="48"/>
        <v/>
      </c>
      <c r="F1360" t="str">
        <f>IFERROR(VLOOKUP(Table1[[#This Row],[Tên đối tượng]],'DANH MỤC ĐỐI TƯỢNG'!A:E,5,0),"")</f>
        <v/>
      </c>
      <c r="G1360" t="str">
        <f>_xlfn.IFNA(VLOOKUP(Table1[[#This Row],[Tên đối tượng]],'DANH MỤC ĐỐI TƯỢNG'!A:F,6,0),"")</f>
        <v/>
      </c>
      <c r="H1360" t="str">
        <f>_xlfn.IFNA(VLOOKUP(Table1[[#This Row],[Tên đối tượng]],'DANH MỤC ĐỐI TƯỢNG'!A:I,9,0),"")</f>
        <v/>
      </c>
      <c r="I1360" t="str">
        <f>_xlfn.IFNA(VLOOKUP(Table1[[#This Row],[Tên đối tượng]],'DANH MỤC ĐỐI TƯỢNG'!A:J,10,0),"")</f>
        <v/>
      </c>
    </row>
    <row r="1361" spans="1:9" x14ac:dyDescent="0.3">
      <c r="A1361" t="str">
        <f t="shared" si="48"/>
        <v/>
      </c>
      <c r="F1361" t="str">
        <f>IFERROR(VLOOKUP(Table1[[#This Row],[Tên đối tượng]],'DANH MỤC ĐỐI TƯỢNG'!A:E,5,0),"")</f>
        <v/>
      </c>
      <c r="G1361" t="str">
        <f>_xlfn.IFNA(VLOOKUP(Table1[[#This Row],[Tên đối tượng]],'DANH MỤC ĐỐI TƯỢNG'!A:F,6,0),"")</f>
        <v/>
      </c>
      <c r="H1361" t="str">
        <f>_xlfn.IFNA(VLOOKUP(Table1[[#This Row],[Tên đối tượng]],'DANH MỤC ĐỐI TƯỢNG'!A:I,9,0),"")</f>
        <v/>
      </c>
      <c r="I1361" t="str">
        <f>_xlfn.IFNA(VLOOKUP(Table1[[#This Row],[Tên đối tượng]],'DANH MỤC ĐỐI TƯỢNG'!A:J,10,0),"")</f>
        <v/>
      </c>
    </row>
    <row r="1362" spans="1:9" x14ac:dyDescent="0.3">
      <c r="A1362" t="str">
        <f t="shared" si="48"/>
        <v/>
      </c>
      <c r="F1362" t="str">
        <f>IFERROR(VLOOKUP(Table1[[#This Row],[Tên đối tượng]],'DANH MỤC ĐỐI TƯỢNG'!A:E,5,0),"")</f>
        <v/>
      </c>
      <c r="G1362" t="str">
        <f>_xlfn.IFNA(VLOOKUP(Table1[[#This Row],[Tên đối tượng]],'DANH MỤC ĐỐI TƯỢNG'!A:F,6,0),"")</f>
        <v/>
      </c>
      <c r="H1362" t="str">
        <f>_xlfn.IFNA(VLOOKUP(Table1[[#This Row],[Tên đối tượng]],'DANH MỤC ĐỐI TƯỢNG'!A:I,9,0),"")</f>
        <v/>
      </c>
      <c r="I1362" t="str">
        <f>_xlfn.IFNA(VLOOKUP(Table1[[#This Row],[Tên đối tượng]],'DANH MỤC ĐỐI TƯỢNG'!A:J,10,0),"")</f>
        <v/>
      </c>
    </row>
    <row r="1363" spans="1:9" x14ac:dyDescent="0.3">
      <c r="A1363" t="str">
        <f t="shared" si="48"/>
        <v/>
      </c>
      <c r="F1363" t="str">
        <f>IFERROR(VLOOKUP(Table1[[#This Row],[Tên đối tượng]],'DANH MỤC ĐỐI TƯỢNG'!A:E,5,0),"")</f>
        <v/>
      </c>
      <c r="G1363" t="str">
        <f>_xlfn.IFNA(VLOOKUP(Table1[[#This Row],[Tên đối tượng]],'DANH MỤC ĐỐI TƯỢNG'!A:F,6,0),"")</f>
        <v/>
      </c>
      <c r="H1363" t="str">
        <f>_xlfn.IFNA(VLOOKUP(Table1[[#This Row],[Tên đối tượng]],'DANH MỤC ĐỐI TƯỢNG'!A:I,9,0),"")</f>
        <v/>
      </c>
      <c r="I1363" t="str">
        <f>_xlfn.IFNA(VLOOKUP(Table1[[#This Row],[Tên đối tượng]],'DANH MỤC ĐỐI TƯỢNG'!A:J,10,0),"")</f>
        <v/>
      </c>
    </row>
    <row r="1364" spans="1:9" x14ac:dyDescent="0.3">
      <c r="A1364" t="str">
        <f t="shared" si="48"/>
        <v/>
      </c>
      <c r="F1364" t="str">
        <f>IFERROR(VLOOKUP(Table1[[#This Row],[Tên đối tượng]],'DANH MỤC ĐỐI TƯỢNG'!A:E,5,0),"")</f>
        <v/>
      </c>
      <c r="G1364" t="str">
        <f>_xlfn.IFNA(VLOOKUP(Table1[[#This Row],[Tên đối tượng]],'DANH MỤC ĐỐI TƯỢNG'!A:F,6,0),"")</f>
        <v/>
      </c>
      <c r="H1364" t="str">
        <f>_xlfn.IFNA(VLOOKUP(Table1[[#This Row],[Tên đối tượng]],'DANH MỤC ĐỐI TƯỢNG'!A:I,9,0),"")</f>
        <v/>
      </c>
      <c r="I1364" t="str">
        <f>_xlfn.IFNA(VLOOKUP(Table1[[#This Row],[Tên đối tượng]],'DANH MỤC ĐỐI TƯỢNG'!A:J,10,0),"")</f>
        <v/>
      </c>
    </row>
    <row r="1365" spans="1:9" x14ac:dyDescent="0.3">
      <c r="A1365" t="str">
        <f t="shared" si="48"/>
        <v/>
      </c>
      <c r="F1365" t="str">
        <f>IFERROR(VLOOKUP(Table1[[#This Row],[Tên đối tượng]],'DANH MỤC ĐỐI TƯỢNG'!A:E,5,0),"")</f>
        <v/>
      </c>
      <c r="G1365" t="str">
        <f>_xlfn.IFNA(VLOOKUP(Table1[[#This Row],[Tên đối tượng]],'DANH MỤC ĐỐI TƯỢNG'!A:F,6,0),"")</f>
        <v/>
      </c>
      <c r="H1365" t="str">
        <f>_xlfn.IFNA(VLOOKUP(Table1[[#This Row],[Tên đối tượng]],'DANH MỤC ĐỐI TƯỢNG'!A:I,9,0),"")</f>
        <v/>
      </c>
      <c r="I1365" t="str">
        <f>_xlfn.IFNA(VLOOKUP(Table1[[#This Row],[Tên đối tượng]],'DANH MỤC ĐỐI TƯỢNG'!A:J,10,0),"")</f>
        <v/>
      </c>
    </row>
    <row r="1366" spans="1:9" x14ac:dyDescent="0.3">
      <c r="A1366" t="str">
        <f t="shared" si="48"/>
        <v/>
      </c>
      <c r="F1366" t="str">
        <f>IFERROR(VLOOKUP(Table1[[#This Row],[Tên đối tượng]],'DANH MỤC ĐỐI TƯỢNG'!A:E,5,0),"")</f>
        <v/>
      </c>
      <c r="G1366" t="str">
        <f>_xlfn.IFNA(VLOOKUP(Table1[[#This Row],[Tên đối tượng]],'DANH MỤC ĐỐI TƯỢNG'!A:F,6,0),"")</f>
        <v/>
      </c>
      <c r="H1366" t="str">
        <f>_xlfn.IFNA(VLOOKUP(Table1[[#This Row],[Tên đối tượng]],'DANH MỤC ĐỐI TƯỢNG'!A:I,9,0),"")</f>
        <v/>
      </c>
      <c r="I1366" t="str">
        <f>_xlfn.IFNA(VLOOKUP(Table1[[#This Row],[Tên đối tượng]],'DANH MỤC ĐỐI TƯỢNG'!A:J,10,0),"")</f>
        <v/>
      </c>
    </row>
    <row r="1367" spans="1:9" x14ac:dyDescent="0.3">
      <c r="A1367" t="str">
        <f t="shared" si="48"/>
        <v/>
      </c>
      <c r="F1367" t="str">
        <f>IFERROR(VLOOKUP(Table1[[#This Row],[Tên đối tượng]],'DANH MỤC ĐỐI TƯỢNG'!A:E,5,0),"")</f>
        <v/>
      </c>
      <c r="G1367" t="str">
        <f>_xlfn.IFNA(VLOOKUP(Table1[[#This Row],[Tên đối tượng]],'DANH MỤC ĐỐI TƯỢNG'!A:F,6,0),"")</f>
        <v/>
      </c>
      <c r="H1367" t="str">
        <f>_xlfn.IFNA(VLOOKUP(Table1[[#This Row],[Tên đối tượng]],'DANH MỤC ĐỐI TƯỢNG'!A:I,9,0),"")</f>
        <v/>
      </c>
      <c r="I1367" t="str">
        <f>_xlfn.IFNA(VLOOKUP(Table1[[#This Row],[Tên đối tượng]],'DANH MỤC ĐỐI TƯỢNG'!A:J,10,0),"")</f>
        <v/>
      </c>
    </row>
    <row r="1368" spans="1:9" x14ac:dyDescent="0.3">
      <c r="A1368" t="str">
        <f t="shared" si="48"/>
        <v/>
      </c>
      <c r="F1368" t="str">
        <f>IFERROR(VLOOKUP(Table1[[#This Row],[Tên đối tượng]],'DANH MỤC ĐỐI TƯỢNG'!A:E,5,0),"")</f>
        <v/>
      </c>
      <c r="G1368" t="str">
        <f>_xlfn.IFNA(VLOOKUP(Table1[[#This Row],[Tên đối tượng]],'DANH MỤC ĐỐI TƯỢNG'!A:F,6,0),"")</f>
        <v/>
      </c>
      <c r="H1368" t="str">
        <f>_xlfn.IFNA(VLOOKUP(Table1[[#This Row],[Tên đối tượng]],'DANH MỤC ĐỐI TƯỢNG'!A:I,9,0),"")</f>
        <v/>
      </c>
      <c r="I1368" t="str">
        <f>_xlfn.IFNA(VLOOKUP(Table1[[#This Row],[Tên đối tượng]],'DANH MỤC ĐỐI TƯỢNG'!A:J,10,0),"")</f>
        <v/>
      </c>
    </row>
    <row r="1369" spans="1:9" x14ac:dyDescent="0.3">
      <c r="A1369" t="str">
        <f t="shared" si="48"/>
        <v/>
      </c>
      <c r="F1369" t="str">
        <f>IFERROR(VLOOKUP(Table1[[#This Row],[Tên đối tượng]],'DANH MỤC ĐỐI TƯỢNG'!A:E,5,0),"")</f>
        <v/>
      </c>
      <c r="G1369" t="str">
        <f>_xlfn.IFNA(VLOOKUP(Table1[[#This Row],[Tên đối tượng]],'DANH MỤC ĐỐI TƯỢNG'!A:F,6,0),"")</f>
        <v/>
      </c>
      <c r="H1369" t="str">
        <f>_xlfn.IFNA(VLOOKUP(Table1[[#This Row],[Tên đối tượng]],'DANH MỤC ĐỐI TƯỢNG'!A:I,9,0),"")</f>
        <v/>
      </c>
      <c r="I1369" t="str">
        <f>_xlfn.IFNA(VLOOKUP(Table1[[#This Row],[Tên đối tượng]],'DANH MỤC ĐỐI TƯỢNG'!A:J,10,0),"")</f>
        <v/>
      </c>
    </row>
    <row r="1370" spans="1:9" x14ac:dyDescent="0.3">
      <c r="A1370" t="str">
        <f t="shared" si="48"/>
        <v/>
      </c>
      <c r="F1370" t="str">
        <f>IFERROR(VLOOKUP(Table1[[#This Row],[Tên đối tượng]],'DANH MỤC ĐỐI TƯỢNG'!A:E,5,0),"")</f>
        <v/>
      </c>
      <c r="G1370" t="str">
        <f>_xlfn.IFNA(VLOOKUP(Table1[[#This Row],[Tên đối tượng]],'DANH MỤC ĐỐI TƯỢNG'!A:F,6,0),"")</f>
        <v/>
      </c>
      <c r="H1370" t="str">
        <f>_xlfn.IFNA(VLOOKUP(Table1[[#This Row],[Tên đối tượng]],'DANH MỤC ĐỐI TƯỢNG'!A:I,9,0),"")</f>
        <v/>
      </c>
      <c r="I1370" t="str">
        <f>_xlfn.IFNA(VLOOKUP(Table1[[#This Row],[Tên đối tượng]],'DANH MỤC ĐỐI TƯỢNG'!A:J,10,0),"")</f>
        <v/>
      </c>
    </row>
    <row r="1371" spans="1:9" x14ac:dyDescent="0.3">
      <c r="A1371" t="str">
        <f t="shared" si="48"/>
        <v/>
      </c>
      <c r="F1371" t="str">
        <f>IFERROR(VLOOKUP(Table1[[#This Row],[Tên đối tượng]],'DANH MỤC ĐỐI TƯỢNG'!A:E,5,0),"")</f>
        <v/>
      </c>
      <c r="G1371" t="str">
        <f>_xlfn.IFNA(VLOOKUP(Table1[[#This Row],[Tên đối tượng]],'DANH MỤC ĐỐI TƯỢNG'!A:F,6,0),"")</f>
        <v/>
      </c>
      <c r="H1371" t="str">
        <f>_xlfn.IFNA(VLOOKUP(Table1[[#This Row],[Tên đối tượng]],'DANH MỤC ĐỐI TƯỢNG'!A:I,9,0),"")</f>
        <v/>
      </c>
      <c r="I1371" t="str">
        <f>_xlfn.IFNA(VLOOKUP(Table1[[#This Row],[Tên đối tượng]],'DANH MỤC ĐỐI TƯỢNG'!A:J,10,0),"")</f>
        <v/>
      </c>
    </row>
    <row r="1372" spans="1:9" x14ac:dyDescent="0.3">
      <c r="A1372" t="str">
        <f t="shared" si="48"/>
        <v/>
      </c>
      <c r="F1372" t="str">
        <f>IFERROR(VLOOKUP(Table1[[#This Row],[Tên đối tượng]],'DANH MỤC ĐỐI TƯỢNG'!A:E,5,0),"")</f>
        <v/>
      </c>
      <c r="G1372" t="str">
        <f>_xlfn.IFNA(VLOOKUP(Table1[[#This Row],[Tên đối tượng]],'DANH MỤC ĐỐI TƯỢNG'!A:F,6,0),"")</f>
        <v/>
      </c>
      <c r="H1372" t="str">
        <f>_xlfn.IFNA(VLOOKUP(Table1[[#This Row],[Tên đối tượng]],'DANH MỤC ĐỐI TƯỢNG'!A:I,9,0),"")</f>
        <v/>
      </c>
      <c r="I1372" t="str">
        <f>_xlfn.IFNA(VLOOKUP(Table1[[#This Row],[Tên đối tượng]],'DANH MỤC ĐỐI TƯỢNG'!A:J,10,0),"")</f>
        <v/>
      </c>
    </row>
    <row r="1373" spans="1:9" x14ac:dyDescent="0.3">
      <c r="A1373" t="str">
        <f t="shared" si="48"/>
        <v/>
      </c>
      <c r="F1373" t="str">
        <f>IFERROR(VLOOKUP(Table1[[#This Row],[Tên đối tượng]],'DANH MỤC ĐỐI TƯỢNG'!A:E,5,0),"")</f>
        <v/>
      </c>
      <c r="G1373" t="str">
        <f>_xlfn.IFNA(VLOOKUP(Table1[[#This Row],[Tên đối tượng]],'DANH MỤC ĐỐI TƯỢNG'!A:F,6,0),"")</f>
        <v/>
      </c>
      <c r="H1373" t="str">
        <f>_xlfn.IFNA(VLOOKUP(Table1[[#This Row],[Tên đối tượng]],'DANH MỤC ĐỐI TƯỢNG'!A:I,9,0),"")</f>
        <v/>
      </c>
      <c r="I1373" t="str">
        <f>_xlfn.IFNA(VLOOKUP(Table1[[#This Row],[Tên đối tượng]],'DANH MỤC ĐỐI TƯỢNG'!A:J,10,0),"")</f>
        <v/>
      </c>
    </row>
    <row r="1374" spans="1:9" x14ac:dyDescent="0.3">
      <c r="A1374" t="str">
        <f t="shared" si="48"/>
        <v/>
      </c>
      <c r="F1374" t="str">
        <f>IFERROR(VLOOKUP(Table1[[#This Row],[Tên đối tượng]],'DANH MỤC ĐỐI TƯỢNG'!A:E,5,0),"")</f>
        <v/>
      </c>
      <c r="G1374" t="str">
        <f>_xlfn.IFNA(VLOOKUP(Table1[[#This Row],[Tên đối tượng]],'DANH MỤC ĐỐI TƯỢNG'!A:F,6,0),"")</f>
        <v/>
      </c>
      <c r="H1374" t="str">
        <f>_xlfn.IFNA(VLOOKUP(Table1[[#This Row],[Tên đối tượng]],'DANH MỤC ĐỐI TƯỢNG'!A:I,9,0),"")</f>
        <v/>
      </c>
      <c r="I1374" t="str">
        <f>_xlfn.IFNA(VLOOKUP(Table1[[#This Row],[Tên đối tượng]],'DANH MỤC ĐỐI TƯỢNG'!A:J,10,0),"")</f>
        <v/>
      </c>
    </row>
    <row r="1375" spans="1:9" x14ac:dyDescent="0.3">
      <c r="A1375" t="str">
        <f t="shared" si="48"/>
        <v/>
      </c>
      <c r="F1375" t="str">
        <f>IFERROR(VLOOKUP(Table1[[#This Row],[Tên đối tượng]],'DANH MỤC ĐỐI TƯỢNG'!A:E,5,0),"")</f>
        <v/>
      </c>
      <c r="G1375" t="str">
        <f>_xlfn.IFNA(VLOOKUP(Table1[[#This Row],[Tên đối tượng]],'DANH MỤC ĐỐI TƯỢNG'!A:F,6,0),"")</f>
        <v/>
      </c>
      <c r="H1375" t="str">
        <f>_xlfn.IFNA(VLOOKUP(Table1[[#This Row],[Tên đối tượng]],'DANH MỤC ĐỐI TƯỢNG'!A:I,9,0),"")</f>
        <v/>
      </c>
      <c r="I1375" t="str">
        <f>_xlfn.IFNA(VLOOKUP(Table1[[#This Row],[Tên đối tượng]],'DANH MỤC ĐỐI TƯỢNG'!A:J,10,0),"")</f>
        <v/>
      </c>
    </row>
    <row r="1376" spans="1:9" x14ac:dyDescent="0.3">
      <c r="A1376" t="str">
        <f t="shared" si="48"/>
        <v/>
      </c>
      <c r="F1376" t="str">
        <f>IFERROR(VLOOKUP(Table1[[#This Row],[Tên đối tượng]],'DANH MỤC ĐỐI TƯỢNG'!A:E,5,0),"")</f>
        <v/>
      </c>
      <c r="G1376" t="str">
        <f>_xlfn.IFNA(VLOOKUP(Table1[[#This Row],[Tên đối tượng]],'DANH MỤC ĐỐI TƯỢNG'!A:F,6,0),"")</f>
        <v/>
      </c>
      <c r="H1376" t="str">
        <f>_xlfn.IFNA(VLOOKUP(Table1[[#This Row],[Tên đối tượng]],'DANH MỤC ĐỐI TƯỢNG'!A:I,9,0),"")</f>
        <v/>
      </c>
      <c r="I1376" t="str">
        <f>_xlfn.IFNA(VLOOKUP(Table1[[#This Row],[Tên đối tượng]],'DANH MỤC ĐỐI TƯỢNG'!A:J,10,0),"")</f>
        <v/>
      </c>
    </row>
    <row r="1377" spans="1:9" x14ac:dyDescent="0.3">
      <c r="A1377" t="str">
        <f t="shared" si="48"/>
        <v/>
      </c>
      <c r="F1377" t="str">
        <f>IFERROR(VLOOKUP(Table1[[#This Row],[Tên đối tượng]],'DANH MỤC ĐỐI TƯỢNG'!A:E,5,0),"")</f>
        <v/>
      </c>
      <c r="G1377" t="str">
        <f>_xlfn.IFNA(VLOOKUP(Table1[[#This Row],[Tên đối tượng]],'DANH MỤC ĐỐI TƯỢNG'!A:F,6,0),"")</f>
        <v/>
      </c>
      <c r="H1377" t="str">
        <f>_xlfn.IFNA(VLOOKUP(Table1[[#This Row],[Tên đối tượng]],'DANH MỤC ĐỐI TƯỢNG'!A:I,9,0),"")</f>
        <v/>
      </c>
      <c r="I1377" t="str">
        <f>_xlfn.IFNA(VLOOKUP(Table1[[#This Row],[Tên đối tượng]],'DANH MỤC ĐỐI TƯỢNG'!A:J,10,0),"")</f>
        <v/>
      </c>
    </row>
    <row r="1378" spans="1:9" x14ac:dyDescent="0.3">
      <c r="A1378" t="str">
        <f t="shared" si="48"/>
        <v/>
      </c>
      <c r="F1378" t="str">
        <f>IFERROR(VLOOKUP(Table1[[#This Row],[Tên đối tượng]],'DANH MỤC ĐỐI TƯỢNG'!A:E,5,0),"")</f>
        <v/>
      </c>
      <c r="G1378" t="str">
        <f>_xlfn.IFNA(VLOOKUP(Table1[[#This Row],[Tên đối tượng]],'DANH MỤC ĐỐI TƯỢNG'!A:F,6,0),"")</f>
        <v/>
      </c>
      <c r="H1378" t="str">
        <f>_xlfn.IFNA(VLOOKUP(Table1[[#This Row],[Tên đối tượng]],'DANH MỤC ĐỐI TƯỢNG'!A:I,9,0),"")</f>
        <v/>
      </c>
      <c r="I1378" t="str">
        <f>_xlfn.IFNA(VLOOKUP(Table1[[#This Row],[Tên đối tượng]],'DANH MỤC ĐỐI TƯỢNG'!A:J,10,0),"")</f>
        <v/>
      </c>
    </row>
    <row r="1379" spans="1:9" x14ac:dyDescent="0.3">
      <c r="A1379" t="str">
        <f t="shared" si="48"/>
        <v/>
      </c>
      <c r="F1379" t="str">
        <f>IFERROR(VLOOKUP(Table1[[#This Row],[Tên đối tượng]],'DANH MỤC ĐỐI TƯỢNG'!A:E,5,0),"")</f>
        <v/>
      </c>
      <c r="G1379" t="str">
        <f>_xlfn.IFNA(VLOOKUP(Table1[[#This Row],[Tên đối tượng]],'DANH MỤC ĐỐI TƯỢNG'!A:F,6,0),"")</f>
        <v/>
      </c>
      <c r="H1379" t="str">
        <f>_xlfn.IFNA(VLOOKUP(Table1[[#This Row],[Tên đối tượng]],'DANH MỤC ĐỐI TƯỢNG'!A:I,9,0),"")</f>
        <v/>
      </c>
      <c r="I1379" t="str">
        <f>_xlfn.IFNA(VLOOKUP(Table1[[#This Row],[Tên đối tượng]],'DANH MỤC ĐỐI TƯỢNG'!A:J,10,0),"")</f>
        <v/>
      </c>
    </row>
    <row r="1380" spans="1:9" x14ac:dyDescent="0.3">
      <c r="A1380" t="str">
        <f t="shared" si="48"/>
        <v/>
      </c>
      <c r="F1380" t="str">
        <f>IFERROR(VLOOKUP(Table1[[#This Row],[Tên đối tượng]],'DANH MỤC ĐỐI TƯỢNG'!A:E,5,0),"")</f>
        <v/>
      </c>
      <c r="G1380" t="str">
        <f>_xlfn.IFNA(VLOOKUP(Table1[[#This Row],[Tên đối tượng]],'DANH MỤC ĐỐI TƯỢNG'!A:F,6,0),"")</f>
        <v/>
      </c>
      <c r="H1380" t="str">
        <f>_xlfn.IFNA(VLOOKUP(Table1[[#This Row],[Tên đối tượng]],'DANH MỤC ĐỐI TƯỢNG'!A:I,9,0),"")</f>
        <v/>
      </c>
      <c r="I1380" t="str">
        <f>_xlfn.IFNA(VLOOKUP(Table1[[#This Row],[Tên đối tượng]],'DANH MỤC ĐỐI TƯỢNG'!A:J,10,0),"")</f>
        <v/>
      </c>
    </row>
    <row r="1381" spans="1:9" x14ac:dyDescent="0.3">
      <c r="A1381" t="str">
        <f t="shared" si="48"/>
        <v/>
      </c>
      <c r="F1381" t="str">
        <f>IFERROR(VLOOKUP(Table1[[#This Row],[Tên đối tượng]],'DANH MỤC ĐỐI TƯỢNG'!A:E,5,0),"")</f>
        <v/>
      </c>
      <c r="G1381" t="str">
        <f>_xlfn.IFNA(VLOOKUP(Table1[[#This Row],[Tên đối tượng]],'DANH MỤC ĐỐI TƯỢNG'!A:F,6,0),"")</f>
        <v/>
      </c>
      <c r="H1381" t="str">
        <f>_xlfn.IFNA(VLOOKUP(Table1[[#This Row],[Tên đối tượng]],'DANH MỤC ĐỐI TƯỢNG'!A:I,9,0),"")</f>
        <v/>
      </c>
      <c r="I1381" t="str">
        <f>_xlfn.IFNA(VLOOKUP(Table1[[#This Row],[Tên đối tượng]],'DANH MỤC ĐỐI TƯỢNG'!A:J,10,0),"")</f>
        <v/>
      </c>
    </row>
    <row r="1382" spans="1:9" x14ac:dyDescent="0.3">
      <c r="A1382" t="str">
        <f t="shared" si="48"/>
        <v/>
      </c>
      <c r="F1382" t="str">
        <f>IFERROR(VLOOKUP(Table1[[#This Row],[Tên đối tượng]],'DANH MỤC ĐỐI TƯỢNG'!A:E,5,0),"")</f>
        <v/>
      </c>
      <c r="G1382" t="str">
        <f>_xlfn.IFNA(VLOOKUP(Table1[[#This Row],[Tên đối tượng]],'DANH MỤC ĐỐI TƯỢNG'!A:F,6,0),"")</f>
        <v/>
      </c>
      <c r="H1382" t="str">
        <f>_xlfn.IFNA(VLOOKUP(Table1[[#This Row],[Tên đối tượng]],'DANH MỤC ĐỐI TƯỢNG'!A:I,9,0),"")</f>
        <v/>
      </c>
      <c r="I1382" t="str">
        <f>_xlfn.IFNA(VLOOKUP(Table1[[#This Row],[Tên đối tượng]],'DANH MỤC ĐỐI TƯỢNG'!A:J,10,0),"")</f>
        <v/>
      </c>
    </row>
    <row r="1383" spans="1:9" x14ac:dyDescent="0.3">
      <c r="A1383" t="str">
        <f t="shared" si="48"/>
        <v/>
      </c>
      <c r="F1383" t="str">
        <f>IFERROR(VLOOKUP(Table1[[#This Row],[Tên đối tượng]],'DANH MỤC ĐỐI TƯỢNG'!A:E,5,0),"")</f>
        <v/>
      </c>
      <c r="G1383" t="str">
        <f>_xlfn.IFNA(VLOOKUP(Table1[[#This Row],[Tên đối tượng]],'DANH MỤC ĐỐI TƯỢNG'!A:F,6,0),"")</f>
        <v/>
      </c>
      <c r="H1383" t="str">
        <f>_xlfn.IFNA(VLOOKUP(Table1[[#This Row],[Tên đối tượng]],'DANH MỤC ĐỐI TƯỢNG'!A:I,9,0),"")</f>
        <v/>
      </c>
      <c r="I1383" t="str">
        <f>_xlfn.IFNA(VLOOKUP(Table1[[#This Row],[Tên đối tượng]],'DANH MỤC ĐỐI TƯỢNG'!A:J,10,0),"")</f>
        <v/>
      </c>
    </row>
    <row r="1384" spans="1:9" x14ac:dyDescent="0.3">
      <c r="A1384" t="str">
        <f t="shared" si="48"/>
        <v/>
      </c>
      <c r="F1384" t="str">
        <f>IFERROR(VLOOKUP(Table1[[#This Row],[Tên đối tượng]],'DANH MỤC ĐỐI TƯỢNG'!A:E,5,0),"")</f>
        <v/>
      </c>
      <c r="G1384" t="str">
        <f>_xlfn.IFNA(VLOOKUP(Table1[[#This Row],[Tên đối tượng]],'DANH MỤC ĐỐI TƯỢNG'!A:F,6,0),"")</f>
        <v/>
      </c>
      <c r="H1384" t="str">
        <f>_xlfn.IFNA(VLOOKUP(Table1[[#This Row],[Tên đối tượng]],'DANH MỤC ĐỐI TƯỢNG'!A:I,9,0),"")</f>
        <v/>
      </c>
      <c r="I1384" t="str">
        <f>_xlfn.IFNA(VLOOKUP(Table1[[#This Row],[Tên đối tượng]],'DANH MỤC ĐỐI TƯỢNG'!A:J,10,0),"")</f>
        <v/>
      </c>
    </row>
    <row r="1385" spans="1:9" x14ac:dyDescent="0.3">
      <c r="A1385" t="str">
        <f t="shared" si="48"/>
        <v/>
      </c>
      <c r="F1385" t="str">
        <f>IFERROR(VLOOKUP(Table1[[#This Row],[Tên đối tượng]],'DANH MỤC ĐỐI TƯỢNG'!A:E,5,0),"")</f>
        <v/>
      </c>
      <c r="G1385" t="str">
        <f>_xlfn.IFNA(VLOOKUP(Table1[[#This Row],[Tên đối tượng]],'DANH MỤC ĐỐI TƯỢNG'!A:F,6,0),"")</f>
        <v/>
      </c>
      <c r="H1385" t="str">
        <f>_xlfn.IFNA(VLOOKUP(Table1[[#This Row],[Tên đối tượng]],'DANH MỤC ĐỐI TƯỢNG'!A:I,9,0),"")</f>
        <v/>
      </c>
      <c r="I1385" t="str">
        <f>_xlfn.IFNA(VLOOKUP(Table1[[#This Row],[Tên đối tượng]],'DANH MỤC ĐỐI TƯỢNG'!A:J,10,0),"")</f>
        <v/>
      </c>
    </row>
    <row r="1386" spans="1:9" x14ac:dyDescent="0.3">
      <c r="A1386" t="str">
        <f t="shared" si="48"/>
        <v/>
      </c>
      <c r="F1386" t="str">
        <f>IFERROR(VLOOKUP(Table1[[#This Row],[Tên đối tượng]],'DANH MỤC ĐỐI TƯỢNG'!A:E,5,0),"")</f>
        <v/>
      </c>
      <c r="G1386" t="str">
        <f>_xlfn.IFNA(VLOOKUP(Table1[[#This Row],[Tên đối tượng]],'DANH MỤC ĐỐI TƯỢNG'!A:F,6,0),"")</f>
        <v/>
      </c>
      <c r="H1386" t="str">
        <f>_xlfn.IFNA(VLOOKUP(Table1[[#This Row],[Tên đối tượng]],'DANH MỤC ĐỐI TƯỢNG'!A:I,9,0),"")</f>
        <v/>
      </c>
      <c r="I1386" t="str">
        <f>_xlfn.IFNA(VLOOKUP(Table1[[#This Row],[Tên đối tượng]],'DANH MỤC ĐỐI TƯỢNG'!A:J,10,0),"")</f>
        <v/>
      </c>
    </row>
    <row r="1387" spans="1:9" x14ac:dyDescent="0.3">
      <c r="A1387" t="str">
        <f t="shared" si="48"/>
        <v/>
      </c>
      <c r="F1387" t="str">
        <f>IFERROR(VLOOKUP(Table1[[#This Row],[Tên đối tượng]],'DANH MỤC ĐỐI TƯỢNG'!A:E,5,0),"")</f>
        <v/>
      </c>
      <c r="G1387" t="str">
        <f>_xlfn.IFNA(VLOOKUP(Table1[[#This Row],[Tên đối tượng]],'DANH MỤC ĐỐI TƯỢNG'!A:F,6,0),"")</f>
        <v/>
      </c>
      <c r="H1387" t="str">
        <f>_xlfn.IFNA(VLOOKUP(Table1[[#This Row],[Tên đối tượng]],'DANH MỤC ĐỐI TƯỢNG'!A:I,9,0),"")</f>
        <v/>
      </c>
      <c r="I1387" t="str">
        <f>_xlfn.IFNA(VLOOKUP(Table1[[#This Row],[Tên đối tượng]],'DANH MỤC ĐỐI TƯỢNG'!A:J,10,0),"")</f>
        <v/>
      </c>
    </row>
    <row r="1388" spans="1:9" x14ac:dyDescent="0.3">
      <c r="A1388" t="str">
        <f t="shared" si="48"/>
        <v/>
      </c>
      <c r="F1388" t="str">
        <f>IFERROR(VLOOKUP(Table1[[#This Row],[Tên đối tượng]],'DANH MỤC ĐỐI TƯỢNG'!A:E,5,0),"")</f>
        <v/>
      </c>
      <c r="G1388" t="str">
        <f>_xlfn.IFNA(VLOOKUP(Table1[[#This Row],[Tên đối tượng]],'DANH MỤC ĐỐI TƯỢNG'!A:F,6,0),"")</f>
        <v/>
      </c>
      <c r="H1388" t="str">
        <f>_xlfn.IFNA(VLOOKUP(Table1[[#This Row],[Tên đối tượng]],'DANH MỤC ĐỐI TƯỢNG'!A:I,9,0),"")</f>
        <v/>
      </c>
      <c r="I1388" t="str">
        <f>_xlfn.IFNA(VLOOKUP(Table1[[#This Row],[Tên đối tượng]],'DANH MỤC ĐỐI TƯỢNG'!A:J,10,0),"")</f>
        <v/>
      </c>
    </row>
    <row r="1389" spans="1:9" x14ac:dyDescent="0.3">
      <c r="A1389" t="str">
        <f t="shared" si="48"/>
        <v/>
      </c>
      <c r="F1389" t="str">
        <f>IFERROR(VLOOKUP(Table1[[#This Row],[Tên đối tượng]],'DANH MỤC ĐỐI TƯỢNG'!A:E,5,0),"")</f>
        <v/>
      </c>
      <c r="G1389" t="str">
        <f>_xlfn.IFNA(VLOOKUP(Table1[[#This Row],[Tên đối tượng]],'DANH MỤC ĐỐI TƯỢNG'!A:F,6,0),"")</f>
        <v/>
      </c>
      <c r="H1389" t="str">
        <f>_xlfn.IFNA(VLOOKUP(Table1[[#This Row],[Tên đối tượng]],'DANH MỤC ĐỐI TƯỢNG'!A:I,9,0),"")</f>
        <v/>
      </c>
      <c r="I1389" t="str">
        <f>_xlfn.IFNA(VLOOKUP(Table1[[#This Row],[Tên đối tượng]],'DANH MỤC ĐỐI TƯỢNG'!A:J,10,0),"")</f>
        <v/>
      </c>
    </row>
    <row r="1390" spans="1:9" x14ac:dyDescent="0.3">
      <c r="A1390" t="str">
        <f t="shared" si="48"/>
        <v/>
      </c>
      <c r="F1390" t="str">
        <f>IFERROR(VLOOKUP(Table1[[#This Row],[Tên đối tượng]],'DANH MỤC ĐỐI TƯỢNG'!A:E,5,0),"")</f>
        <v/>
      </c>
      <c r="G1390" t="str">
        <f>_xlfn.IFNA(VLOOKUP(Table1[[#This Row],[Tên đối tượng]],'DANH MỤC ĐỐI TƯỢNG'!A:F,6,0),"")</f>
        <v/>
      </c>
      <c r="H1390" t="str">
        <f>_xlfn.IFNA(VLOOKUP(Table1[[#This Row],[Tên đối tượng]],'DANH MỤC ĐỐI TƯỢNG'!A:I,9,0),"")</f>
        <v/>
      </c>
      <c r="I1390" t="str">
        <f>_xlfn.IFNA(VLOOKUP(Table1[[#This Row],[Tên đối tượng]],'DANH MỤC ĐỐI TƯỢNG'!A:J,10,0),"")</f>
        <v/>
      </c>
    </row>
    <row r="1391" spans="1:9" x14ac:dyDescent="0.3">
      <c r="A1391" t="str">
        <f t="shared" si="48"/>
        <v/>
      </c>
      <c r="F1391" t="str">
        <f>IFERROR(VLOOKUP(Table1[[#This Row],[Tên đối tượng]],'DANH MỤC ĐỐI TƯỢNG'!A:E,5,0),"")</f>
        <v/>
      </c>
      <c r="G1391" t="str">
        <f>_xlfn.IFNA(VLOOKUP(Table1[[#This Row],[Tên đối tượng]],'DANH MỤC ĐỐI TƯỢNG'!A:F,6,0),"")</f>
        <v/>
      </c>
      <c r="H1391" t="str">
        <f>_xlfn.IFNA(VLOOKUP(Table1[[#This Row],[Tên đối tượng]],'DANH MỤC ĐỐI TƯỢNG'!A:I,9,0),"")</f>
        <v/>
      </c>
      <c r="I1391" t="str">
        <f>_xlfn.IFNA(VLOOKUP(Table1[[#This Row],[Tên đối tượng]],'DANH MỤC ĐỐI TƯỢNG'!A:J,10,0),"")</f>
        <v/>
      </c>
    </row>
    <row r="1392" spans="1:9" x14ac:dyDescent="0.3">
      <c r="A1392" t="str">
        <f t="shared" si="48"/>
        <v/>
      </c>
      <c r="F1392" t="str">
        <f>IFERROR(VLOOKUP(Table1[[#This Row],[Tên đối tượng]],'DANH MỤC ĐỐI TƯỢNG'!A:E,5,0),"")</f>
        <v/>
      </c>
      <c r="G1392" t="str">
        <f>_xlfn.IFNA(VLOOKUP(Table1[[#This Row],[Tên đối tượng]],'DANH MỤC ĐỐI TƯỢNG'!A:F,6,0),"")</f>
        <v/>
      </c>
      <c r="H1392" t="str">
        <f>_xlfn.IFNA(VLOOKUP(Table1[[#This Row],[Tên đối tượng]],'DANH MỤC ĐỐI TƯỢNG'!A:I,9,0),"")</f>
        <v/>
      </c>
      <c r="I1392" t="str">
        <f>_xlfn.IFNA(VLOOKUP(Table1[[#This Row],[Tên đối tượng]],'DANH MỤC ĐỐI TƯỢNG'!A:J,10,0),"")</f>
        <v/>
      </c>
    </row>
    <row r="1393" spans="1:9" x14ac:dyDescent="0.3">
      <c r="A1393" t="str">
        <f t="shared" si="48"/>
        <v/>
      </c>
      <c r="F1393" t="str">
        <f>IFERROR(VLOOKUP(Table1[[#This Row],[Tên đối tượng]],'DANH MỤC ĐỐI TƯỢNG'!A:E,5,0),"")</f>
        <v/>
      </c>
      <c r="G1393" t="str">
        <f>_xlfn.IFNA(VLOOKUP(Table1[[#This Row],[Tên đối tượng]],'DANH MỤC ĐỐI TƯỢNG'!A:F,6,0),"")</f>
        <v/>
      </c>
      <c r="H1393" t="str">
        <f>_xlfn.IFNA(VLOOKUP(Table1[[#This Row],[Tên đối tượng]],'DANH MỤC ĐỐI TƯỢNG'!A:I,9,0),"")</f>
        <v/>
      </c>
      <c r="I1393" t="str">
        <f>_xlfn.IFNA(VLOOKUP(Table1[[#This Row],[Tên đối tượng]],'DANH MỤC ĐỐI TƯỢNG'!A:J,10,0),"")</f>
        <v/>
      </c>
    </row>
    <row r="1394" spans="1:9" x14ac:dyDescent="0.3">
      <c r="A1394" t="str">
        <f t="shared" si="48"/>
        <v/>
      </c>
      <c r="F1394" t="str">
        <f>IFERROR(VLOOKUP(Table1[[#This Row],[Tên đối tượng]],'DANH MỤC ĐỐI TƯỢNG'!A:E,5,0),"")</f>
        <v/>
      </c>
      <c r="G1394" t="str">
        <f>_xlfn.IFNA(VLOOKUP(Table1[[#This Row],[Tên đối tượng]],'DANH MỤC ĐỐI TƯỢNG'!A:F,6,0),"")</f>
        <v/>
      </c>
      <c r="H1394" t="str">
        <f>_xlfn.IFNA(VLOOKUP(Table1[[#This Row],[Tên đối tượng]],'DANH MỤC ĐỐI TƯỢNG'!A:I,9,0),"")</f>
        <v/>
      </c>
      <c r="I1394" t="str">
        <f>_xlfn.IFNA(VLOOKUP(Table1[[#This Row],[Tên đối tượng]],'DANH MỤC ĐỐI TƯỢNG'!A:J,10,0),"")</f>
        <v/>
      </c>
    </row>
    <row r="1395" spans="1:9" x14ac:dyDescent="0.3">
      <c r="A1395" t="str">
        <f t="shared" si="48"/>
        <v/>
      </c>
      <c r="F1395" t="str">
        <f>IFERROR(VLOOKUP(Table1[[#This Row],[Tên đối tượng]],'DANH MỤC ĐỐI TƯỢNG'!A:E,5,0),"")</f>
        <v/>
      </c>
      <c r="G1395" t="str">
        <f>_xlfn.IFNA(VLOOKUP(Table1[[#This Row],[Tên đối tượng]],'DANH MỤC ĐỐI TƯỢNG'!A:F,6,0),"")</f>
        <v/>
      </c>
      <c r="H1395" t="str">
        <f>_xlfn.IFNA(VLOOKUP(Table1[[#This Row],[Tên đối tượng]],'DANH MỤC ĐỐI TƯỢNG'!A:I,9,0),"")</f>
        <v/>
      </c>
      <c r="I1395" t="str">
        <f>_xlfn.IFNA(VLOOKUP(Table1[[#This Row],[Tên đối tượng]],'DANH MỤC ĐỐI TƯỢNG'!A:J,10,0),"")</f>
        <v/>
      </c>
    </row>
    <row r="1396" spans="1:9" x14ac:dyDescent="0.3">
      <c r="A1396" t="str">
        <f t="shared" si="48"/>
        <v/>
      </c>
      <c r="F1396" t="str">
        <f>IFERROR(VLOOKUP(Table1[[#This Row],[Tên đối tượng]],'DANH MỤC ĐỐI TƯỢNG'!A:E,5,0),"")</f>
        <v/>
      </c>
      <c r="G1396" t="str">
        <f>_xlfn.IFNA(VLOOKUP(Table1[[#This Row],[Tên đối tượng]],'DANH MỤC ĐỐI TƯỢNG'!A:F,6,0),"")</f>
        <v/>
      </c>
      <c r="H1396" t="str">
        <f>_xlfn.IFNA(VLOOKUP(Table1[[#This Row],[Tên đối tượng]],'DANH MỤC ĐỐI TƯỢNG'!A:I,9,0),"")</f>
        <v/>
      </c>
      <c r="I1396" t="str">
        <f>_xlfn.IFNA(VLOOKUP(Table1[[#This Row],[Tên đối tượng]],'DANH MỤC ĐỐI TƯỢNG'!A:J,10,0),"")</f>
        <v/>
      </c>
    </row>
    <row r="1397" spans="1:9" x14ac:dyDescent="0.3">
      <c r="A1397" t="str">
        <f t="shared" si="48"/>
        <v/>
      </c>
      <c r="F1397" t="str">
        <f>IFERROR(VLOOKUP(Table1[[#This Row],[Tên đối tượng]],'DANH MỤC ĐỐI TƯỢNG'!A:E,5,0),"")</f>
        <v/>
      </c>
      <c r="G1397" t="str">
        <f>_xlfn.IFNA(VLOOKUP(Table1[[#This Row],[Tên đối tượng]],'DANH MỤC ĐỐI TƯỢNG'!A:F,6,0),"")</f>
        <v/>
      </c>
      <c r="H1397" t="str">
        <f>_xlfn.IFNA(VLOOKUP(Table1[[#This Row],[Tên đối tượng]],'DANH MỤC ĐỐI TƯỢNG'!A:I,9,0),"")</f>
        <v/>
      </c>
      <c r="I1397" t="str">
        <f>_xlfn.IFNA(VLOOKUP(Table1[[#This Row],[Tên đối tượng]],'DANH MỤC ĐỐI TƯỢNG'!A:J,10,0),"")</f>
        <v/>
      </c>
    </row>
    <row r="1398" spans="1:9" x14ac:dyDescent="0.3">
      <c r="A1398" t="str">
        <f t="shared" si="48"/>
        <v/>
      </c>
      <c r="F1398" t="str">
        <f>IFERROR(VLOOKUP(Table1[[#This Row],[Tên đối tượng]],'DANH MỤC ĐỐI TƯỢNG'!A:E,5,0),"")</f>
        <v/>
      </c>
      <c r="G1398" t="str">
        <f>_xlfn.IFNA(VLOOKUP(Table1[[#This Row],[Tên đối tượng]],'DANH MỤC ĐỐI TƯỢNG'!A:F,6,0),"")</f>
        <v/>
      </c>
      <c r="H1398" t="str">
        <f>_xlfn.IFNA(VLOOKUP(Table1[[#This Row],[Tên đối tượng]],'DANH MỤC ĐỐI TƯỢNG'!A:I,9,0),"")</f>
        <v/>
      </c>
      <c r="I1398" t="str">
        <f>_xlfn.IFNA(VLOOKUP(Table1[[#This Row],[Tên đối tượng]],'DANH MỤC ĐỐI TƯỢNG'!A:J,10,0),"")</f>
        <v/>
      </c>
    </row>
    <row r="1399" spans="1:9" x14ac:dyDescent="0.3">
      <c r="A1399" t="str">
        <f t="shared" si="48"/>
        <v/>
      </c>
      <c r="F1399" t="str">
        <f>IFERROR(VLOOKUP(Table1[[#This Row],[Tên đối tượng]],'DANH MỤC ĐỐI TƯỢNG'!A:E,5,0),"")</f>
        <v/>
      </c>
      <c r="G1399" t="str">
        <f>_xlfn.IFNA(VLOOKUP(Table1[[#This Row],[Tên đối tượng]],'DANH MỤC ĐỐI TƯỢNG'!A:F,6,0),"")</f>
        <v/>
      </c>
      <c r="H1399" t="str">
        <f>_xlfn.IFNA(VLOOKUP(Table1[[#This Row],[Tên đối tượng]],'DANH MỤC ĐỐI TƯỢNG'!A:I,9,0),"")</f>
        <v/>
      </c>
      <c r="I1399" t="str">
        <f>_xlfn.IFNA(VLOOKUP(Table1[[#This Row],[Tên đối tượng]],'DANH MỤC ĐỐI TƯỢNG'!A:J,10,0),"")</f>
        <v/>
      </c>
    </row>
    <row r="1400" spans="1:9" x14ac:dyDescent="0.3">
      <c r="A1400" t="str">
        <f t="shared" si="48"/>
        <v/>
      </c>
      <c r="F1400" t="str">
        <f>IFERROR(VLOOKUP(Table1[[#This Row],[Tên đối tượng]],'DANH MỤC ĐỐI TƯỢNG'!A:E,5,0),"")</f>
        <v/>
      </c>
      <c r="G1400" t="str">
        <f>_xlfn.IFNA(VLOOKUP(Table1[[#This Row],[Tên đối tượng]],'DANH MỤC ĐỐI TƯỢNG'!A:F,6,0),"")</f>
        <v/>
      </c>
      <c r="H1400" t="str">
        <f>_xlfn.IFNA(VLOOKUP(Table1[[#This Row],[Tên đối tượng]],'DANH MỤC ĐỐI TƯỢNG'!A:I,9,0),"")</f>
        <v/>
      </c>
      <c r="I1400" t="str">
        <f>_xlfn.IFNA(VLOOKUP(Table1[[#This Row],[Tên đối tượng]],'DANH MỤC ĐỐI TƯỢNG'!A:J,10,0),"")</f>
        <v/>
      </c>
    </row>
    <row r="1401" spans="1:9" x14ac:dyDescent="0.3">
      <c r="A1401" t="str">
        <f t="shared" si="48"/>
        <v/>
      </c>
      <c r="F1401" t="str">
        <f>IFERROR(VLOOKUP(Table1[[#This Row],[Tên đối tượng]],'DANH MỤC ĐỐI TƯỢNG'!A:E,5,0),"")</f>
        <v/>
      </c>
      <c r="G1401" t="str">
        <f>_xlfn.IFNA(VLOOKUP(Table1[[#This Row],[Tên đối tượng]],'DANH MỤC ĐỐI TƯỢNG'!A:F,6,0),"")</f>
        <v/>
      </c>
      <c r="H1401" t="str">
        <f>_xlfn.IFNA(VLOOKUP(Table1[[#This Row],[Tên đối tượng]],'DANH MỤC ĐỐI TƯỢNG'!A:I,9,0),"")</f>
        <v/>
      </c>
      <c r="I1401" t="str">
        <f>_xlfn.IFNA(VLOOKUP(Table1[[#This Row],[Tên đối tượng]],'DANH MỤC ĐỐI TƯỢNG'!A:J,10,0),"")</f>
        <v/>
      </c>
    </row>
    <row r="1402" spans="1:9" x14ac:dyDescent="0.3">
      <c r="A1402" t="str">
        <f t="shared" si="48"/>
        <v/>
      </c>
      <c r="F1402" t="str">
        <f>IFERROR(VLOOKUP(Table1[[#This Row],[Tên đối tượng]],'DANH MỤC ĐỐI TƯỢNG'!A:E,5,0),"")</f>
        <v/>
      </c>
      <c r="G1402" t="str">
        <f>_xlfn.IFNA(VLOOKUP(Table1[[#This Row],[Tên đối tượng]],'DANH MỤC ĐỐI TƯỢNG'!A:F,6,0),"")</f>
        <v/>
      </c>
      <c r="H1402" t="str">
        <f>_xlfn.IFNA(VLOOKUP(Table1[[#This Row],[Tên đối tượng]],'DANH MỤC ĐỐI TƯỢNG'!A:I,9,0),"")</f>
        <v/>
      </c>
      <c r="I1402" t="str">
        <f>_xlfn.IFNA(VLOOKUP(Table1[[#This Row],[Tên đối tượng]],'DANH MỤC ĐỐI TƯỢNG'!A:J,10,0),"")</f>
        <v/>
      </c>
    </row>
    <row r="1403" spans="1:9" x14ac:dyDescent="0.3">
      <c r="A1403" t="str">
        <f t="shared" si="48"/>
        <v/>
      </c>
      <c r="F1403" t="str">
        <f>IFERROR(VLOOKUP(Table1[[#This Row],[Tên đối tượng]],'DANH MỤC ĐỐI TƯỢNG'!A:E,5,0),"")</f>
        <v/>
      </c>
      <c r="G1403" t="str">
        <f>_xlfn.IFNA(VLOOKUP(Table1[[#This Row],[Tên đối tượng]],'DANH MỤC ĐỐI TƯỢNG'!A:F,6,0),"")</f>
        <v/>
      </c>
      <c r="H1403" t="str">
        <f>_xlfn.IFNA(VLOOKUP(Table1[[#This Row],[Tên đối tượng]],'DANH MỤC ĐỐI TƯỢNG'!A:I,9,0),"")</f>
        <v/>
      </c>
      <c r="I1403" t="str">
        <f>_xlfn.IFNA(VLOOKUP(Table1[[#This Row],[Tên đối tượng]],'DANH MỤC ĐỐI TƯỢNG'!A:J,10,0),"")</f>
        <v/>
      </c>
    </row>
    <row r="1404" spans="1:9" x14ac:dyDescent="0.3">
      <c r="A1404" t="str">
        <f t="shared" si="48"/>
        <v/>
      </c>
      <c r="F1404" t="str">
        <f>IFERROR(VLOOKUP(Table1[[#This Row],[Tên đối tượng]],'DANH MỤC ĐỐI TƯỢNG'!A:E,5,0),"")</f>
        <v/>
      </c>
      <c r="G1404" t="str">
        <f>_xlfn.IFNA(VLOOKUP(Table1[[#This Row],[Tên đối tượng]],'DANH MỤC ĐỐI TƯỢNG'!A:F,6,0),"")</f>
        <v/>
      </c>
      <c r="H1404" t="str">
        <f>_xlfn.IFNA(VLOOKUP(Table1[[#This Row],[Tên đối tượng]],'DANH MỤC ĐỐI TƯỢNG'!A:I,9,0),"")</f>
        <v/>
      </c>
      <c r="I1404" t="str">
        <f>_xlfn.IFNA(VLOOKUP(Table1[[#This Row],[Tên đối tượng]],'DANH MỤC ĐỐI TƯỢNG'!A:J,10,0),"")</f>
        <v/>
      </c>
    </row>
    <row r="1405" spans="1:9" x14ac:dyDescent="0.3">
      <c r="A1405" t="str">
        <f t="shared" si="48"/>
        <v/>
      </c>
      <c r="F1405" t="str">
        <f>IFERROR(VLOOKUP(Table1[[#This Row],[Tên đối tượng]],'DANH MỤC ĐỐI TƯỢNG'!A:E,5,0),"")</f>
        <v/>
      </c>
      <c r="G1405" t="str">
        <f>_xlfn.IFNA(VLOOKUP(Table1[[#This Row],[Tên đối tượng]],'DANH MỤC ĐỐI TƯỢNG'!A:F,6,0),"")</f>
        <v/>
      </c>
      <c r="H1405" t="str">
        <f>_xlfn.IFNA(VLOOKUP(Table1[[#This Row],[Tên đối tượng]],'DANH MỤC ĐỐI TƯỢNG'!A:I,9,0),"")</f>
        <v/>
      </c>
      <c r="I1405" t="str">
        <f>_xlfn.IFNA(VLOOKUP(Table1[[#This Row],[Tên đối tượng]],'DANH MỤC ĐỐI TƯỢNG'!A:J,10,0),"")</f>
        <v/>
      </c>
    </row>
    <row r="1406" spans="1:9" x14ac:dyDescent="0.3">
      <c r="A1406" t="str">
        <f t="shared" si="48"/>
        <v/>
      </c>
      <c r="F1406" t="str">
        <f>IFERROR(VLOOKUP(Table1[[#This Row],[Tên đối tượng]],'DANH MỤC ĐỐI TƯỢNG'!A:E,5,0),"")</f>
        <v/>
      </c>
      <c r="G1406" t="str">
        <f>_xlfn.IFNA(VLOOKUP(Table1[[#This Row],[Tên đối tượng]],'DANH MỤC ĐỐI TƯỢNG'!A:F,6,0),"")</f>
        <v/>
      </c>
      <c r="H1406" t="str">
        <f>_xlfn.IFNA(VLOOKUP(Table1[[#This Row],[Tên đối tượng]],'DANH MỤC ĐỐI TƯỢNG'!A:I,9,0),"")</f>
        <v/>
      </c>
      <c r="I1406" t="str">
        <f>_xlfn.IFNA(VLOOKUP(Table1[[#This Row],[Tên đối tượng]],'DANH MỤC ĐỐI TƯỢNG'!A:J,10,0),"")</f>
        <v/>
      </c>
    </row>
    <row r="1407" spans="1:9" x14ac:dyDescent="0.3">
      <c r="A1407" t="str">
        <f t="shared" si="48"/>
        <v/>
      </c>
      <c r="F1407" t="str">
        <f>IFERROR(VLOOKUP(Table1[[#This Row],[Tên đối tượng]],'DANH MỤC ĐỐI TƯỢNG'!A:E,5,0),"")</f>
        <v/>
      </c>
      <c r="G1407" t="str">
        <f>_xlfn.IFNA(VLOOKUP(Table1[[#This Row],[Tên đối tượng]],'DANH MỤC ĐỐI TƯỢNG'!A:F,6,0),"")</f>
        <v/>
      </c>
      <c r="H1407" t="str">
        <f>_xlfn.IFNA(VLOOKUP(Table1[[#This Row],[Tên đối tượng]],'DANH MỤC ĐỐI TƯỢNG'!A:I,9,0),"")</f>
        <v/>
      </c>
      <c r="I1407" t="str">
        <f>_xlfn.IFNA(VLOOKUP(Table1[[#This Row],[Tên đối tượng]],'DANH MỤC ĐỐI TƯỢNG'!A:J,10,0),"")</f>
        <v/>
      </c>
    </row>
    <row r="1408" spans="1:9" x14ac:dyDescent="0.3">
      <c r="A1408" t="str">
        <f t="shared" ref="A1408:A1471" si="49">IF(B1408&lt;&gt;0,ROW()-3,"")</f>
        <v/>
      </c>
      <c r="F1408" t="str">
        <f>IFERROR(VLOOKUP(Table1[[#This Row],[Tên đối tượng]],'DANH MỤC ĐỐI TƯỢNG'!A:E,5,0),"")</f>
        <v/>
      </c>
      <c r="G1408" t="str">
        <f>_xlfn.IFNA(VLOOKUP(Table1[[#This Row],[Tên đối tượng]],'DANH MỤC ĐỐI TƯỢNG'!A:F,6,0),"")</f>
        <v/>
      </c>
      <c r="H1408" t="str">
        <f>_xlfn.IFNA(VLOOKUP(Table1[[#This Row],[Tên đối tượng]],'DANH MỤC ĐỐI TƯỢNG'!A:I,9,0),"")</f>
        <v/>
      </c>
      <c r="I1408" t="str">
        <f>_xlfn.IFNA(VLOOKUP(Table1[[#This Row],[Tên đối tượng]],'DANH MỤC ĐỐI TƯỢNG'!A:J,10,0),"")</f>
        <v/>
      </c>
    </row>
    <row r="1409" spans="1:9" x14ac:dyDescent="0.3">
      <c r="A1409" t="str">
        <f t="shared" si="49"/>
        <v/>
      </c>
      <c r="F1409" t="str">
        <f>IFERROR(VLOOKUP(Table1[[#This Row],[Tên đối tượng]],'DANH MỤC ĐỐI TƯỢNG'!A:E,5,0),"")</f>
        <v/>
      </c>
      <c r="G1409" t="str">
        <f>_xlfn.IFNA(VLOOKUP(Table1[[#This Row],[Tên đối tượng]],'DANH MỤC ĐỐI TƯỢNG'!A:F,6,0),"")</f>
        <v/>
      </c>
      <c r="H1409" t="str">
        <f>_xlfn.IFNA(VLOOKUP(Table1[[#This Row],[Tên đối tượng]],'DANH MỤC ĐỐI TƯỢNG'!A:I,9,0),"")</f>
        <v/>
      </c>
      <c r="I1409" t="str">
        <f>_xlfn.IFNA(VLOOKUP(Table1[[#This Row],[Tên đối tượng]],'DANH MỤC ĐỐI TƯỢNG'!A:J,10,0),"")</f>
        <v/>
      </c>
    </row>
    <row r="1410" spans="1:9" x14ac:dyDescent="0.3">
      <c r="A1410" t="str">
        <f t="shared" si="49"/>
        <v/>
      </c>
      <c r="F1410" t="str">
        <f>IFERROR(VLOOKUP(Table1[[#This Row],[Tên đối tượng]],'DANH MỤC ĐỐI TƯỢNG'!A:E,5,0),"")</f>
        <v/>
      </c>
      <c r="G1410" t="str">
        <f>_xlfn.IFNA(VLOOKUP(Table1[[#This Row],[Tên đối tượng]],'DANH MỤC ĐỐI TƯỢNG'!A:F,6,0),"")</f>
        <v/>
      </c>
      <c r="H1410" t="str">
        <f>_xlfn.IFNA(VLOOKUP(Table1[[#This Row],[Tên đối tượng]],'DANH MỤC ĐỐI TƯỢNG'!A:I,9,0),"")</f>
        <v/>
      </c>
      <c r="I1410" t="str">
        <f>_xlfn.IFNA(VLOOKUP(Table1[[#This Row],[Tên đối tượng]],'DANH MỤC ĐỐI TƯỢNG'!A:J,10,0),"")</f>
        <v/>
      </c>
    </row>
    <row r="1411" spans="1:9" x14ac:dyDescent="0.3">
      <c r="A1411" t="str">
        <f t="shared" si="49"/>
        <v/>
      </c>
      <c r="F1411" t="str">
        <f>IFERROR(VLOOKUP(Table1[[#This Row],[Tên đối tượng]],'DANH MỤC ĐỐI TƯỢNG'!A:E,5,0),"")</f>
        <v/>
      </c>
      <c r="G1411" t="str">
        <f>_xlfn.IFNA(VLOOKUP(Table1[[#This Row],[Tên đối tượng]],'DANH MỤC ĐỐI TƯỢNG'!A:F,6,0),"")</f>
        <v/>
      </c>
      <c r="H1411" t="str">
        <f>_xlfn.IFNA(VLOOKUP(Table1[[#This Row],[Tên đối tượng]],'DANH MỤC ĐỐI TƯỢNG'!A:I,9,0),"")</f>
        <v/>
      </c>
      <c r="I1411" t="str">
        <f>_xlfn.IFNA(VLOOKUP(Table1[[#This Row],[Tên đối tượng]],'DANH MỤC ĐỐI TƯỢNG'!A:J,10,0),"")</f>
        <v/>
      </c>
    </row>
    <row r="1412" spans="1:9" x14ac:dyDescent="0.3">
      <c r="A1412" t="str">
        <f t="shared" si="49"/>
        <v/>
      </c>
      <c r="F1412" t="str">
        <f>IFERROR(VLOOKUP(Table1[[#This Row],[Tên đối tượng]],'DANH MỤC ĐỐI TƯỢNG'!A:E,5,0),"")</f>
        <v/>
      </c>
      <c r="G1412" t="str">
        <f>_xlfn.IFNA(VLOOKUP(Table1[[#This Row],[Tên đối tượng]],'DANH MỤC ĐỐI TƯỢNG'!A:F,6,0),"")</f>
        <v/>
      </c>
      <c r="H1412" t="str">
        <f>_xlfn.IFNA(VLOOKUP(Table1[[#This Row],[Tên đối tượng]],'DANH MỤC ĐỐI TƯỢNG'!A:I,9,0),"")</f>
        <v/>
      </c>
      <c r="I1412" t="str">
        <f>_xlfn.IFNA(VLOOKUP(Table1[[#This Row],[Tên đối tượng]],'DANH MỤC ĐỐI TƯỢNG'!A:J,10,0),"")</f>
        <v/>
      </c>
    </row>
    <row r="1413" spans="1:9" x14ac:dyDescent="0.3">
      <c r="A1413" t="str">
        <f t="shared" si="49"/>
        <v/>
      </c>
      <c r="F1413" t="str">
        <f>IFERROR(VLOOKUP(Table1[[#This Row],[Tên đối tượng]],'DANH MỤC ĐỐI TƯỢNG'!A:E,5,0),"")</f>
        <v/>
      </c>
      <c r="G1413" t="str">
        <f>_xlfn.IFNA(VLOOKUP(Table1[[#This Row],[Tên đối tượng]],'DANH MỤC ĐỐI TƯỢNG'!A:F,6,0),"")</f>
        <v/>
      </c>
      <c r="H1413" t="str">
        <f>_xlfn.IFNA(VLOOKUP(Table1[[#This Row],[Tên đối tượng]],'DANH MỤC ĐỐI TƯỢNG'!A:I,9,0),"")</f>
        <v/>
      </c>
      <c r="I1413" t="str">
        <f>_xlfn.IFNA(VLOOKUP(Table1[[#This Row],[Tên đối tượng]],'DANH MỤC ĐỐI TƯỢNG'!A:J,10,0),"")</f>
        <v/>
      </c>
    </row>
    <row r="1414" spans="1:9" x14ac:dyDescent="0.3">
      <c r="A1414" t="str">
        <f t="shared" si="49"/>
        <v/>
      </c>
      <c r="F1414" t="str">
        <f>IFERROR(VLOOKUP(Table1[[#This Row],[Tên đối tượng]],'DANH MỤC ĐỐI TƯỢNG'!A:E,5,0),"")</f>
        <v/>
      </c>
      <c r="G1414" t="str">
        <f>_xlfn.IFNA(VLOOKUP(Table1[[#This Row],[Tên đối tượng]],'DANH MỤC ĐỐI TƯỢNG'!A:F,6,0),"")</f>
        <v/>
      </c>
      <c r="H1414" t="str">
        <f>_xlfn.IFNA(VLOOKUP(Table1[[#This Row],[Tên đối tượng]],'DANH MỤC ĐỐI TƯỢNG'!A:I,9,0),"")</f>
        <v/>
      </c>
      <c r="I1414" t="str">
        <f>_xlfn.IFNA(VLOOKUP(Table1[[#This Row],[Tên đối tượng]],'DANH MỤC ĐỐI TƯỢNG'!A:J,10,0),"")</f>
        <v/>
      </c>
    </row>
    <row r="1415" spans="1:9" x14ac:dyDescent="0.3">
      <c r="A1415" t="str">
        <f t="shared" si="49"/>
        <v/>
      </c>
      <c r="F1415" t="str">
        <f>IFERROR(VLOOKUP(Table1[[#This Row],[Tên đối tượng]],'DANH MỤC ĐỐI TƯỢNG'!A:E,5,0),"")</f>
        <v/>
      </c>
      <c r="G1415" t="str">
        <f>_xlfn.IFNA(VLOOKUP(Table1[[#This Row],[Tên đối tượng]],'DANH MỤC ĐỐI TƯỢNG'!A:F,6,0),"")</f>
        <v/>
      </c>
      <c r="H1415" t="str">
        <f>_xlfn.IFNA(VLOOKUP(Table1[[#This Row],[Tên đối tượng]],'DANH MỤC ĐỐI TƯỢNG'!A:I,9,0),"")</f>
        <v/>
      </c>
      <c r="I1415" t="str">
        <f>_xlfn.IFNA(VLOOKUP(Table1[[#This Row],[Tên đối tượng]],'DANH MỤC ĐỐI TƯỢNG'!A:J,10,0),"")</f>
        <v/>
      </c>
    </row>
    <row r="1416" spans="1:9" x14ac:dyDescent="0.3">
      <c r="A1416" t="str">
        <f t="shared" si="49"/>
        <v/>
      </c>
      <c r="F1416" t="str">
        <f>IFERROR(VLOOKUP(Table1[[#This Row],[Tên đối tượng]],'DANH MỤC ĐỐI TƯỢNG'!A:E,5,0),"")</f>
        <v/>
      </c>
      <c r="G1416" t="str">
        <f>_xlfn.IFNA(VLOOKUP(Table1[[#This Row],[Tên đối tượng]],'DANH MỤC ĐỐI TƯỢNG'!A:F,6,0),"")</f>
        <v/>
      </c>
      <c r="H1416" t="str">
        <f>_xlfn.IFNA(VLOOKUP(Table1[[#This Row],[Tên đối tượng]],'DANH MỤC ĐỐI TƯỢNG'!A:I,9,0),"")</f>
        <v/>
      </c>
      <c r="I1416" t="str">
        <f>_xlfn.IFNA(VLOOKUP(Table1[[#This Row],[Tên đối tượng]],'DANH MỤC ĐỐI TƯỢNG'!A:J,10,0),"")</f>
        <v/>
      </c>
    </row>
    <row r="1417" spans="1:9" x14ac:dyDescent="0.3">
      <c r="A1417" t="str">
        <f t="shared" si="49"/>
        <v/>
      </c>
      <c r="F1417" t="str">
        <f>IFERROR(VLOOKUP(Table1[[#This Row],[Tên đối tượng]],'DANH MỤC ĐỐI TƯỢNG'!A:E,5,0),"")</f>
        <v/>
      </c>
      <c r="G1417" t="str">
        <f>_xlfn.IFNA(VLOOKUP(Table1[[#This Row],[Tên đối tượng]],'DANH MỤC ĐỐI TƯỢNG'!A:F,6,0),"")</f>
        <v/>
      </c>
      <c r="H1417" t="str">
        <f>_xlfn.IFNA(VLOOKUP(Table1[[#This Row],[Tên đối tượng]],'DANH MỤC ĐỐI TƯỢNG'!A:I,9,0),"")</f>
        <v/>
      </c>
      <c r="I1417" t="str">
        <f>_xlfn.IFNA(VLOOKUP(Table1[[#This Row],[Tên đối tượng]],'DANH MỤC ĐỐI TƯỢNG'!A:J,10,0),"")</f>
        <v/>
      </c>
    </row>
    <row r="1418" spans="1:9" x14ac:dyDescent="0.3">
      <c r="A1418" t="str">
        <f t="shared" si="49"/>
        <v/>
      </c>
      <c r="F1418" t="str">
        <f>IFERROR(VLOOKUP(Table1[[#This Row],[Tên đối tượng]],'DANH MỤC ĐỐI TƯỢNG'!A:E,5,0),"")</f>
        <v/>
      </c>
      <c r="G1418" t="str">
        <f>_xlfn.IFNA(VLOOKUP(Table1[[#This Row],[Tên đối tượng]],'DANH MỤC ĐỐI TƯỢNG'!A:F,6,0),"")</f>
        <v/>
      </c>
      <c r="H1418" t="str">
        <f>_xlfn.IFNA(VLOOKUP(Table1[[#This Row],[Tên đối tượng]],'DANH MỤC ĐỐI TƯỢNG'!A:I,9,0),"")</f>
        <v/>
      </c>
      <c r="I1418" t="str">
        <f>_xlfn.IFNA(VLOOKUP(Table1[[#This Row],[Tên đối tượng]],'DANH MỤC ĐỐI TƯỢNG'!A:J,10,0),"")</f>
        <v/>
      </c>
    </row>
    <row r="1419" spans="1:9" x14ac:dyDescent="0.3">
      <c r="A1419" t="str">
        <f t="shared" si="49"/>
        <v/>
      </c>
      <c r="F1419" t="str">
        <f>IFERROR(VLOOKUP(Table1[[#This Row],[Tên đối tượng]],'DANH MỤC ĐỐI TƯỢNG'!A:E,5,0),"")</f>
        <v/>
      </c>
      <c r="G1419" t="str">
        <f>_xlfn.IFNA(VLOOKUP(Table1[[#This Row],[Tên đối tượng]],'DANH MỤC ĐỐI TƯỢNG'!A:F,6,0),"")</f>
        <v/>
      </c>
      <c r="H1419" t="str">
        <f>_xlfn.IFNA(VLOOKUP(Table1[[#This Row],[Tên đối tượng]],'DANH MỤC ĐỐI TƯỢNG'!A:I,9,0),"")</f>
        <v/>
      </c>
      <c r="I1419" t="str">
        <f>_xlfn.IFNA(VLOOKUP(Table1[[#This Row],[Tên đối tượng]],'DANH MỤC ĐỐI TƯỢNG'!A:J,10,0),"")</f>
        <v/>
      </c>
    </row>
    <row r="1420" spans="1:9" x14ac:dyDescent="0.3">
      <c r="A1420" t="str">
        <f t="shared" si="49"/>
        <v/>
      </c>
      <c r="F1420" t="str">
        <f>IFERROR(VLOOKUP(Table1[[#This Row],[Tên đối tượng]],'DANH MỤC ĐỐI TƯỢNG'!A:E,5,0),"")</f>
        <v/>
      </c>
      <c r="G1420" t="str">
        <f>_xlfn.IFNA(VLOOKUP(Table1[[#This Row],[Tên đối tượng]],'DANH MỤC ĐỐI TƯỢNG'!A:F,6,0),"")</f>
        <v/>
      </c>
      <c r="H1420" t="str">
        <f>_xlfn.IFNA(VLOOKUP(Table1[[#This Row],[Tên đối tượng]],'DANH MỤC ĐỐI TƯỢNG'!A:I,9,0),"")</f>
        <v/>
      </c>
      <c r="I1420" t="str">
        <f>_xlfn.IFNA(VLOOKUP(Table1[[#This Row],[Tên đối tượng]],'DANH MỤC ĐỐI TƯỢNG'!A:J,10,0),"")</f>
        <v/>
      </c>
    </row>
    <row r="1421" spans="1:9" x14ac:dyDescent="0.3">
      <c r="A1421" t="str">
        <f t="shared" si="49"/>
        <v/>
      </c>
      <c r="F1421" t="str">
        <f>IFERROR(VLOOKUP(Table1[[#This Row],[Tên đối tượng]],'DANH MỤC ĐỐI TƯỢNG'!A:E,5,0),"")</f>
        <v/>
      </c>
      <c r="G1421" t="str">
        <f>_xlfn.IFNA(VLOOKUP(Table1[[#This Row],[Tên đối tượng]],'DANH MỤC ĐỐI TƯỢNG'!A:F,6,0),"")</f>
        <v/>
      </c>
      <c r="H1421" t="str">
        <f>_xlfn.IFNA(VLOOKUP(Table1[[#This Row],[Tên đối tượng]],'DANH MỤC ĐỐI TƯỢNG'!A:I,9,0),"")</f>
        <v/>
      </c>
      <c r="I1421" t="str">
        <f>_xlfn.IFNA(VLOOKUP(Table1[[#This Row],[Tên đối tượng]],'DANH MỤC ĐỐI TƯỢNG'!A:J,10,0),"")</f>
        <v/>
      </c>
    </row>
    <row r="1422" spans="1:9" x14ac:dyDescent="0.3">
      <c r="A1422" t="str">
        <f t="shared" si="49"/>
        <v/>
      </c>
      <c r="F1422" t="str">
        <f>IFERROR(VLOOKUP(Table1[[#This Row],[Tên đối tượng]],'DANH MỤC ĐỐI TƯỢNG'!A:E,5,0),"")</f>
        <v/>
      </c>
      <c r="G1422" t="str">
        <f>_xlfn.IFNA(VLOOKUP(Table1[[#This Row],[Tên đối tượng]],'DANH MỤC ĐỐI TƯỢNG'!A:F,6,0),"")</f>
        <v/>
      </c>
      <c r="H1422" t="str">
        <f>_xlfn.IFNA(VLOOKUP(Table1[[#This Row],[Tên đối tượng]],'DANH MỤC ĐỐI TƯỢNG'!A:I,9,0),"")</f>
        <v/>
      </c>
      <c r="I1422" t="str">
        <f>_xlfn.IFNA(VLOOKUP(Table1[[#This Row],[Tên đối tượng]],'DANH MỤC ĐỐI TƯỢNG'!A:J,10,0),"")</f>
        <v/>
      </c>
    </row>
    <row r="1423" spans="1:9" x14ac:dyDescent="0.3">
      <c r="A1423" t="str">
        <f t="shared" si="49"/>
        <v/>
      </c>
      <c r="F1423" t="str">
        <f>IFERROR(VLOOKUP(Table1[[#This Row],[Tên đối tượng]],'DANH MỤC ĐỐI TƯỢNG'!A:E,5,0),"")</f>
        <v/>
      </c>
      <c r="G1423" t="str">
        <f>_xlfn.IFNA(VLOOKUP(Table1[[#This Row],[Tên đối tượng]],'DANH MỤC ĐỐI TƯỢNG'!A:F,6,0),"")</f>
        <v/>
      </c>
      <c r="H1423" t="str">
        <f>_xlfn.IFNA(VLOOKUP(Table1[[#This Row],[Tên đối tượng]],'DANH MỤC ĐỐI TƯỢNG'!A:I,9,0),"")</f>
        <v/>
      </c>
      <c r="I1423" t="str">
        <f>_xlfn.IFNA(VLOOKUP(Table1[[#This Row],[Tên đối tượng]],'DANH MỤC ĐỐI TƯỢNG'!A:J,10,0),"")</f>
        <v/>
      </c>
    </row>
    <row r="1424" spans="1:9" x14ac:dyDescent="0.3">
      <c r="A1424" t="str">
        <f t="shared" si="49"/>
        <v/>
      </c>
      <c r="F1424" t="str">
        <f>IFERROR(VLOOKUP(Table1[[#This Row],[Tên đối tượng]],'DANH MỤC ĐỐI TƯỢNG'!A:E,5,0),"")</f>
        <v/>
      </c>
      <c r="G1424" t="str">
        <f>_xlfn.IFNA(VLOOKUP(Table1[[#This Row],[Tên đối tượng]],'DANH MỤC ĐỐI TƯỢNG'!A:F,6,0),"")</f>
        <v/>
      </c>
      <c r="H1424" t="str">
        <f>_xlfn.IFNA(VLOOKUP(Table1[[#This Row],[Tên đối tượng]],'DANH MỤC ĐỐI TƯỢNG'!A:I,9,0),"")</f>
        <v/>
      </c>
      <c r="I1424" t="str">
        <f>_xlfn.IFNA(VLOOKUP(Table1[[#This Row],[Tên đối tượng]],'DANH MỤC ĐỐI TƯỢNG'!A:J,10,0),"")</f>
        <v/>
      </c>
    </row>
    <row r="1425" spans="1:9" x14ac:dyDescent="0.3">
      <c r="A1425" t="str">
        <f t="shared" si="49"/>
        <v/>
      </c>
      <c r="F1425" t="str">
        <f>IFERROR(VLOOKUP(Table1[[#This Row],[Tên đối tượng]],'DANH MỤC ĐỐI TƯỢNG'!A:E,5,0),"")</f>
        <v/>
      </c>
      <c r="G1425" t="str">
        <f>_xlfn.IFNA(VLOOKUP(Table1[[#This Row],[Tên đối tượng]],'DANH MỤC ĐỐI TƯỢNG'!A:F,6,0),"")</f>
        <v/>
      </c>
      <c r="H1425" t="str">
        <f>_xlfn.IFNA(VLOOKUP(Table1[[#This Row],[Tên đối tượng]],'DANH MỤC ĐỐI TƯỢNG'!A:I,9,0),"")</f>
        <v/>
      </c>
      <c r="I1425" t="str">
        <f>_xlfn.IFNA(VLOOKUP(Table1[[#This Row],[Tên đối tượng]],'DANH MỤC ĐỐI TƯỢNG'!A:J,10,0),"")</f>
        <v/>
      </c>
    </row>
    <row r="1426" spans="1:9" x14ac:dyDescent="0.3">
      <c r="A1426" t="str">
        <f t="shared" si="49"/>
        <v/>
      </c>
      <c r="F1426" t="str">
        <f>IFERROR(VLOOKUP(Table1[[#This Row],[Tên đối tượng]],'DANH MỤC ĐỐI TƯỢNG'!A:E,5,0),"")</f>
        <v/>
      </c>
      <c r="G1426" t="str">
        <f>_xlfn.IFNA(VLOOKUP(Table1[[#This Row],[Tên đối tượng]],'DANH MỤC ĐỐI TƯỢNG'!A:F,6,0),"")</f>
        <v/>
      </c>
      <c r="H1426" t="str">
        <f>_xlfn.IFNA(VLOOKUP(Table1[[#This Row],[Tên đối tượng]],'DANH MỤC ĐỐI TƯỢNG'!A:I,9,0),"")</f>
        <v/>
      </c>
      <c r="I1426" t="str">
        <f>_xlfn.IFNA(VLOOKUP(Table1[[#This Row],[Tên đối tượng]],'DANH MỤC ĐỐI TƯỢNG'!A:J,10,0),"")</f>
        <v/>
      </c>
    </row>
    <row r="1427" spans="1:9" x14ac:dyDescent="0.3">
      <c r="A1427" t="str">
        <f t="shared" si="49"/>
        <v/>
      </c>
      <c r="F1427" t="str">
        <f>IFERROR(VLOOKUP(Table1[[#This Row],[Tên đối tượng]],'DANH MỤC ĐỐI TƯỢNG'!A:E,5,0),"")</f>
        <v/>
      </c>
      <c r="G1427" t="str">
        <f>_xlfn.IFNA(VLOOKUP(Table1[[#This Row],[Tên đối tượng]],'DANH MỤC ĐỐI TƯỢNG'!A:F,6,0),"")</f>
        <v/>
      </c>
      <c r="H1427" t="str">
        <f>_xlfn.IFNA(VLOOKUP(Table1[[#This Row],[Tên đối tượng]],'DANH MỤC ĐỐI TƯỢNG'!A:I,9,0),"")</f>
        <v/>
      </c>
      <c r="I1427" t="str">
        <f>_xlfn.IFNA(VLOOKUP(Table1[[#This Row],[Tên đối tượng]],'DANH MỤC ĐỐI TƯỢNG'!A:J,10,0),"")</f>
        <v/>
      </c>
    </row>
    <row r="1428" spans="1:9" x14ac:dyDescent="0.3">
      <c r="A1428" t="str">
        <f t="shared" si="49"/>
        <v/>
      </c>
      <c r="F1428" t="str">
        <f>IFERROR(VLOOKUP(Table1[[#This Row],[Tên đối tượng]],'DANH MỤC ĐỐI TƯỢNG'!A:E,5,0),"")</f>
        <v/>
      </c>
      <c r="G1428" t="str">
        <f>_xlfn.IFNA(VLOOKUP(Table1[[#This Row],[Tên đối tượng]],'DANH MỤC ĐỐI TƯỢNG'!A:F,6,0),"")</f>
        <v/>
      </c>
      <c r="H1428" t="str">
        <f>_xlfn.IFNA(VLOOKUP(Table1[[#This Row],[Tên đối tượng]],'DANH MỤC ĐỐI TƯỢNG'!A:I,9,0),"")</f>
        <v/>
      </c>
      <c r="I1428" t="str">
        <f>_xlfn.IFNA(VLOOKUP(Table1[[#This Row],[Tên đối tượng]],'DANH MỤC ĐỐI TƯỢNG'!A:J,10,0),"")</f>
        <v/>
      </c>
    </row>
    <row r="1429" spans="1:9" x14ac:dyDescent="0.3">
      <c r="A1429" t="str">
        <f t="shared" si="49"/>
        <v/>
      </c>
      <c r="F1429" t="str">
        <f>IFERROR(VLOOKUP(Table1[[#This Row],[Tên đối tượng]],'DANH MỤC ĐỐI TƯỢNG'!A:E,5,0),"")</f>
        <v/>
      </c>
      <c r="G1429" t="str">
        <f>_xlfn.IFNA(VLOOKUP(Table1[[#This Row],[Tên đối tượng]],'DANH MỤC ĐỐI TƯỢNG'!A:F,6,0),"")</f>
        <v/>
      </c>
      <c r="H1429" t="str">
        <f>_xlfn.IFNA(VLOOKUP(Table1[[#This Row],[Tên đối tượng]],'DANH MỤC ĐỐI TƯỢNG'!A:I,9,0),"")</f>
        <v/>
      </c>
      <c r="I1429" t="str">
        <f>_xlfn.IFNA(VLOOKUP(Table1[[#This Row],[Tên đối tượng]],'DANH MỤC ĐỐI TƯỢNG'!A:J,10,0),"")</f>
        <v/>
      </c>
    </row>
    <row r="1430" spans="1:9" x14ac:dyDescent="0.3">
      <c r="A1430" t="str">
        <f t="shared" si="49"/>
        <v/>
      </c>
      <c r="F1430" t="str">
        <f>IFERROR(VLOOKUP(Table1[[#This Row],[Tên đối tượng]],'DANH MỤC ĐỐI TƯỢNG'!A:E,5,0),"")</f>
        <v/>
      </c>
      <c r="G1430" t="str">
        <f>_xlfn.IFNA(VLOOKUP(Table1[[#This Row],[Tên đối tượng]],'DANH MỤC ĐỐI TƯỢNG'!A:F,6,0),"")</f>
        <v/>
      </c>
      <c r="H1430" t="str">
        <f>_xlfn.IFNA(VLOOKUP(Table1[[#This Row],[Tên đối tượng]],'DANH MỤC ĐỐI TƯỢNG'!A:I,9,0),"")</f>
        <v/>
      </c>
      <c r="I1430" t="str">
        <f>_xlfn.IFNA(VLOOKUP(Table1[[#This Row],[Tên đối tượng]],'DANH MỤC ĐỐI TƯỢNG'!A:J,10,0),"")</f>
        <v/>
      </c>
    </row>
    <row r="1431" spans="1:9" x14ac:dyDescent="0.3">
      <c r="A1431" t="str">
        <f t="shared" si="49"/>
        <v/>
      </c>
      <c r="F1431" t="str">
        <f>IFERROR(VLOOKUP(Table1[[#This Row],[Tên đối tượng]],'DANH MỤC ĐỐI TƯỢNG'!A:E,5,0),"")</f>
        <v/>
      </c>
      <c r="G1431" t="str">
        <f>_xlfn.IFNA(VLOOKUP(Table1[[#This Row],[Tên đối tượng]],'DANH MỤC ĐỐI TƯỢNG'!A:F,6,0),"")</f>
        <v/>
      </c>
      <c r="H1431" t="str">
        <f>_xlfn.IFNA(VLOOKUP(Table1[[#This Row],[Tên đối tượng]],'DANH MỤC ĐỐI TƯỢNG'!A:I,9,0),"")</f>
        <v/>
      </c>
      <c r="I1431" t="str">
        <f>_xlfn.IFNA(VLOOKUP(Table1[[#This Row],[Tên đối tượng]],'DANH MỤC ĐỐI TƯỢNG'!A:J,10,0),"")</f>
        <v/>
      </c>
    </row>
    <row r="1432" spans="1:9" x14ac:dyDescent="0.3">
      <c r="A1432" t="str">
        <f t="shared" si="49"/>
        <v/>
      </c>
      <c r="F1432" t="str">
        <f>IFERROR(VLOOKUP(Table1[[#This Row],[Tên đối tượng]],'DANH MỤC ĐỐI TƯỢNG'!A:E,5,0),"")</f>
        <v/>
      </c>
      <c r="G1432" t="str">
        <f>_xlfn.IFNA(VLOOKUP(Table1[[#This Row],[Tên đối tượng]],'DANH MỤC ĐỐI TƯỢNG'!A:F,6,0),"")</f>
        <v/>
      </c>
      <c r="H1432" t="str">
        <f>_xlfn.IFNA(VLOOKUP(Table1[[#This Row],[Tên đối tượng]],'DANH MỤC ĐỐI TƯỢNG'!A:I,9,0),"")</f>
        <v/>
      </c>
      <c r="I1432" t="str">
        <f>_xlfn.IFNA(VLOOKUP(Table1[[#This Row],[Tên đối tượng]],'DANH MỤC ĐỐI TƯỢNG'!A:J,10,0),"")</f>
        <v/>
      </c>
    </row>
    <row r="1433" spans="1:9" x14ac:dyDescent="0.3">
      <c r="A1433" t="str">
        <f t="shared" si="49"/>
        <v/>
      </c>
      <c r="F1433" t="str">
        <f>IFERROR(VLOOKUP(Table1[[#This Row],[Tên đối tượng]],'DANH MỤC ĐỐI TƯỢNG'!A:E,5,0),"")</f>
        <v/>
      </c>
      <c r="G1433" t="str">
        <f>_xlfn.IFNA(VLOOKUP(Table1[[#This Row],[Tên đối tượng]],'DANH MỤC ĐỐI TƯỢNG'!A:F,6,0),"")</f>
        <v/>
      </c>
      <c r="H1433" t="str">
        <f>_xlfn.IFNA(VLOOKUP(Table1[[#This Row],[Tên đối tượng]],'DANH MỤC ĐỐI TƯỢNG'!A:I,9,0),"")</f>
        <v/>
      </c>
      <c r="I1433" t="str">
        <f>_xlfn.IFNA(VLOOKUP(Table1[[#This Row],[Tên đối tượng]],'DANH MỤC ĐỐI TƯỢNG'!A:J,10,0),"")</f>
        <v/>
      </c>
    </row>
    <row r="1434" spans="1:9" x14ac:dyDescent="0.3">
      <c r="A1434" t="str">
        <f t="shared" si="49"/>
        <v/>
      </c>
      <c r="F1434" t="str">
        <f>IFERROR(VLOOKUP(Table1[[#This Row],[Tên đối tượng]],'DANH MỤC ĐỐI TƯỢNG'!A:E,5,0),"")</f>
        <v/>
      </c>
      <c r="G1434" t="str">
        <f>_xlfn.IFNA(VLOOKUP(Table1[[#This Row],[Tên đối tượng]],'DANH MỤC ĐỐI TƯỢNG'!A:F,6,0),"")</f>
        <v/>
      </c>
      <c r="H1434" t="str">
        <f>_xlfn.IFNA(VLOOKUP(Table1[[#This Row],[Tên đối tượng]],'DANH MỤC ĐỐI TƯỢNG'!A:I,9,0),"")</f>
        <v/>
      </c>
      <c r="I1434" t="str">
        <f>_xlfn.IFNA(VLOOKUP(Table1[[#This Row],[Tên đối tượng]],'DANH MỤC ĐỐI TƯỢNG'!A:J,10,0),"")</f>
        <v/>
      </c>
    </row>
    <row r="1435" spans="1:9" x14ac:dyDescent="0.3">
      <c r="A1435" t="str">
        <f t="shared" si="49"/>
        <v/>
      </c>
      <c r="F1435" t="str">
        <f>IFERROR(VLOOKUP(Table1[[#This Row],[Tên đối tượng]],'DANH MỤC ĐỐI TƯỢNG'!A:E,5,0),"")</f>
        <v/>
      </c>
      <c r="G1435" t="str">
        <f>_xlfn.IFNA(VLOOKUP(Table1[[#This Row],[Tên đối tượng]],'DANH MỤC ĐỐI TƯỢNG'!A:F,6,0),"")</f>
        <v/>
      </c>
      <c r="H1435" t="str">
        <f>_xlfn.IFNA(VLOOKUP(Table1[[#This Row],[Tên đối tượng]],'DANH MỤC ĐỐI TƯỢNG'!A:I,9,0),"")</f>
        <v/>
      </c>
      <c r="I1435" t="str">
        <f>_xlfn.IFNA(VLOOKUP(Table1[[#This Row],[Tên đối tượng]],'DANH MỤC ĐỐI TƯỢNG'!A:J,10,0),"")</f>
        <v/>
      </c>
    </row>
    <row r="1436" spans="1:9" x14ac:dyDescent="0.3">
      <c r="A1436" t="str">
        <f t="shared" si="49"/>
        <v/>
      </c>
      <c r="F1436" t="str">
        <f>IFERROR(VLOOKUP(Table1[[#This Row],[Tên đối tượng]],'DANH MỤC ĐỐI TƯỢNG'!A:E,5,0),"")</f>
        <v/>
      </c>
      <c r="G1436" t="str">
        <f>_xlfn.IFNA(VLOOKUP(Table1[[#This Row],[Tên đối tượng]],'DANH MỤC ĐỐI TƯỢNG'!A:F,6,0),"")</f>
        <v/>
      </c>
      <c r="H1436" t="str">
        <f>_xlfn.IFNA(VLOOKUP(Table1[[#This Row],[Tên đối tượng]],'DANH MỤC ĐỐI TƯỢNG'!A:I,9,0),"")</f>
        <v/>
      </c>
      <c r="I1436" t="str">
        <f>_xlfn.IFNA(VLOOKUP(Table1[[#This Row],[Tên đối tượng]],'DANH MỤC ĐỐI TƯỢNG'!A:J,10,0),"")</f>
        <v/>
      </c>
    </row>
    <row r="1437" spans="1:9" x14ac:dyDescent="0.3">
      <c r="A1437" t="str">
        <f t="shared" si="49"/>
        <v/>
      </c>
      <c r="F1437" t="str">
        <f>IFERROR(VLOOKUP(Table1[[#This Row],[Tên đối tượng]],'DANH MỤC ĐỐI TƯỢNG'!A:E,5,0),"")</f>
        <v/>
      </c>
      <c r="G1437" t="str">
        <f>_xlfn.IFNA(VLOOKUP(Table1[[#This Row],[Tên đối tượng]],'DANH MỤC ĐỐI TƯỢNG'!A:F,6,0),"")</f>
        <v/>
      </c>
      <c r="H1437" t="str">
        <f>_xlfn.IFNA(VLOOKUP(Table1[[#This Row],[Tên đối tượng]],'DANH MỤC ĐỐI TƯỢNG'!A:I,9,0),"")</f>
        <v/>
      </c>
      <c r="I1437" t="str">
        <f>_xlfn.IFNA(VLOOKUP(Table1[[#This Row],[Tên đối tượng]],'DANH MỤC ĐỐI TƯỢNG'!A:J,10,0),"")</f>
        <v/>
      </c>
    </row>
    <row r="1438" spans="1:9" x14ac:dyDescent="0.3">
      <c r="A1438" t="str">
        <f t="shared" si="49"/>
        <v/>
      </c>
      <c r="F1438" t="str">
        <f>IFERROR(VLOOKUP(Table1[[#This Row],[Tên đối tượng]],'DANH MỤC ĐỐI TƯỢNG'!A:E,5,0),"")</f>
        <v/>
      </c>
      <c r="G1438" t="str">
        <f>_xlfn.IFNA(VLOOKUP(Table1[[#This Row],[Tên đối tượng]],'DANH MỤC ĐỐI TƯỢNG'!A:F,6,0),"")</f>
        <v/>
      </c>
      <c r="H1438" t="str">
        <f>_xlfn.IFNA(VLOOKUP(Table1[[#This Row],[Tên đối tượng]],'DANH MỤC ĐỐI TƯỢNG'!A:I,9,0),"")</f>
        <v/>
      </c>
      <c r="I1438" t="str">
        <f>_xlfn.IFNA(VLOOKUP(Table1[[#This Row],[Tên đối tượng]],'DANH MỤC ĐỐI TƯỢNG'!A:J,10,0),"")</f>
        <v/>
      </c>
    </row>
    <row r="1439" spans="1:9" x14ac:dyDescent="0.3">
      <c r="A1439" t="str">
        <f t="shared" si="49"/>
        <v/>
      </c>
      <c r="F1439" t="str">
        <f>IFERROR(VLOOKUP(Table1[[#This Row],[Tên đối tượng]],'DANH MỤC ĐỐI TƯỢNG'!A:E,5,0),"")</f>
        <v/>
      </c>
      <c r="G1439" t="str">
        <f>_xlfn.IFNA(VLOOKUP(Table1[[#This Row],[Tên đối tượng]],'DANH MỤC ĐỐI TƯỢNG'!A:F,6,0),"")</f>
        <v/>
      </c>
      <c r="H1439" t="str">
        <f>_xlfn.IFNA(VLOOKUP(Table1[[#This Row],[Tên đối tượng]],'DANH MỤC ĐỐI TƯỢNG'!A:I,9,0),"")</f>
        <v/>
      </c>
      <c r="I1439" t="str">
        <f>_xlfn.IFNA(VLOOKUP(Table1[[#This Row],[Tên đối tượng]],'DANH MỤC ĐỐI TƯỢNG'!A:J,10,0),"")</f>
        <v/>
      </c>
    </row>
    <row r="1440" spans="1:9" x14ac:dyDescent="0.3">
      <c r="A1440" t="str">
        <f t="shared" si="49"/>
        <v/>
      </c>
      <c r="F1440" t="str">
        <f>IFERROR(VLOOKUP(Table1[[#This Row],[Tên đối tượng]],'DANH MỤC ĐỐI TƯỢNG'!A:E,5,0),"")</f>
        <v/>
      </c>
      <c r="G1440" t="str">
        <f>_xlfn.IFNA(VLOOKUP(Table1[[#This Row],[Tên đối tượng]],'DANH MỤC ĐỐI TƯỢNG'!A:F,6,0),"")</f>
        <v/>
      </c>
      <c r="H1440" t="str">
        <f>_xlfn.IFNA(VLOOKUP(Table1[[#This Row],[Tên đối tượng]],'DANH MỤC ĐỐI TƯỢNG'!A:I,9,0),"")</f>
        <v/>
      </c>
      <c r="I1440" t="str">
        <f>_xlfn.IFNA(VLOOKUP(Table1[[#This Row],[Tên đối tượng]],'DANH MỤC ĐỐI TƯỢNG'!A:J,10,0),"")</f>
        <v/>
      </c>
    </row>
    <row r="1441" spans="1:9" x14ac:dyDescent="0.3">
      <c r="A1441" t="str">
        <f t="shared" si="49"/>
        <v/>
      </c>
      <c r="F1441" t="str">
        <f>IFERROR(VLOOKUP(Table1[[#This Row],[Tên đối tượng]],'DANH MỤC ĐỐI TƯỢNG'!A:E,5,0),"")</f>
        <v/>
      </c>
      <c r="G1441" t="str">
        <f>_xlfn.IFNA(VLOOKUP(Table1[[#This Row],[Tên đối tượng]],'DANH MỤC ĐỐI TƯỢNG'!A:F,6,0),"")</f>
        <v/>
      </c>
      <c r="H1441" t="str">
        <f>_xlfn.IFNA(VLOOKUP(Table1[[#This Row],[Tên đối tượng]],'DANH MỤC ĐỐI TƯỢNG'!A:I,9,0),"")</f>
        <v/>
      </c>
      <c r="I1441" t="str">
        <f>_xlfn.IFNA(VLOOKUP(Table1[[#This Row],[Tên đối tượng]],'DANH MỤC ĐỐI TƯỢNG'!A:J,10,0),"")</f>
        <v/>
      </c>
    </row>
    <row r="1442" spans="1:9" x14ac:dyDescent="0.3">
      <c r="A1442" t="str">
        <f t="shared" si="49"/>
        <v/>
      </c>
      <c r="F1442" t="str">
        <f>IFERROR(VLOOKUP(Table1[[#This Row],[Tên đối tượng]],'DANH MỤC ĐỐI TƯỢNG'!A:E,5,0),"")</f>
        <v/>
      </c>
      <c r="G1442" t="str">
        <f>_xlfn.IFNA(VLOOKUP(Table1[[#This Row],[Tên đối tượng]],'DANH MỤC ĐỐI TƯỢNG'!A:F,6,0),"")</f>
        <v/>
      </c>
      <c r="H1442" t="str">
        <f>_xlfn.IFNA(VLOOKUP(Table1[[#This Row],[Tên đối tượng]],'DANH MỤC ĐỐI TƯỢNG'!A:I,9,0),"")</f>
        <v/>
      </c>
      <c r="I1442" t="str">
        <f>_xlfn.IFNA(VLOOKUP(Table1[[#This Row],[Tên đối tượng]],'DANH MỤC ĐỐI TƯỢNG'!A:J,10,0),"")</f>
        <v/>
      </c>
    </row>
    <row r="1443" spans="1:9" x14ac:dyDescent="0.3">
      <c r="A1443" t="str">
        <f t="shared" si="49"/>
        <v/>
      </c>
      <c r="F1443" t="str">
        <f>IFERROR(VLOOKUP(Table1[[#This Row],[Tên đối tượng]],'DANH MỤC ĐỐI TƯỢNG'!A:E,5,0),"")</f>
        <v/>
      </c>
      <c r="G1443" t="str">
        <f>_xlfn.IFNA(VLOOKUP(Table1[[#This Row],[Tên đối tượng]],'DANH MỤC ĐỐI TƯỢNG'!A:F,6,0),"")</f>
        <v/>
      </c>
      <c r="H1443" t="str">
        <f>_xlfn.IFNA(VLOOKUP(Table1[[#This Row],[Tên đối tượng]],'DANH MỤC ĐỐI TƯỢNG'!A:I,9,0),"")</f>
        <v/>
      </c>
      <c r="I1443" t="str">
        <f>_xlfn.IFNA(VLOOKUP(Table1[[#This Row],[Tên đối tượng]],'DANH MỤC ĐỐI TƯỢNG'!A:J,10,0),"")</f>
        <v/>
      </c>
    </row>
    <row r="1444" spans="1:9" x14ac:dyDescent="0.3">
      <c r="A1444" t="str">
        <f t="shared" si="49"/>
        <v/>
      </c>
      <c r="F1444" t="str">
        <f>IFERROR(VLOOKUP(Table1[[#This Row],[Tên đối tượng]],'DANH MỤC ĐỐI TƯỢNG'!A:E,5,0),"")</f>
        <v/>
      </c>
      <c r="G1444" t="str">
        <f>_xlfn.IFNA(VLOOKUP(Table1[[#This Row],[Tên đối tượng]],'DANH MỤC ĐỐI TƯỢNG'!A:F,6,0),"")</f>
        <v/>
      </c>
      <c r="H1444" t="str">
        <f>_xlfn.IFNA(VLOOKUP(Table1[[#This Row],[Tên đối tượng]],'DANH MỤC ĐỐI TƯỢNG'!A:I,9,0),"")</f>
        <v/>
      </c>
      <c r="I1444" t="str">
        <f>_xlfn.IFNA(VLOOKUP(Table1[[#This Row],[Tên đối tượng]],'DANH MỤC ĐỐI TƯỢNG'!A:J,10,0),"")</f>
        <v/>
      </c>
    </row>
    <row r="1445" spans="1:9" x14ac:dyDescent="0.3">
      <c r="A1445" t="str">
        <f t="shared" si="49"/>
        <v/>
      </c>
      <c r="F1445" t="str">
        <f>IFERROR(VLOOKUP(Table1[[#This Row],[Tên đối tượng]],'DANH MỤC ĐỐI TƯỢNG'!A:E,5,0),"")</f>
        <v/>
      </c>
      <c r="G1445" t="str">
        <f>_xlfn.IFNA(VLOOKUP(Table1[[#This Row],[Tên đối tượng]],'DANH MỤC ĐỐI TƯỢNG'!A:F,6,0),"")</f>
        <v/>
      </c>
      <c r="H1445" t="str">
        <f>_xlfn.IFNA(VLOOKUP(Table1[[#This Row],[Tên đối tượng]],'DANH MỤC ĐỐI TƯỢNG'!A:I,9,0),"")</f>
        <v/>
      </c>
      <c r="I1445" t="str">
        <f>_xlfn.IFNA(VLOOKUP(Table1[[#This Row],[Tên đối tượng]],'DANH MỤC ĐỐI TƯỢNG'!A:J,10,0),"")</f>
        <v/>
      </c>
    </row>
    <row r="1446" spans="1:9" x14ac:dyDescent="0.3">
      <c r="A1446" t="str">
        <f t="shared" si="49"/>
        <v/>
      </c>
      <c r="F1446" t="str">
        <f>IFERROR(VLOOKUP(Table1[[#This Row],[Tên đối tượng]],'DANH MỤC ĐỐI TƯỢNG'!A:E,5,0),"")</f>
        <v/>
      </c>
      <c r="G1446" t="str">
        <f>_xlfn.IFNA(VLOOKUP(Table1[[#This Row],[Tên đối tượng]],'DANH MỤC ĐỐI TƯỢNG'!A:F,6,0),"")</f>
        <v/>
      </c>
      <c r="H1446" t="str">
        <f>_xlfn.IFNA(VLOOKUP(Table1[[#This Row],[Tên đối tượng]],'DANH MỤC ĐỐI TƯỢNG'!A:I,9,0),"")</f>
        <v/>
      </c>
      <c r="I1446" t="str">
        <f>_xlfn.IFNA(VLOOKUP(Table1[[#This Row],[Tên đối tượng]],'DANH MỤC ĐỐI TƯỢNG'!A:J,10,0),"")</f>
        <v/>
      </c>
    </row>
    <row r="1447" spans="1:9" x14ac:dyDescent="0.3">
      <c r="A1447" t="str">
        <f t="shared" si="49"/>
        <v/>
      </c>
      <c r="F1447" t="str">
        <f>IFERROR(VLOOKUP(Table1[[#This Row],[Tên đối tượng]],'DANH MỤC ĐỐI TƯỢNG'!A:E,5,0),"")</f>
        <v/>
      </c>
      <c r="G1447" t="str">
        <f>_xlfn.IFNA(VLOOKUP(Table1[[#This Row],[Tên đối tượng]],'DANH MỤC ĐỐI TƯỢNG'!A:F,6,0),"")</f>
        <v/>
      </c>
      <c r="H1447" t="str">
        <f>_xlfn.IFNA(VLOOKUP(Table1[[#This Row],[Tên đối tượng]],'DANH MỤC ĐỐI TƯỢNG'!A:I,9,0),"")</f>
        <v/>
      </c>
      <c r="I1447" t="str">
        <f>_xlfn.IFNA(VLOOKUP(Table1[[#This Row],[Tên đối tượng]],'DANH MỤC ĐỐI TƯỢNG'!A:J,10,0),"")</f>
        <v/>
      </c>
    </row>
    <row r="1448" spans="1:9" x14ac:dyDescent="0.3">
      <c r="A1448" t="str">
        <f t="shared" si="49"/>
        <v/>
      </c>
      <c r="F1448" t="str">
        <f>IFERROR(VLOOKUP(Table1[[#This Row],[Tên đối tượng]],'DANH MỤC ĐỐI TƯỢNG'!A:E,5,0),"")</f>
        <v/>
      </c>
      <c r="G1448" t="str">
        <f>_xlfn.IFNA(VLOOKUP(Table1[[#This Row],[Tên đối tượng]],'DANH MỤC ĐỐI TƯỢNG'!A:F,6,0),"")</f>
        <v/>
      </c>
      <c r="H1448" t="str">
        <f>_xlfn.IFNA(VLOOKUP(Table1[[#This Row],[Tên đối tượng]],'DANH MỤC ĐỐI TƯỢNG'!A:I,9,0),"")</f>
        <v/>
      </c>
      <c r="I1448" t="str">
        <f>_xlfn.IFNA(VLOOKUP(Table1[[#This Row],[Tên đối tượng]],'DANH MỤC ĐỐI TƯỢNG'!A:J,10,0),"")</f>
        <v/>
      </c>
    </row>
    <row r="1449" spans="1:9" x14ac:dyDescent="0.3">
      <c r="A1449" t="str">
        <f t="shared" si="49"/>
        <v/>
      </c>
      <c r="F1449" t="str">
        <f>IFERROR(VLOOKUP(Table1[[#This Row],[Tên đối tượng]],'DANH MỤC ĐỐI TƯỢNG'!A:E,5,0),"")</f>
        <v/>
      </c>
      <c r="G1449" t="str">
        <f>_xlfn.IFNA(VLOOKUP(Table1[[#This Row],[Tên đối tượng]],'DANH MỤC ĐỐI TƯỢNG'!A:F,6,0),"")</f>
        <v/>
      </c>
      <c r="H1449" t="str">
        <f>_xlfn.IFNA(VLOOKUP(Table1[[#This Row],[Tên đối tượng]],'DANH MỤC ĐỐI TƯỢNG'!A:I,9,0),"")</f>
        <v/>
      </c>
      <c r="I1449" t="str">
        <f>_xlfn.IFNA(VLOOKUP(Table1[[#This Row],[Tên đối tượng]],'DANH MỤC ĐỐI TƯỢNG'!A:J,10,0),"")</f>
        <v/>
      </c>
    </row>
    <row r="1450" spans="1:9" x14ac:dyDescent="0.3">
      <c r="A1450" t="str">
        <f t="shared" si="49"/>
        <v/>
      </c>
      <c r="F1450" t="str">
        <f>IFERROR(VLOOKUP(Table1[[#This Row],[Tên đối tượng]],'DANH MỤC ĐỐI TƯỢNG'!A:E,5,0),"")</f>
        <v/>
      </c>
      <c r="G1450" t="str">
        <f>_xlfn.IFNA(VLOOKUP(Table1[[#This Row],[Tên đối tượng]],'DANH MỤC ĐỐI TƯỢNG'!A:F,6,0),"")</f>
        <v/>
      </c>
      <c r="H1450" t="str">
        <f>_xlfn.IFNA(VLOOKUP(Table1[[#This Row],[Tên đối tượng]],'DANH MỤC ĐỐI TƯỢNG'!A:I,9,0),"")</f>
        <v/>
      </c>
      <c r="I1450" t="str">
        <f>_xlfn.IFNA(VLOOKUP(Table1[[#This Row],[Tên đối tượng]],'DANH MỤC ĐỐI TƯỢNG'!A:J,10,0),"")</f>
        <v/>
      </c>
    </row>
    <row r="1451" spans="1:9" x14ac:dyDescent="0.3">
      <c r="A1451" t="str">
        <f t="shared" si="49"/>
        <v/>
      </c>
      <c r="F1451" t="str">
        <f>IFERROR(VLOOKUP(Table1[[#This Row],[Tên đối tượng]],'DANH MỤC ĐỐI TƯỢNG'!A:E,5,0),"")</f>
        <v/>
      </c>
      <c r="G1451" t="str">
        <f>_xlfn.IFNA(VLOOKUP(Table1[[#This Row],[Tên đối tượng]],'DANH MỤC ĐỐI TƯỢNG'!A:F,6,0),"")</f>
        <v/>
      </c>
      <c r="H1451" t="str">
        <f>_xlfn.IFNA(VLOOKUP(Table1[[#This Row],[Tên đối tượng]],'DANH MỤC ĐỐI TƯỢNG'!A:I,9,0),"")</f>
        <v/>
      </c>
      <c r="I1451" t="str">
        <f>_xlfn.IFNA(VLOOKUP(Table1[[#This Row],[Tên đối tượng]],'DANH MỤC ĐỐI TƯỢNG'!A:J,10,0),"")</f>
        <v/>
      </c>
    </row>
    <row r="1452" spans="1:9" x14ac:dyDescent="0.3">
      <c r="A1452" t="str">
        <f t="shared" si="49"/>
        <v/>
      </c>
      <c r="F1452" t="str">
        <f>IFERROR(VLOOKUP(Table1[[#This Row],[Tên đối tượng]],'DANH MỤC ĐỐI TƯỢNG'!A:E,5,0),"")</f>
        <v/>
      </c>
      <c r="G1452" t="str">
        <f>_xlfn.IFNA(VLOOKUP(Table1[[#This Row],[Tên đối tượng]],'DANH MỤC ĐỐI TƯỢNG'!A:F,6,0),"")</f>
        <v/>
      </c>
      <c r="H1452" t="str">
        <f>_xlfn.IFNA(VLOOKUP(Table1[[#This Row],[Tên đối tượng]],'DANH MỤC ĐỐI TƯỢNG'!A:I,9,0),"")</f>
        <v/>
      </c>
      <c r="I1452" t="str">
        <f>_xlfn.IFNA(VLOOKUP(Table1[[#This Row],[Tên đối tượng]],'DANH MỤC ĐỐI TƯỢNG'!A:J,10,0),"")</f>
        <v/>
      </c>
    </row>
    <row r="1453" spans="1:9" x14ac:dyDescent="0.3">
      <c r="A1453" t="str">
        <f t="shared" si="49"/>
        <v/>
      </c>
      <c r="F1453" t="str">
        <f>IFERROR(VLOOKUP(Table1[[#This Row],[Tên đối tượng]],'DANH MỤC ĐỐI TƯỢNG'!A:E,5,0),"")</f>
        <v/>
      </c>
      <c r="G1453" t="str">
        <f>_xlfn.IFNA(VLOOKUP(Table1[[#This Row],[Tên đối tượng]],'DANH MỤC ĐỐI TƯỢNG'!A:F,6,0),"")</f>
        <v/>
      </c>
      <c r="H1453" t="str">
        <f>_xlfn.IFNA(VLOOKUP(Table1[[#This Row],[Tên đối tượng]],'DANH MỤC ĐỐI TƯỢNG'!A:I,9,0),"")</f>
        <v/>
      </c>
      <c r="I1453" t="str">
        <f>_xlfn.IFNA(VLOOKUP(Table1[[#This Row],[Tên đối tượng]],'DANH MỤC ĐỐI TƯỢNG'!A:J,10,0),"")</f>
        <v/>
      </c>
    </row>
    <row r="1454" spans="1:9" x14ac:dyDescent="0.3">
      <c r="A1454" t="str">
        <f t="shared" si="49"/>
        <v/>
      </c>
      <c r="F1454" t="str">
        <f>IFERROR(VLOOKUP(Table1[[#This Row],[Tên đối tượng]],'DANH MỤC ĐỐI TƯỢNG'!A:E,5,0),"")</f>
        <v/>
      </c>
      <c r="G1454" t="str">
        <f>_xlfn.IFNA(VLOOKUP(Table1[[#This Row],[Tên đối tượng]],'DANH MỤC ĐỐI TƯỢNG'!A:F,6,0),"")</f>
        <v/>
      </c>
      <c r="H1454" t="str">
        <f>_xlfn.IFNA(VLOOKUP(Table1[[#This Row],[Tên đối tượng]],'DANH MỤC ĐỐI TƯỢNG'!A:I,9,0),"")</f>
        <v/>
      </c>
      <c r="I1454" t="str">
        <f>_xlfn.IFNA(VLOOKUP(Table1[[#This Row],[Tên đối tượng]],'DANH MỤC ĐỐI TƯỢNG'!A:J,10,0),"")</f>
        <v/>
      </c>
    </row>
    <row r="1455" spans="1:9" x14ac:dyDescent="0.3">
      <c r="A1455" t="str">
        <f t="shared" si="49"/>
        <v/>
      </c>
      <c r="F1455" t="str">
        <f>IFERROR(VLOOKUP(Table1[[#This Row],[Tên đối tượng]],'DANH MỤC ĐỐI TƯỢNG'!A:E,5,0),"")</f>
        <v/>
      </c>
      <c r="G1455" t="str">
        <f>_xlfn.IFNA(VLOOKUP(Table1[[#This Row],[Tên đối tượng]],'DANH MỤC ĐỐI TƯỢNG'!A:F,6,0),"")</f>
        <v/>
      </c>
      <c r="H1455" t="str">
        <f>_xlfn.IFNA(VLOOKUP(Table1[[#This Row],[Tên đối tượng]],'DANH MỤC ĐỐI TƯỢNG'!A:I,9,0),"")</f>
        <v/>
      </c>
      <c r="I1455" t="str">
        <f>_xlfn.IFNA(VLOOKUP(Table1[[#This Row],[Tên đối tượng]],'DANH MỤC ĐỐI TƯỢNG'!A:J,10,0),"")</f>
        <v/>
      </c>
    </row>
    <row r="1456" spans="1:9" x14ac:dyDescent="0.3">
      <c r="A1456" t="str">
        <f t="shared" si="49"/>
        <v/>
      </c>
      <c r="F1456" t="str">
        <f>IFERROR(VLOOKUP(Table1[[#This Row],[Tên đối tượng]],'DANH MỤC ĐỐI TƯỢNG'!A:E,5,0),"")</f>
        <v/>
      </c>
      <c r="G1456" t="str">
        <f>_xlfn.IFNA(VLOOKUP(Table1[[#This Row],[Tên đối tượng]],'DANH MỤC ĐỐI TƯỢNG'!A:F,6,0),"")</f>
        <v/>
      </c>
      <c r="H1456" t="str">
        <f>_xlfn.IFNA(VLOOKUP(Table1[[#This Row],[Tên đối tượng]],'DANH MỤC ĐỐI TƯỢNG'!A:I,9,0),"")</f>
        <v/>
      </c>
      <c r="I1456" t="str">
        <f>_xlfn.IFNA(VLOOKUP(Table1[[#This Row],[Tên đối tượng]],'DANH MỤC ĐỐI TƯỢNG'!A:J,10,0),"")</f>
        <v/>
      </c>
    </row>
    <row r="1457" spans="1:9" x14ac:dyDescent="0.3">
      <c r="A1457" t="str">
        <f t="shared" si="49"/>
        <v/>
      </c>
      <c r="F1457" t="str">
        <f>IFERROR(VLOOKUP(Table1[[#This Row],[Tên đối tượng]],'DANH MỤC ĐỐI TƯỢNG'!A:E,5,0),"")</f>
        <v/>
      </c>
      <c r="G1457" t="str">
        <f>_xlfn.IFNA(VLOOKUP(Table1[[#This Row],[Tên đối tượng]],'DANH MỤC ĐỐI TƯỢNG'!A:F,6,0),"")</f>
        <v/>
      </c>
      <c r="H1457" t="str">
        <f>_xlfn.IFNA(VLOOKUP(Table1[[#This Row],[Tên đối tượng]],'DANH MỤC ĐỐI TƯỢNG'!A:I,9,0),"")</f>
        <v/>
      </c>
      <c r="I1457" t="str">
        <f>_xlfn.IFNA(VLOOKUP(Table1[[#This Row],[Tên đối tượng]],'DANH MỤC ĐỐI TƯỢNG'!A:J,10,0),"")</f>
        <v/>
      </c>
    </row>
    <row r="1458" spans="1:9" x14ac:dyDescent="0.3">
      <c r="A1458" t="str">
        <f t="shared" si="49"/>
        <v/>
      </c>
      <c r="F1458" t="str">
        <f>IFERROR(VLOOKUP(Table1[[#This Row],[Tên đối tượng]],'DANH MỤC ĐỐI TƯỢNG'!A:E,5,0),"")</f>
        <v/>
      </c>
      <c r="G1458" t="str">
        <f>_xlfn.IFNA(VLOOKUP(Table1[[#This Row],[Tên đối tượng]],'DANH MỤC ĐỐI TƯỢNG'!A:F,6,0),"")</f>
        <v/>
      </c>
      <c r="H1458" t="str">
        <f>_xlfn.IFNA(VLOOKUP(Table1[[#This Row],[Tên đối tượng]],'DANH MỤC ĐỐI TƯỢNG'!A:I,9,0),"")</f>
        <v/>
      </c>
      <c r="I1458" t="str">
        <f>_xlfn.IFNA(VLOOKUP(Table1[[#This Row],[Tên đối tượng]],'DANH MỤC ĐỐI TƯỢNG'!A:J,10,0),"")</f>
        <v/>
      </c>
    </row>
    <row r="1459" spans="1:9" x14ac:dyDescent="0.3">
      <c r="A1459" t="str">
        <f t="shared" si="49"/>
        <v/>
      </c>
      <c r="F1459" t="str">
        <f>IFERROR(VLOOKUP(Table1[[#This Row],[Tên đối tượng]],'DANH MỤC ĐỐI TƯỢNG'!A:E,5,0),"")</f>
        <v/>
      </c>
      <c r="G1459" t="str">
        <f>_xlfn.IFNA(VLOOKUP(Table1[[#This Row],[Tên đối tượng]],'DANH MỤC ĐỐI TƯỢNG'!A:F,6,0),"")</f>
        <v/>
      </c>
      <c r="H1459" t="str">
        <f>_xlfn.IFNA(VLOOKUP(Table1[[#This Row],[Tên đối tượng]],'DANH MỤC ĐỐI TƯỢNG'!A:I,9,0),"")</f>
        <v/>
      </c>
      <c r="I1459" t="str">
        <f>_xlfn.IFNA(VLOOKUP(Table1[[#This Row],[Tên đối tượng]],'DANH MỤC ĐỐI TƯỢNG'!A:J,10,0),"")</f>
        <v/>
      </c>
    </row>
    <row r="1460" spans="1:9" x14ac:dyDescent="0.3">
      <c r="A1460" t="str">
        <f t="shared" si="49"/>
        <v/>
      </c>
      <c r="F1460" t="str">
        <f>IFERROR(VLOOKUP(Table1[[#This Row],[Tên đối tượng]],'DANH MỤC ĐỐI TƯỢNG'!A:E,5,0),"")</f>
        <v/>
      </c>
      <c r="G1460" t="str">
        <f>_xlfn.IFNA(VLOOKUP(Table1[[#This Row],[Tên đối tượng]],'DANH MỤC ĐỐI TƯỢNG'!A:F,6,0),"")</f>
        <v/>
      </c>
      <c r="H1460" t="str">
        <f>_xlfn.IFNA(VLOOKUP(Table1[[#This Row],[Tên đối tượng]],'DANH MỤC ĐỐI TƯỢNG'!A:I,9,0),"")</f>
        <v/>
      </c>
      <c r="I1460" t="str">
        <f>_xlfn.IFNA(VLOOKUP(Table1[[#This Row],[Tên đối tượng]],'DANH MỤC ĐỐI TƯỢNG'!A:J,10,0),"")</f>
        <v/>
      </c>
    </row>
    <row r="1461" spans="1:9" x14ac:dyDescent="0.3">
      <c r="A1461" t="str">
        <f t="shared" si="49"/>
        <v/>
      </c>
      <c r="F1461" t="str">
        <f>IFERROR(VLOOKUP(Table1[[#This Row],[Tên đối tượng]],'DANH MỤC ĐỐI TƯỢNG'!A:E,5,0),"")</f>
        <v/>
      </c>
      <c r="G1461" t="str">
        <f>_xlfn.IFNA(VLOOKUP(Table1[[#This Row],[Tên đối tượng]],'DANH MỤC ĐỐI TƯỢNG'!A:F,6,0),"")</f>
        <v/>
      </c>
      <c r="H1461" t="str">
        <f>_xlfn.IFNA(VLOOKUP(Table1[[#This Row],[Tên đối tượng]],'DANH MỤC ĐỐI TƯỢNG'!A:I,9,0),"")</f>
        <v/>
      </c>
      <c r="I1461" t="str">
        <f>_xlfn.IFNA(VLOOKUP(Table1[[#This Row],[Tên đối tượng]],'DANH MỤC ĐỐI TƯỢNG'!A:J,10,0),"")</f>
        <v/>
      </c>
    </row>
    <row r="1462" spans="1:9" x14ac:dyDescent="0.3">
      <c r="A1462" t="str">
        <f t="shared" si="49"/>
        <v/>
      </c>
      <c r="F1462" t="str">
        <f>IFERROR(VLOOKUP(Table1[[#This Row],[Tên đối tượng]],'DANH MỤC ĐỐI TƯỢNG'!A:E,5,0),"")</f>
        <v/>
      </c>
      <c r="G1462" t="str">
        <f>_xlfn.IFNA(VLOOKUP(Table1[[#This Row],[Tên đối tượng]],'DANH MỤC ĐỐI TƯỢNG'!A:F,6,0),"")</f>
        <v/>
      </c>
      <c r="H1462" t="str">
        <f>_xlfn.IFNA(VLOOKUP(Table1[[#This Row],[Tên đối tượng]],'DANH MỤC ĐỐI TƯỢNG'!A:I,9,0),"")</f>
        <v/>
      </c>
      <c r="I1462" t="str">
        <f>_xlfn.IFNA(VLOOKUP(Table1[[#This Row],[Tên đối tượng]],'DANH MỤC ĐỐI TƯỢNG'!A:J,10,0),"")</f>
        <v/>
      </c>
    </row>
    <row r="1463" spans="1:9" x14ac:dyDescent="0.3">
      <c r="A1463" t="str">
        <f t="shared" si="49"/>
        <v/>
      </c>
      <c r="F1463" t="str">
        <f>IFERROR(VLOOKUP(Table1[[#This Row],[Tên đối tượng]],'DANH MỤC ĐỐI TƯỢNG'!A:E,5,0),"")</f>
        <v/>
      </c>
      <c r="G1463" t="str">
        <f>_xlfn.IFNA(VLOOKUP(Table1[[#This Row],[Tên đối tượng]],'DANH MỤC ĐỐI TƯỢNG'!A:F,6,0),"")</f>
        <v/>
      </c>
      <c r="H1463" t="str">
        <f>_xlfn.IFNA(VLOOKUP(Table1[[#This Row],[Tên đối tượng]],'DANH MỤC ĐỐI TƯỢNG'!A:I,9,0),"")</f>
        <v/>
      </c>
      <c r="I1463" t="str">
        <f>_xlfn.IFNA(VLOOKUP(Table1[[#This Row],[Tên đối tượng]],'DANH MỤC ĐỐI TƯỢNG'!A:J,10,0),"")</f>
        <v/>
      </c>
    </row>
    <row r="1464" spans="1:9" x14ac:dyDescent="0.3">
      <c r="A1464" t="str">
        <f t="shared" si="49"/>
        <v/>
      </c>
      <c r="F1464" t="str">
        <f>IFERROR(VLOOKUP(Table1[[#This Row],[Tên đối tượng]],'DANH MỤC ĐỐI TƯỢNG'!A:E,5,0),"")</f>
        <v/>
      </c>
      <c r="G1464" t="str">
        <f>_xlfn.IFNA(VLOOKUP(Table1[[#This Row],[Tên đối tượng]],'DANH MỤC ĐỐI TƯỢNG'!A:F,6,0),"")</f>
        <v/>
      </c>
      <c r="H1464" t="str">
        <f>_xlfn.IFNA(VLOOKUP(Table1[[#This Row],[Tên đối tượng]],'DANH MỤC ĐỐI TƯỢNG'!A:I,9,0),"")</f>
        <v/>
      </c>
      <c r="I1464" t="str">
        <f>_xlfn.IFNA(VLOOKUP(Table1[[#This Row],[Tên đối tượng]],'DANH MỤC ĐỐI TƯỢNG'!A:J,10,0),"")</f>
        <v/>
      </c>
    </row>
    <row r="1465" spans="1:9" x14ac:dyDescent="0.3">
      <c r="A1465" t="str">
        <f t="shared" si="49"/>
        <v/>
      </c>
      <c r="F1465" t="str">
        <f>IFERROR(VLOOKUP(Table1[[#This Row],[Tên đối tượng]],'DANH MỤC ĐỐI TƯỢNG'!A:E,5,0),"")</f>
        <v/>
      </c>
      <c r="G1465" t="str">
        <f>_xlfn.IFNA(VLOOKUP(Table1[[#This Row],[Tên đối tượng]],'DANH MỤC ĐỐI TƯỢNG'!A:F,6,0),"")</f>
        <v/>
      </c>
      <c r="H1465" t="str">
        <f>_xlfn.IFNA(VLOOKUP(Table1[[#This Row],[Tên đối tượng]],'DANH MỤC ĐỐI TƯỢNG'!A:I,9,0),"")</f>
        <v/>
      </c>
      <c r="I1465" t="str">
        <f>_xlfn.IFNA(VLOOKUP(Table1[[#This Row],[Tên đối tượng]],'DANH MỤC ĐỐI TƯỢNG'!A:J,10,0),"")</f>
        <v/>
      </c>
    </row>
    <row r="1466" spans="1:9" x14ac:dyDescent="0.3">
      <c r="A1466" t="str">
        <f t="shared" si="49"/>
        <v/>
      </c>
      <c r="F1466" t="str">
        <f>IFERROR(VLOOKUP(Table1[[#This Row],[Tên đối tượng]],'DANH MỤC ĐỐI TƯỢNG'!A:E,5,0),"")</f>
        <v/>
      </c>
      <c r="G1466" t="str">
        <f>_xlfn.IFNA(VLOOKUP(Table1[[#This Row],[Tên đối tượng]],'DANH MỤC ĐỐI TƯỢNG'!A:F,6,0),"")</f>
        <v/>
      </c>
      <c r="H1466" t="str">
        <f>_xlfn.IFNA(VLOOKUP(Table1[[#This Row],[Tên đối tượng]],'DANH MỤC ĐỐI TƯỢNG'!A:I,9,0),"")</f>
        <v/>
      </c>
      <c r="I1466" t="str">
        <f>_xlfn.IFNA(VLOOKUP(Table1[[#This Row],[Tên đối tượng]],'DANH MỤC ĐỐI TƯỢNG'!A:J,10,0),"")</f>
        <v/>
      </c>
    </row>
    <row r="1467" spans="1:9" x14ac:dyDescent="0.3">
      <c r="A1467" t="str">
        <f t="shared" si="49"/>
        <v/>
      </c>
      <c r="F1467" t="str">
        <f>IFERROR(VLOOKUP(Table1[[#This Row],[Tên đối tượng]],'DANH MỤC ĐỐI TƯỢNG'!A:E,5,0),"")</f>
        <v/>
      </c>
      <c r="G1467" t="str">
        <f>_xlfn.IFNA(VLOOKUP(Table1[[#This Row],[Tên đối tượng]],'DANH MỤC ĐỐI TƯỢNG'!A:F,6,0),"")</f>
        <v/>
      </c>
      <c r="H1467" t="str">
        <f>_xlfn.IFNA(VLOOKUP(Table1[[#This Row],[Tên đối tượng]],'DANH MỤC ĐỐI TƯỢNG'!A:I,9,0),"")</f>
        <v/>
      </c>
      <c r="I1467" t="str">
        <f>_xlfn.IFNA(VLOOKUP(Table1[[#This Row],[Tên đối tượng]],'DANH MỤC ĐỐI TƯỢNG'!A:J,10,0),"")</f>
        <v/>
      </c>
    </row>
    <row r="1468" spans="1:9" x14ac:dyDescent="0.3">
      <c r="A1468" t="str">
        <f t="shared" si="49"/>
        <v/>
      </c>
      <c r="F1468" t="str">
        <f>IFERROR(VLOOKUP(Table1[[#This Row],[Tên đối tượng]],'DANH MỤC ĐỐI TƯỢNG'!A:E,5,0),"")</f>
        <v/>
      </c>
      <c r="G1468" t="str">
        <f>_xlfn.IFNA(VLOOKUP(Table1[[#This Row],[Tên đối tượng]],'DANH MỤC ĐỐI TƯỢNG'!A:F,6,0),"")</f>
        <v/>
      </c>
      <c r="H1468" t="str">
        <f>_xlfn.IFNA(VLOOKUP(Table1[[#This Row],[Tên đối tượng]],'DANH MỤC ĐỐI TƯỢNG'!A:I,9,0),"")</f>
        <v/>
      </c>
      <c r="I1468" t="str">
        <f>_xlfn.IFNA(VLOOKUP(Table1[[#This Row],[Tên đối tượng]],'DANH MỤC ĐỐI TƯỢNG'!A:J,10,0),"")</f>
        <v/>
      </c>
    </row>
    <row r="1469" spans="1:9" x14ac:dyDescent="0.3">
      <c r="A1469" t="str">
        <f t="shared" si="49"/>
        <v/>
      </c>
      <c r="F1469" t="str">
        <f>IFERROR(VLOOKUP(Table1[[#This Row],[Tên đối tượng]],'DANH MỤC ĐỐI TƯỢNG'!A:E,5,0),"")</f>
        <v/>
      </c>
      <c r="G1469" t="str">
        <f>_xlfn.IFNA(VLOOKUP(Table1[[#This Row],[Tên đối tượng]],'DANH MỤC ĐỐI TƯỢNG'!A:F,6,0),"")</f>
        <v/>
      </c>
      <c r="H1469" t="str">
        <f>_xlfn.IFNA(VLOOKUP(Table1[[#This Row],[Tên đối tượng]],'DANH MỤC ĐỐI TƯỢNG'!A:I,9,0),"")</f>
        <v/>
      </c>
      <c r="I1469" t="str">
        <f>_xlfn.IFNA(VLOOKUP(Table1[[#This Row],[Tên đối tượng]],'DANH MỤC ĐỐI TƯỢNG'!A:J,10,0),"")</f>
        <v/>
      </c>
    </row>
    <row r="1470" spans="1:9" x14ac:dyDescent="0.3">
      <c r="A1470" t="str">
        <f t="shared" si="49"/>
        <v/>
      </c>
      <c r="F1470" t="str">
        <f>IFERROR(VLOOKUP(Table1[[#This Row],[Tên đối tượng]],'DANH MỤC ĐỐI TƯỢNG'!A:E,5,0),"")</f>
        <v/>
      </c>
      <c r="G1470" t="str">
        <f>_xlfn.IFNA(VLOOKUP(Table1[[#This Row],[Tên đối tượng]],'DANH MỤC ĐỐI TƯỢNG'!A:F,6,0),"")</f>
        <v/>
      </c>
      <c r="H1470" t="str">
        <f>_xlfn.IFNA(VLOOKUP(Table1[[#This Row],[Tên đối tượng]],'DANH MỤC ĐỐI TƯỢNG'!A:I,9,0),"")</f>
        <v/>
      </c>
      <c r="I1470" t="str">
        <f>_xlfn.IFNA(VLOOKUP(Table1[[#This Row],[Tên đối tượng]],'DANH MỤC ĐỐI TƯỢNG'!A:J,10,0),"")</f>
        <v/>
      </c>
    </row>
    <row r="1471" spans="1:9" x14ac:dyDescent="0.3">
      <c r="A1471" t="str">
        <f t="shared" si="49"/>
        <v/>
      </c>
      <c r="F1471" t="str">
        <f>IFERROR(VLOOKUP(Table1[[#This Row],[Tên đối tượng]],'DANH MỤC ĐỐI TƯỢNG'!A:E,5,0),"")</f>
        <v/>
      </c>
      <c r="G1471" t="str">
        <f>_xlfn.IFNA(VLOOKUP(Table1[[#This Row],[Tên đối tượng]],'DANH MỤC ĐỐI TƯỢNG'!A:F,6,0),"")</f>
        <v/>
      </c>
      <c r="H1471" t="str">
        <f>_xlfn.IFNA(VLOOKUP(Table1[[#This Row],[Tên đối tượng]],'DANH MỤC ĐỐI TƯỢNG'!A:I,9,0),"")</f>
        <v/>
      </c>
      <c r="I1471" t="str">
        <f>_xlfn.IFNA(VLOOKUP(Table1[[#This Row],[Tên đối tượng]],'DANH MỤC ĐỐI TƯỢNG'!A:J,10,0),"")</f>
        <v/>
      </c>
    </row>
    <row r="1472" spans="1:9" x14ac:dyDescent="0.3">
      <c r="A1472" t="str">
        <f t="shared" ref="A1472:A1535" si="50">IF(B1472&lt;&gt;0,ROW()-3,"")</f>
        <v/>
      </c>
      <c r="F1472" t="str">
        <f>IFERROR(VLOOKUP(Table1[[#This Row],[Tên đối tượng]],'DANH MỤC ĐỐI TƯỢNG'!A:E,5,0),"")</f>
        <v/>
      </c>
      <c r="G1472" t="str">
        <f>_xlfn.IFNA(VLOOKUP(Table1[[#This Row],[Tên đối tượng]],'DANH MỤC ĐỐI TƯỢNG'!A:F,6,0),"")</f>
        <v/>
      </c>
      <c r="H1472" t="str">
        <f>_xlfn.IFNA(VLOOKUP(Table1[[#This Row],[Tên đối tượng]],'DANH MỤC ĐỐI TƯỢNG'!A:I,9,0),"")</f>
        <v/>
      </c>
      <c r="I1472" t="str">
        <f>_xlfn.IFNA(VLOOKUP(Table1[[#This Row],[Tên đối tượng]],'DANH MỤC ĐỐI TƯỢNG'!A:J,10,0),"")</f>
        <v/>
      </c>
    </row>
    <row r="1473" spans="1:9" x14ac:dyDescent="0.3">
      <c r="A1473" t="str">
        <f t="shared" si="50"/>
        <v/>
      </c>
      <c r="F1473" t="str">
        <f>IFERROR(VLOOKUP(Table1[[#This Row],[Tên đối tượng]],'DANH MỤC ĐỐI TƯỢNG'!A:E,5,0),"")</f>
        <v/>
      </c>
      <c r="G1473" t="str">
        <f>_xlfn.IFNA(VLOOKUP(Table1[[#This Row],[Tên đối tượng]],'DANH MỤC ĐỐI TƯỢNG'!A:F,6,0),"")</f>
        <v/>
      </c>
      <c r="H1473" t="str">
        <f>_xlfn.IFNA(VLOOKUP(Table1[[#This Row],[Tên đối tượng]],'DANH MỤC ĐỐI TƯỢNG'!A:I,9,0),"")</f>
        <v/>
      </c>
      <c r="I1473" t="str">
        <f>_xlfn.IFNA(VLOOKUP(Table1[[#This Row],[Tên đối tượng]],'DANH MỤC ĐỐI TƯỢNG'!A:J,10,0),"")</f>
        <v/>
      </c>
    </row>
    <row r="1474" spans="1:9" x14ac:dyDescent="0.3">
      <c r="A1474" t="str">
        <f t="shared" si="50"/>
        <v/>
      </c>
      <c r="F1474" t="str">
        <f>IFERROR(VLOOKUP(Table1[[#This Row],[Tên đối tượng]],'DANH MỤC ĐỐI TƯỢNG'!A:E,5,0),"")</f>
        <v/>
      </c>
      <c r="G1474" t="str">
        <f>_xlfn.IFNA(VLOOKUP(Table1[[#This Row],[Tên đối tượng]],'DANH MỤC ĐỐI TƯỢNG'!A:F,6,0),"")</f>
        <v/>
      </c>
      <c r="H1474" t="str">
        <f>_xlfn.IFNA(VLOOKUP(Table1[[#This Row],[Tên đối tượng]],'DANH MỤC ĐỐI TƯỢNG'!A:I,9,0),"")</f>
        <v/>
      </c>
      <c r="I1474" t="str">
        <f>_xlfn.IFNA(VLOOKUP(Table1[[#This Row],[Tên đối tượng]],'DANH MỤC ĐỐI TƯỢNG'!A:J,10,0),"")</f>
        <v/>
      </c>
    </row>
    <row r="1475" spans="1:9" x14ac:dyDescent="0.3">
      <c r="A1475" t="str">
        <f t="shared" si="50"/>
        <v/>
      </c>
      <c r="F1475" t="str">
        <f>IFERROR(VLOOKUP(Table1[[#This Row],[Tên đối tượng]],'DANH MỤC ĐỐI TƯỢNG'!A:E,5,0),"")</f>
        <v/>
      </c>
      <c r="G1475" t="str">
        <f>_xlfn.IFNA(VLOOKUP(Table1[[#This Row],[Tên đối tượng]],'DANH MỤC ĐỐI TƯỢNG'!A:F,6,0),"")</f>
        <v/>
      </c>
      <c r="H1475" t="str">
        <f>_xlfn.IFNA(VLOOKUP(Table1[[#This Row],[Tên đối tượng]],'DANH MỤC ĐỐI TƯỢNG'!A:I,9,0),"")</f>
        <v/>
      </c>
      <c r="I1475" t="str">
        <f>_xlfn.IFNA(VLOOKUP(Table1[[#This Row],[Tên đối tượng]],'DANH MỤC ĐỐI TƯỢNG'!A:J,10,0),"")</f>
        <v/>
      </c>
    </row>
    <row r="1476" spans="1:9" x14ac:dyDescent="0.3">
      <c r="A1476" t="str">
        <f t="shared" si="50"/>
        <v/>
      </c>
      <c r="F1476" t="str">
        <f>IFERROR(VLOOKUP(Table1[[#This Row],[Tên đối tượng]],'DANH MỤC ĐỐI TƯỢNG'!A:E,5,0),"")</f>
        <v/>
      </c>
      <c r="G1476" t="str">
        <f>_xlfn.IFNA(VLOOKUP(Table1[[#This Row],[Tên đối tượng]],'DANH MỤC ĐỐI TƯỢNG'!A:F,6,0),"")</f>
        <v/>
      </c>
      <c r="H1476" t="str">
        <f>_xlfn.IFNA(VLOOKUP(Table1[[#This Row],[Tên đối tượng]],'DANH MỤC ĐỐI TƯỢNG'!A:I,9,0),"")</f>
        <v/>
      </c>
      <c r="I1476" t="str">
        <f>_xlfn.IFNA(VLOOKUP(Table1[[#This Row],[Tên đối tượng]],'DANH MỤC ĐỐI TƯỢNG'!A:J,10,0),"")</f>
        <v/>
      </c>
    </row>
    <row r="1477" spans="1:9" x14ac:dyDescent="0.3">
      <c r="A1477" t="str">
        <f t="shared" si="50"/>
        <v/>
      </c>
      <c r="F1477" t="str">
        <f>IFERROR(VLOOKUP(Table1[[#This Row],[Tên đối tượng]],'DANH MỤC ĐỐI TƯỢNG'!A:E,5,0),"")</f>
        <v/>
      </c>
      <c r="G1477" t="str">
        <f>_xlfn.IFNA(VLOOKUP(Table1[[#This Row],[Tên đối tượng]],'DANH MỤC ĐỐI TƯỢNG'!A:F,6,0),"")</f>
        <v/>
      </c>
      <c r="H1477" t="str">
        <f>_xlfn.IFNA(VLOOKUP(Table1[[#This Row],[Tên đối tượng]],'DANH MỤC ĐỐI TƯỢNG'!A:I,9,0),"")</f>
        <v/>
      </c>
      <c r="I1477" t="str">
        <f>_xlfn.IFNA(VLOOKUP(Table1[[#This Row],[Tên đối tượng]],'DANH MỤC ĐỐI TƯỢNG'!A:J,10,0),"")</f>
        <v/>
      </c>
    </row>
    <row r="1478" spans="1:9" x14ac:dyDescent="0.3">
      <c r="A1478" t="str">
        <f t="shared" si="50"/>
        <v/>
      </c>
      <c r="F1478" t="str">
        <f>IFERROR(VLOOKUP(Table1[[#This Row],[Tên đối tượng]],'DANH MỤC ĐỐI TƯỢNG'!A:E,5,0),"")</f>
        <v/>
      </c>
      <c r="G1478" t="str">
        <f>_xlfn.IFNA(VLOOKUP(Table1[[#This Row],[Tên đối tượng]],'DANH MỤC ĐỐI TƯỢNG'!A:F,6,0),"")</f>
        <v/>
      </c>
      <c r="H1478" t="str">
        <f>_xlfn.IFNA(VLOOKUP(Table1[[#This Row],[Tên đối tượng]],'DANH MỤC ĐỐI TƯỢNG'!A:I,9,0),"")</f>
        <v/>
      </c>
      <c r="I1478" t="str">
        <f>_xlfn.IFNA(VLOOKUP(Table1[[#This Row],[Tên đối tượng]],'DANH MỤC ĐỐI TƯỢNG'!A:J,10,0),"")</f>
        <v/>
      </c>
    </row>
    <row r="1479" spans="1:9" x14ac:dyDescent="0.3">
      <c r="A1479" t="str">
        <f t="shared" si="50"/>
        <v/>
      </c>
      <c r="F1479" t="str">
        <f>IFERROR(VLOOKUP(Table1[[#This Row],[Tên đối tượng]],'DANH MỤC ĐỐI TƯỢNG'!A:E,5,0),"")</f>
        <v/>
      </c>
      <c r="G1479" t="str">
        <f>_xlfn.IFNA(VLOOKUP(Table1[[#This Row],[Tên đối tượng]],'DANH MỤC ĐỐI TƯỢNG'!A:F,6,0),"")</f>
        <v/>
      </c>
      <c r="H1479" t="str">
        <f>_xlfn.IFNA(VLOOKUP(Table1[[#This Row],[Tên đối tượng]],'DANH MỤC ĐỐI TƯỢNG'!A:I,9,0),"")</f>
        <v/>
      </c>
      <c r="I1479" t="str">
        <f>_xlfn.IFNA(VLOOKUP(Table1[[#This Row],[Tên đối tượng]],'DANH MỤC ĐỐI TƯỢNG'!A:J,10,0),"")</f>
        <v/>
      </c>
    </row>
    <row r="1480" spans="1:9" x14ac:dyDescent="0.3">
      <c r="A1480" t="str">
        <f t="shared" si="50"/>
        <v/>
      </c>
      <c r="F1480" t="str">
        <f>IFERROR(VLOOKUP(Table1[[#This Row],[Tên đối tượng]],'DANH MỤC ĐỐI TƯỢNG'!A:E,5,0),"")</f>
        <v/>
      </c>
      <c r="G1480" t="str">
        <f>_xlfn.IFNA(VLOOKUP(Table1[[#This Row],[Tên đối tượng]],'DANH MỤC ĐỐI TƯỢNG'!A:F,6,0),"")</f>
        <v/>
      </c>
      <c r="H1480" t="str">
        <f>_xlfn.IFNA(VLOOKUP(Table1[[#This Row],[Tên đối tượng]],'DANH MỤC ĐỐI TƯỢNG'!A:I,9,0),"")</f>
        <v/>
      </c>
      <c r="I1480" t="str">
        <f>_xlfn.IFNA(VLOOKUP(Table1[[#This Row],[Tên đối tượng]],'DANH MỤC ĐỐI TƯỢNG'!A:J,10,0),"")</f>
        <v/>
      </c>
    </row>
    <row r="1481" spans="1:9" x14ac:dyDescent="0.3">
      <c r="A1481" t="str">
        <f t="shared" si="50"/>
        <v/>
      </c>
      <c r="F1481" t="str">
        <f>IFERROR(VLOOKUP(Table1[[#This Row],[Tên đối tượng]],'DANH MỤC ĐỐI TƯỢNG'!A:E,5,0),"")</f>
        <v/>
      </c>
      <c r="G1481" t="str">
        <f>_xlfn.IFNA(VLOOKUP(Table1[[#This Row],[Tên đối tượng]],'DANH MỤC ĐỐI TƯỢNG'!A:F,6,0),"")</f>
        <v/>
      </c>
      <c r="H1481" t="str">
        <f>_xlfn.IFNA(VLOOKUP(Table1[[#This Row],[Tên đối tượng]],'DANH MỤC ĐỐI TƯỢNG'!A:I,9,0),"")</f>
        <v/>
      </c>
      <c r="I1481" t="str">
        <f>_xlfn.IFNA(VLOOKUP(Table1[[#This Row],[Tên đối tượng]],'DANH MỤC ĐỐI TƯỢNG'!A:J,10,0),"")</f>
        <v/>
      </c>
    </row>
    <row r="1482" spans="1:9" x14ac:dyDescent="0.3">
      <c r="A1482" t="str">
        <f t="shared" si="50"/>
        <v/>
      </c>
      <c r="F1482" t="str">
        <f>IFERROR(VLOOKUP(Table1[[#This Row],[Tên đối tượng]],'DANH MỤC ĐỐI TƯỢNG'!A:E,5,0),"")</f>
        <v/>
      </c>
      <c r="G1482" t="str">
        <f>_xlfn.IFNA(VLOOKUP(Table1[[#This Row],[Tên đối tượng]],'DANH MỤC ĐỐI TƯỢNG'!A:F,6,0),"")</f>
        <v/>
      </c>
      <c r="H1482" t="str">
        <f>_xlfn.IFNA(VLOOKUP(Table1[[#This Row],[Tên đối tượng]],'DANH MỤC ĐỐI TƯỢNG'!A:I,9,0),"")</f>
        <v/>
      </c>
      <c r="I1482" t="str">
        <f>_xlfn.IFNA(VLOOKUP(Table1[[#This Row],[Tên đối tượng]],'DANH MỤC ĐỐI TƯỢNG'!A:J,10,0),"")</f>
        <v/>
      </c>
    </row>
    <row r="1483" spans="1:9" x14ac:dyDescent="0.3">
      <c r="A1483" t="str">
        <f t="shared" si="50"/>
        <v/>
      </c>
      <c r="F1483" t="str">
        <f>IFERROR(VLOOKUP(Table1[[#This Row],[Tên đối tượng]],'DANH MỤC ĐỐI TƯỢNG'!A:E,5,0),"")</f>
        <v/>
      </c>
      <c r="G1483" t="str">
        <f>_xlfn.IFNA(VLOOKUP(Table1[[#This Row],[Tên đối tượng]],'DANH MỤC ĐỐI TƯỢNG'!A:F,6,0),"")</f>
        <v/>
      </c>
      <c r="H1483" t="str">
        <f>_xlfn.IFNA(VLOOKUP(Table1[[#This Row],[Tên đối tượng]],'DANH MỤC ĐỐI TƯỢNG'!A:I,9,0),"")</f>
        <v/>
      </c>
      <c r="I1483" t="str">
        <f>_xlfn.IFNA(VLOOKUP(Table1[[#This Row],[Tên đối tượng]],'DANH MỤC ĐỐI TƯỢNG'!A:J,10,0),"")</f>
        <v/>
      </c>
    </row>
    <row r="1484" spans="1:9" x14ac:dyDescent="0.3">
      <c r="A1484" t="str">
        <f t="shared" si="50"/>
        <v/>
      </c>
      <c r="F1484" t="str">
        <f>IFERROR(VLOOKUP(Table1[[#This Row],[Tên đối tượng]],'DANH MỤC ĐỐI TƯỢNG'!A:E,5,0),"")</f>
        <v/>
      </c>
      <c r="G1484" t="str">
        <f>_xlfn.IFNA(VLOOKUP(Table1[[#This Row],[Tên đối tượng]],'DANH MỤC ĐỐI TƯỢNG'!A:F,6,0),"")</f>
        <v/>
      </c>
      <c r="H1484" t="str">
        <f>_xlfn.IFNA(VLOOKUP(Table1[[#This Row],[Tên đối tượng]],'DANH MỤC ĐỐI TƯỢNG'!A:I,9,0),"")</f>
        <v/>
      </c>
      <c r="I1484" t="str">
        <f>_xlfn.IFNA(VLOOKUP(Table1[[#This Row],[Tên đối tượng]],'DANH MỤC ĐỐI TƯỢNG'!A:J,10,0),"")</f>
        <v/>
      </c>
    </row>
    <row r="1485" spans="1:9" x14ac:dyDescent="0.3">
      <c r="A1485" t="str">
        <f t="shared" si="50"/>
        <v/>
      </c>
      <c r="F1485" t="str">
        <f>IFERROR(VLOOKUP(Table1[[#This Row],[Tên đối tượng]],'DANH MỤC ĐỐI TƯỢNG'!A:E,5,0),"")</f>
        <v/>
      </c>
      <c r="G1485" t="str">
        <f>_xlfn.IFNA(VLOOKUP(Table1[[#This Row],[Tên đối tượng]],'DANH MỤC ĐỐI TƯỢNG'!A:F,6,0),"")</f>
        <v/>
      </c>
      <c r="H1485" t="str">
        <f>_xlfn.IFNA(VLOOKUP(Table1[[#This Row],[Tên đối tượng]],'DANH MỤC ĐỐI TƯỢNG'!A:I,9,0),"")</f>
        <v/>
      </c>
      <c r="I1485" t="str">
        <f>_xlfn.IFNA(VLOOKUP(Table1[[#This Row],[Tên đối tượng]],'DANH MỤC ĐỐI TƯỢNG'!A:J,10,0),"")</f>
        <v/>
      </c>
    </row>
    <row r="1486" spans="1:9" x14ac:dyDescent="0.3">
      <c r="A1486" t="str">
        <f t="shared" si="50"/>
        <v/>
      </c>
      <c r="F1486" t="str">
        <f>IFERROR(VLOOKUP(Table1[[#This Row],[Tên đối tượng]],'DANH MỤC ĐỐI TƯỢNG'!A:E,5,0),"")</f>
        <v/>
      </c>
      <c r="G1486" t="str">
        <f>_xlfn.IFNA(VLOOKUP(Table1[[#This Row],[Tên đối tượng]],'DANH MỤC ĐỐI TƯỢNG'!A:F,6,0),"")</f>
        <v/>
      </c>
      <c r="H1486" t="str">
        <f>_xlfn.IFNA(VLOOKUP(Table1[[#This Row],[Tên đối tượng]],'DANH MỤC ĐỐI TƯỢNG'!A:I,9,0),"")</f>
        <v/>
      </c>
      <c r="I1486" t="str">
        <f>_xlfn.IFNA(VLOOKUP(Table1[[#This Row],[Tên đối tượng]],'DANH MỤC ĐỐI TƯỢNG'!A:J,10,0),"")</f>
        <v/>
      </c>
    </row>
    <row r="1487" spans="1:9" x14ac:dyDescent="0.3">
      <c r="A1487" t="str">
        <f t="shared" si="50"/>
        <v/>
      </c>
      <c r="F1487" t="str">
        <f>IFERROR(VLOOKUP(Table1[[#This Row],[Tên đối tượng]],'DANH MỤC ĐỐI TƯỢNG'!A:E,5,0),"")</f>
        <v/>
      </c>
      <c r="G1487" t="str">
        <f>_xlfn.IFNA(VLOOKUP(Table1[[#This Row],[Tên đối tượng]],'DANH MỤC ĐỐI TƯỢNG'!A:F,6,0),"")</f>
        <v/>
      </c>
      <c r="H1487" t="str">
        <f>_xlfn.IFNA(VLOOKUP(Table1[[#This Row],[Tên đối tượng]],'DANH MỤC ĐỐI TƯỢNG'!A:I,9,0),"")</f>
        <v/>
      </c>
      <c r="I1487" t="str">
        <f>_xlfn.IFNA(VLOOKUP(Table1[[#This Row],[Tên đối tượng]],'DANH MỤC ĐỐI TƯỢNG'!A:J,10,0),"")</f>
        <v/>
      </c>
    </row>
    <row r="1488" spans="1:9" x14ac:dyDescent="0.3">
      <c r="A1488" t="str">
        <f t="shared" si="50"/>
        <v/>
      </c>
      <c r="F1488" t="str">
        <f>IFERROR(VLOOKUP(Table1[[#This Row],[Tên đối tượng]],'DANH MỤC ĐỐI TƯỢNG'!A:E,5,0),"")</f>
        <v/>
      </c>
      <c r="G1488" t="str">
        <f>_xlfn.IFNA(VLOOKUP(Table1[[#This Row],[Tên đối tượng]],'DANH MỤC ĐỐI TƯỢNG'!A:F,6,0),"")</f>
        <v/>
      </c>
      <c r="H1488" t="str">
        <f>_xlfn.IFNA(VLOOKUP(Table1[[#This Row],[Tên đối tượng]],'DANH MỤC ĐỐI TƯỢNG'!A:I,9,0),"")</f>
        <v/>
      </c>
      <c r="I1488" t="str">
        <f>_xlfn.IFNA(VLOOKUP(Table1[[#This Row],[Tên đối tượng]],'DANH MỤC ĐỐI TƯỢNG'!A:J,10,0),"")</f>
        <v/>
      </c>
    </row>
    <row r="1489" spans="1:9" x14ac:dyDescent="0.3">
      <c r="A1489" t="str">
        <f t="shared" si="50"/>
        <v/>
      </c>
      <c r="F1489" t="str">
        <f>IFERROR(VLOOKUP(Table1[[#This Row],[Tên đối tượng]],'DANH MỤC ĐỐI TƯỢNG'!A:E,5,0),"")</f>
        <v/>
      </c>
      <c r="G1489" t="str">
        <f>_xlfn.IFNA(VLOOKUP(Table1[[#This Row],[Tên đối tượng]],'DANH MỤC ĐỐI TƯỢNG'!A:F,6,0),"")</f>
        <v/>
      </c>
      <c r="H1489" t="str">
        <f>_xlfn.IFNA(VLOOKUP(Table1[[#This Row],[Tên đối tượng]],'DANH MỤC ĐỐI TƯỢNG'!A:I,9,0),"")</f>
        <v/>
      </c>
      <c r="I1489" t="str">
        <f>_xlfn.IFNA(VLOOKUP(Table1[[#This Row],[Tên đối tượng]],'DANH MỤC ĐỐI TƯỢNG'!A:J,10,0),"")</f>
        <v/>
      </c>
    </row>
    <row r="1490" spans="1:9" x14ac:dyDescent="0.3">
      <c r="A1490" t="str">
        <f t="shared" si="50"/>
        <v/>
      </c>
      <c r="F1490" t="str">
        <f>IFERROR(VLOOKUP(Table1[[#This Row],[Tên đối tượng]],'DANH MỤC ĐỐI TƯỢNG'!A:E,5,0),"")</f>
        <v/>
      </c>
      <c r="G1490" t="str">
        <f>_xlfn.IFNA(VLOOKUP(Table1[[#This Row],[Tên đối tượng]],'DANH MỤC ĐỐI TƯỢNG'!A:F,6,0),"")</f>
        <v/>
      </c>
      <c r="H1490" t="str">
        <f>_xlfn.IFNA(VLOOKUP(Table1[[#This Row],[Tên đối tượng]],'DANH MỤC ĐỐI TƯỢNG'!A:I,9,0),"")</f>
        <v/>
      </c>
      <c r="I1490" t="str">
        <f>_xlfn.IFNA(VLOOKUP(Table1[[#This Row],[Tên đối tượng]],'DANH MỤC ĐỐI TƯỢNG'!A:J,10,0),"")</f>
        <v/>
      </c>
    </row>
    <row r="1491" spans="1:9" x14ac:dyDescent="0.3">
      <c r="A1491" t="str">
        <f t="shared" si="50"/>
        <v/>
      </c>
      <c r="F1491" t="str">
        <f>IFERROR(VLOOKUP(Table1[[#This Row],[Tên đối tượng]],'DANH MỤC ĐỐI TƯỢNG'!A:E,5,0),"")</f>
        <v/>
      </c>
      <c r="G1491" t="str">
        <f>_xlfn.IFNA(VLOOKUP(Table1[[#This Row],[Tên đối tượng]],'DANH MỤC ĐỐI TƯỢNG'!A:F,6,0),"")</f>
        <v/>
      </c>
      <c r="H1491" t="str">
        <f>_xlfn.IFNA(VLOOKUP(Table1[[#This Row],[Tên đối tượng]],'DANH MỤC ĐỐI TƯỢNG'!A:I,9,0),"")</f>
        <v/>
      </c>
      <c r="I1491" t="str">
        <f>_xlfn.IFNA(VLOOKUP(Table1[[#This Row],[Tên đối tượng]],'DANH MỤC ĐỐI TƯỢNG'!A:J,10,0),"")</f>
        <v/>
      </c>
    </row>
    <row r="1492" spans="1:9" x14ac:dyDescent="0.3">
      <c r="A1492" t="str">
        <f t="shared" si="50"/>
        <v/>
      </c>
      <c r="F1492" t="str">
        <f>IFERROR(VLOOKUP(Table1[[#This Row],[Tên đối tượng]],'DANH MỤC ĐỐI TƯỢNG'!A:E,5,0),"")</f>
        <v/>
      </c>
      <c r="G1492" t="str">
        <f>_xlfn.IFNA(VLOOKUP(Table1[[#This Row],[Tên đối tượng]],'DANH MỤC ĐỐI TƯỢNG'!A:F,6,0),"")</f>
        <v/>
      </c>
      <c r="H1492" t="str">
        <f>_xlfn.IFNA(VLOOKUP(Table1[[#This Row],[Tên đối tượng]],'DANH MỤC ĐỐI TƯỢNG'!A:I,9,0),"")</f>
        <v/>
      </c>
      <c r="I1492" t="str">
        <f>_xlfn.IFNA(VLOOKUP(Table1[[#This Row],[Tên đối tượng]],'DANH MỤC ĐỐI TƯỢNG'!A:J,10,0),"")</f>
        <v/>
      </c>
    </row>
    <row r="1493" spans="1:9" x14ac:dyDescent="0.3">
      <c r="A1493" t="str">
        <f t="shared" si="50"/>
        <v/>
      </c>
      <c r="F1493" t="str">
        <f>IFERROR(VLOOKUP(Table1[[#This Row],[Tên đối tượng]],'DANH MỤC ĐỐI TƯỢNG'!A:E,5,0),"")</f>
        <v/>
      </c>
      <c r="G1493" t="str">
        <f>_xlfn.IFNA(VLOOKUP(Table1[[#This Row],[Tên đối tượng]],'DANH MỤC ĐỐI TƯỢNG'!A:F,6,0),"")</f>
        <v/>
      </c>
      <c r="H1493" t="str">
        <f>_xlfn.IFNA(VLOOKUP(Table1[[#This Row],[Tên đối tượng]],'DANH MỤC ĐỐI TƯỢNG'!A:I,9,0),"")</f>
        <v/>
      </c>
      <c r="I1493" t="str">
        <f>_xlfn.IFNA(VLOOKUP(Table1[[#This Row],[Tên đối tượng]],'DANH MỤC ĐỐI TƯỢNG'!A:J,10,0),"")</f>
        <v/>
      </c>
    </row>
    <row r="1494" spans="1:9" x14ac:dyDescent="0.3">
      <c r="A1494" t="str">
        <f t="shared" si="50"/>
        <v/>
      </c>
      <c r="F1494" t="str">
        <f>IFERROR(VLOOKUP(Table1[[#This Row],[Tên đối tượng]],'DANH MỤC ĐỐI TƯỢNG'!A:E,5,0),"")</f>
        <v/>
      </c>
      <c r="G1494" t="str">
        <f>_xlfn.IFNA(VLOOKUP(Table1[[#This Row],[Tên đối tượng]],'DANH MỤC ĐỐI TƯỢNG'!A:F,6,0),"")</f>
        <v/>
      </c>
      <c r="H1494" t="str">
        <f>_xlfn.IFNA(VLOOKUP(Table1[[#This Row],[Tên đối tượng]],'DANH MỤC ĐỐI TƯỢNG'!A:I,9,0),"")</f>
        <v/>
      </c>
      <c r="I1494" t="str">
        <f>_xlfn.IFNA(VLOOKUP(Table1[[#This Row],[Tên đối tượng]],'DANH MỤC ĐỐI TƯỢNG'!A:J,10,0),"")</f>
        <v/>
      </c>
    </row>
    <row r="1495" spans="1:9" x14ac:dyDescent="0.3">
      <c r="A1495" t="str">
        <f t="shared" si="50"/>
        <v/>
      </c>
      <c r="F1495" t="str">
        <f>IFERROR(VLOOKUP(Table1[[#This Row],[Tên đối tượng]],'DANH MỤC ĐỐI TƯỢNG'!A:E,5,0),"")</f>
        <v/>
      </c>
      <c r="G1495" t="str">
        <f>_xlfn.IFNA(VLOOKUP(Table1[[#This Row],[Tên đối tượng]],'DANH MỤC ĐỐI TƯỢNG'!A:F,6,0),"")</f>
        <v/>
      </c>
      <c r="H1495" t="str">
        <f>_xlfn.IFNA(VLOOKUP(Table1[[#This Row],[Tên đối tượng]],'DANH MỤC ĐỐI TƯỢNG'!A:I,9,0),"")</f>
        <v/>
      </c>
      <c r="I1495" t="str">
        <f>_xlfn.IFNA(VLOOKUP(Table1[[#This Row],[Tên đối tượng]],'DANH MỤC ĐỐI TƯỢNG'!A:J,10,0),"")</f>
        <v/>
      </c>
    </row>
    <row r="1496" spans="1:9" x14ac:dyDescent="0.3">
      <c r="A1496" t="str">
        <f t="shared" si="50"/>
        <v/>
      </c>
      <c r="F1496" t="str">
        <f>IFERROR(VLOOKUP(Table1[[#This Row],[Tên đối tượng]],'DANH MỤC ĐỐI TƯỢNG'!A:E,5,0),"")</f>
        <v/>
      </c>
      <c r="G1496" t="str">
        <f>_xlfn.IFNA(VLOOKUP(Table1[[#This Row],[Tên đối tượng]],'DANH MỤC ĐỐI TƯỢNG'!A:F,6,0),"")</f>
        <v/>
      </c>
      <c r="H1496" t="str">
        <f>_xlfn.IFNA(VLOOKUP(Table1[[#This Row],[Tên đối tượng]],'DANH MỤC ĐỐI TƯỢNG'!A:I,9,0),"")</f>
        <v/>
      </c>
      <c r="I1496" t="str">
        <f>_xlfn.IFNA(VLOOKUP(Table1[[#This Row],[Tên đối tượng]],'DANH MỤC ĐỐI TƯỢNG'!A:J,10,0),"")</f>
        <v/>
      </c>
    </row>
    <row r="1497" spans="1:9" x14ac:dyDescent="0.3">
      <c r="A1497" t="str">
        <f t="shared" si="50"/>
        <v/>
      </c>
      <c r="F1497" t="str">
        <f>IFERROR(VLOOKUP(Table1[[#This Row],[Tên đối tượng]],'DANH MỤC ĐỐI TƯỢNG'!A:E,5,0),"")</f>
        <v/>
      </c>
      <c r="G1497" t="str">
        <f>_xlfn.IFNA(VLOOKUP(Table1[[#This Row],[Tên đối tượng]],'DANH MỤC ĐỐI TƯỢNG'!A:F,6,0),"")</f>
        <v/>
      </c>
      <c r="H1497" t="str">
        <f>_xlfn.IFNA(VLOOKUP(Table1[[#This Row],[Tên đối tượng]],'DANH MỤC ĐỐI TƯỢNG'!A:I,9,0),"")</f>
        <v/>
      </c>
      <c r="I1497" t="str">
        <f>_xlfn.IFNA(VLOOKUP(Table1[[#This Row],[Tên đối tượng]],'DANH MỤC ĐỐI TƯỢNG'!A:J,10,0),"")</f>
        <v/>
      </c>
    </row>
    <row r="1498" spans="1:9" x14ac:dyDescent="0.3">
      <c r="A1498" t="str">
        <f t="shared" si="50"/>
        <v/>
      </c>
      <c r="F1498" t="str">
        <f>IFERROR(VLOOKUP(Table1[[#This Row],[Tên đối tượng]],'DANH MỤC ĐỐI TƯỢNG'!A:E,5,0),"")</f>
        <v/>
      </c>
      <c r="G1498" t="str">
        <f>_xlfn.IFNA(VLOOKUP(Table1[[#This Row],[Tên đối tượng]],'DANH MỤC ĐỐI TƯỢNG'!A:F,6,0),"")</f>
        <v/>
      </c>
      <c r="H1498" t="str">
        <f>_xlfn.IFNA(VLOOKUP(Table1[[#This Row],[Tên đối tượng]],'DANH MỤC ĐỐI TƯỢNG'!A:I,9,0),"")</f>
        <v/>
      </c>
      <c r="I1498" t="str">
        <f>_xlfn.IFNA(VLOOKUP(Table1[[#This Row],[Tên đối tượng]],'DANH MỤC ĐỐI TƯỢNG'!A:J,10,0),"")</f>
        <v/>
      </c>
    </row>
    <row r="1499" spans="1:9" x14ac:dyDescent="0.3">
      <c r="A1499" t="str">
        <f t="shared" si="50"/>
        <v/>
      </c>
      <c r="F1499" t="str">
        <f>IFERROR(VLOOKUP(Table1[[#This Row],[Tên đối tượng]],'DANH MỤC ĐỐI TƯỢNG'!A:E,5,0),"")</f>
        <v/>
      </c>
      <c r="G1499" t="str">
        <f>_xlfn.IFNA(VLOOKUP(Table1[[#This Row],[Tên đối tượng]],'DANH MỤC ĐỐI TƯỢNG'!A:F,6,0),"")</f>
        <v/>
      </c>
      <c r="H1499" t="str">
        <f>_xlfn.IFNA(VLOOKUP(Table1[[#This Row],[Tên đối tượng]],'DANH MỤC ĐỐI TƯỢNG'!A:I,9,0),"")</f>
        <v/>
      </c>
      <c r="I1499" t="str">
        <f>_xlfn.IFNA(VLOOKUP(Table1[[#This Row],[Tên đối tượng]],'DANH MỤC ĐỐI TƯỢNG'!A:J,10,0),"")</f>
        <v/>
      </c>
    </row>
    <row r="1500" spans="1:9" x14ac:dyDescent="0.3">
      <c r="A1500" t="str">
        <f t="shared" si="50"/>
        <v/>
      </c>
      <c r="F1500" t="str">
        <f>IFERROR(VLOOKUP(Table1[[#This Row],[Tên đối tượng]],'DANH MỤC ĐỐI TƯỢNG'!A:E,5,0),"")</f>
        <v/>
      </c>
      <c r="G1500" t="str">
        <f>_xlfn.IFNA(VLOOKUP(Table1[[#This Row],[Tên đối tượng]],'DANH MỤC ĐỐI TƯỢNG'!A:F,6,0),"")</f>
        <v/>
      </c>
      <c r="H1500" t="str">
        <f>_xlfn.IFNA(VLOOKUP(Table1[[#This Row],[Tên đối tượng]],'DANH MỤC ĐỐI TƯỢNG'!A:I,9,0),"")</f>
        <v/>
      </c>
      <c r="I1500" t="str">
        <f>_xlfn.IFNA(VLOOKUP(Table1[[#This Row],[Tên đối tượng]],'DANH MỤC ĐỐI TƯỢNG'!A:J,10,0),"")</f>
        <v/>
      </c>
    </row>
    <row r="1501" spans="1:9" x14ac:dyDescent="0.3">
      <c r="A1501" t="str">
        <f t="shared" si="50"/>
        <v/>
      </c>
      <c r="F1501" t="str">
        <f>IFERROR(VLOOKUP(Table1[[#This Row],[Tên đối tượng]],'DANH MỤC ĐỐI TƯỢNG'!A:E,5,0),"")</f>
        <v/>
      </c>
      <c r="G1501" t="str">
        <f>_xlfn.IFNA(VLOOKUP(Table1[[#This Row],[Tên đối tượng]],'DANH MỤC ĐỐI TƯỢNG'!A:F,6,0),"")</f>
        <v/>
      </c>
      <c r="H1501" t="str">
        <f>_xlfn.IFNA(VLOOKUP(Table1[[#This Row],[Tên đối tượng]],'DANH MỤC ĐỐI TƯỢNG'!A:I,9,0),"")</f>
        <v/>
      </c>
      <c r="I1501" t="str">
        <f>_xlfn.IFNA(VLOOKUP(Table1[[#This Row],[Tên đối tượng]],'DANH MỤC ĐỐI TƯỢNG'!A:J,10,0),"")</f>
        <v/>
      </c>
    </row>
    <row r="1502" spans="1:9" x14ac:dyDescent="0.3">
      <c r="A1502" t="str">
        <f t="shared" si="50"/>
        <v/>
      </c>
      <c r="F1502" t="str">
        <f>IFERROR(VLOOKUP(Table1[[#This Row],[Tên đối tượng]],'DANH MỤC ĐỐI TƯỢNG'!A:E,5,0),"")</f>
        <v/>
      </c>
      <c r="G1502" t="str">
        <f>_xlfn.IFNA(VLOOKUP(Table1[[#This Row],[Tên đối tượng]],'DANH MỤC ĐỐI TƯỢNG'!A:F,6,0),"")</f>
        <v/>
      </c>
      <c r="H1502" t="str">
        <f>_xlfn.IFNA(VLOOKUP(Table1[[#This Row],[Tên đối tượng]],'DANH MỤC ĐỐI TƯỢNG'!A:I,9,0),"")</f>
        <v/>
      </c>
      <c r="I1502" t="str">
        <f>_xlfn.IFNA(VLOOKUP(Table1[[#This Row],[Tên đối tượng]],'DANH MỤC ĐỐI TƯỢNG'!A:J,10,0),"")</f>
        <v/>
      </c>
    </row>
    <row r="1503" spans="1:9" x14ac:dyDescent="0.3">
      <c r="A1503" t="str">
        <f t="shared" si="50"/>
        <v/>
      </c>
      <c r="F1503" t="str">
        <f>IFERROR(VLOOKUP(Table1[[#This Row],[Tên đối tượng]],'DANH MỤC ĐỐI TƯỢNG'!A:E,5,0),"")</f>
        <v/>
      </c>
      <c r="G1503" t="str">
        <f>_xlfn.IFNA(VLOOKUP(Table1[[#This Row],[Tên đối tượng]],'DANH MỤC ĐỐI TƯỢNG'!A:F,6,0),"")</f>
        <v/>
      </c>
      <c r="H1503" t="str">
        <f>_xlfn.IFNA(VLOOKUP(Table1[[#This Row],[Tên đối tượng]],'DANH MỤC ĐỐI TƯỢNG'!A:I,9,0),"")</f>
        <v/>
      </c>
      <c r="I1503" t="str">
        <f>_xlfn.IFNA(VLOOKUP(Table1[[#This Row],[Tên đối tượng]],'DANH MỤC ĐỐI TƯỢNG'!A:J,10,0),"")</f>
        <v/>
      </c>
    </row>
    <row r="1504" spans="1:9" x14ac:dyDescent="0.3">
      <c r="A1504" t="str">
        <f t="shared" si="50"/>
        <v/>
      </c>
      <c r="F1504" t="str">
        <f>IFERROR(VLOOKUP(Table1[[#This Row],[Tên đối tượng]],'DANH MỤC ĐỐI TƯỢNG'!A:E,5,0),"")</f>
        <v/>
      </c>
      <c r="G1504" t="str">
        <f>_xlfn.IFNA(VLOOKUP(Table1[[#This Row],[Tên đối tượng]],'DANH MỤC ĐỐI TƯỢNG'!A:F,6,0),"")</f>
        <v/>
      </c>
      <c r="H1504" t="str">
        <f>_xlfn.IFNA(VLOOKUP(Table1[[#This Row],[Tên đối tượng]],'DANH MỤC ĐỐI TƯỢNG'!A:I,9,0),"")</f>
        <v/>
      </c>
      <c r="I1504" t="str">
        <f>_xlfn.IFNA(VLOOKUP(Table1[[#This Row],[Tên đối tượng]],'DANH MỤC ĐỐI TƯỢNG'!A:J,10,0),"")</f>
        <v/>
      </c>
    </row>
    <row r="1505" spans="1:9" x14ac:dyDescent="0.3">
      <c r="A1505" t="str">
        <f t="shared" si="50"/>
        <v/>
      </c>
      <c r="F1505" t="str">
        <f>IFERROR(VLOOKUP(Table1[[#This Row],[Tên đối tượng]],'DANH MỤC ĐỐI TƯỢNG'!A:E,5,0),"")</f>
        <v/>
      </c>
      <c r="G1505" t="str">
        <f>_xlfn.IFNA(VLOOKUP(Table1[[#This Row],[Tên đối tượng]],'DANH MỤC ĐỐI TƯỢNG'!A:F,6,0),"")</f>
        <v/>
      </c>
      <c r="H1505" t="str">
        <f>_xlfn.IFNA(VLOOKUP(Table1[[#This Row],[Tên đối tượng]],'DANH MỤC ĐỐI TƯỢNG'!A:I,9,0),"")</f>
        <v/>
      </c>
      <c r="I1505" t="str">
        <f>_xlfn.IFNA(VLOOKUP(Table1[[#This Row],[Tên đối tượng]],'DANH MỤC ĐỐI TƯỢNG'!A:J,10,0),"")</f>
        <v/>
      </c>
    </row>
    <row r="1506" spans="1:9" x14ac:dyDescent="0.3">
      <c r="A1506" t="str">
        <f t="shared" si="50"/>
        <v/>
      </c>
      <c r="F1506" t="str">
        <f>IFERROR(VLOOKUP(Table1[[#This Row],[Tên đối tượng]],'DANH MỤC ĐỐI TƯỢNG'!A:E,5,0),"")</f>
        <v/>
      </c>
      <c r="G1506" t="str">
        <f>_xlfn.IFNA(VLOOKUP(Table1[[#This Row],[Tên đối tượng]],'DANH MỤC ĐỐI TƯỢNG'!A:F,6,0),"")</f>
        <v/>
      </c>
      <c r="H1506" t="str">
        <f>_xlfn.IFNA(VLOOKUP(Table1[[#This Row],[Tên đối tượng]],'DANH MỤC ĐỐI TƯỢNG'!A:I,9,0),"")</f>
        <v/>
      </c>
      <c r="I1506" t="str">
        <f>_xlfn.IFNA(VLOOKUP(Table1[[#This Row],[Tên đối tượng]],'DANH MỤC ĐỐI TƯỢNG'!A:J,10,0),"")</f>
        <v/>
      </c>
    </row>
    <row r="1507" spans="1:9" x14ac:dyDescent="0.3">
      <c r="A1507" t="str">
        <f t="shared" si="50"/>
        <v/>
      </c>
      <c r="F1507" t="str">
        <f>IFERROR(VLOOKUP(Table1[[#This Row],[Tên đối tượng]],'DANH MỤC ĐỐI TƯỢNG'!A:E,5,0),"")</f>
        <v/>
      </c>
      <c r="G1507" t="str">
        <f>_xlfn.IFNA(VLOOKUP(Table1[[#This Row],[Tên đối tượng]],'DANH MỤC ĐỐI TƯỢNG'!A:F,6,0),"")</f>
        <v/>
      </c>
      <c r="H1507" t="str">
        <f>_xlfn.IFNA(VLOOKUP(Table1[[#This Row],[Tên đối tượng]],'DANH MỤC ĐỐI TƯỢNG'!A:I,9,0),"")</f>
        <v/>
      </c>
      <c r="I1507" t="str">
        <f>_xlfn.IFNA(VLOOKUP(Table1[[#This Row],[Tên đối tượng]],'DANH MỤC ĐỐI TƯỢNG'!A:J,10,0),"")</f>
        <v/>
      </c>
    </row>
    <row r="1508" spans="1:9" x14ac:dyDescent="0.3">
      <c r="A1508" t="str">
        <f t="shared" si="50"/>
        <v/>
      </c>
      <c r="F1508" t="str">
        <f>IFERROR(VLOOKUP(Table1[[#This Row],[Tên đối tượng]],'DANH MỤC ĐỐI TƯỢNG'!A:E,5,0),"")</f>
        <v/>
      </c>
      <c r="G1508" t="str">
        <f>_xlfn.IFNA(VLOOKUP(Table1[[#This Row],[Tên đối tượng]],'DANH MỤC ĐỐI TƯỢNG'!A:F,6,0),"")</f>
        <v/>
      </c>
      <c r="H1508" t="str">
        <f>_xlfn.IFNA(VLOOKUP(Table1[[#This Row],[Tên đối tượng]],'DANH MỤC ĐỐI TƯỢNG'!A:I,9,0),"")</f>
        <v/>
      </c>
      <c r="I1508" t="str">
        <f>_xlfn.IFNA(VLOOKUP(Table1[[#This Row],[Tên đối tượng]],'DANH MỤC ĐỐI TƯỢNG'!A:J,10,0),"")</f>
        <v/>
      </c>
    </row>
    <row r="1509" spans="1:9" x14ac:dyDescent="0.3">
      <c r="A1509" t="str">
        <f t="shared" si="50"/>
        <v/>
      </c>
      <c r="F1509" t="str">
        <f>IFERROR(VLOOKUP(Table1[[#This Row],[Tên đối tượng]],'DANH MỤC ĐỐI TƯỢNG'!A:E,5,0),"")</f>
        <v/>
      </c>
      <c r="G1509" t="str">
        <f>_xlfn.IFNA(VLOOKUP(Table1[[#This Row],[Tên đối tượng]],'DANH MỤC ĐỐI TƯỢNG'!A:F,6,0),"")</f>
        <v/>
      </c>
      <c r="H1509" t="str">
        <f>_xlfn.IFNA(VLOOKUP(Table1[[#This Row],[Tên đối tượng]],'DANH MỤC ĐỐI TƯỢNG'!A:I,9,0),"")</f>
        <v/>
      </c>
      <c r="I1509" t="str">
        <f>_xlfn.IFNA(VLOOKUP(Table1[[#This Row],[Tên đối tượng]],'DANH MỤC ĐỐI TƯỢNG'!A:J,10,0),"")</f>
        <v/>
      </c>
    </row>
    <row r="1510" spans="1:9" x14ac:dyDescent="0.3">
      <c r="A1510" t="str">
        <f t="shared" si="50"/>
        <v/>
      </c>
      <c r="F1510" t="str">
        <f>IFERROR(VLOOKUP(Table1[[#This Row],[Tên đối tượng]],'DANH MỤC ĐỐI TƯỢNG'!A:E,5,0),"")</f>
        <v/>
      </c>
      <c r="G1510" t="str">
        <f>_xlfn.IFNA(VLOOKUP(Table1[[#This Row],[Tên đối tượng]],'DANH MỤC ĐỐI TƯỢNG'!A:F,6,0),"")</f>
        <v/>
      </c>
      <c r="H1510" t="str">
        <f>_xlfn.IFNA(VLOOKUP(Table1[[#This Row],[Tên đối tượng]],'DANH MỤC ĐỐI TƯỢNG'!A:I,9,0),"")</f>
        <v/>
      </c>
      <c r="I1510" t="str">
        <f>_xlfn.IFNA(VLOOKUP(Table1[[#This Row],[Tên đối tượng]],'DANH MỤC ĐỐI TƯỢNG'!A:J,10,0),"")</f>
        <v/>
      </c>
    </row>
    <row r="1511" spans="1:9" x14ac:dyDescent="0.3">
      <c r="A1511" t="str">
        <f t="shared" si="50"/>
        <v/>
      </c>
      <c r="F1511" t="str">
        <f>IFERROR(VLOOKUP(Table1[[#This Row],[Tên đối tượng]],'DANH MỤC ĐỐI TƯỢNG'!A:E,5,0),"")</f>
        <v/>
      </c>
      <c r="G1511" t="str">
        <f>_xlfn.IFNA(VLOOKUP(Table1[[#This Row],[Tên đối tượng]],'DANH MỤC ĐỐI TƯỢNG'!A:F,6,0),"")</f>
        <v/>
      </c>
      <c r="H1511" t="str">
        <f>_xlfn.IFNA(VLOOKUP(Table1[[#This Row],[Tên đối tượng]],'DANH MỤC ĐỐI TƯỢNG'!A:I,9,0),"")</f>
        <v/>
      </c>
      <c r="I1511" t="str">
        <f>_xlfn.IFNA(VLOOKUP(Table1[[#This Row],[Tên đối tượng]],'DANH MỤC ĐỐI TƯỢNG'!A:J,10,0),"")</f>
        <v/>
      </c>
    </row>
    <row r="1512" spans="1:9" x14ac:dyDescent="0.3">
      <c r="A1512" t="str">
        <f t="shared" si="50"/>
        <v/>
      </c>
      <c r="F1512" t="str">
        <f>IFERROR(VLOOKUP(Table1[[#This Row],[Tên đối tượng]],'DANH MỤC ĐỐI TƯỢNG'!A:E,5,0),"")</f>
        <v/>
      </c>
      <c r="G1512" t="str">
        <f>_xlfn.IFNA(VLOOKUP(Table1[[#This Row],[Tên đối tượng]],'DANH MỤC ĐỐI TƯỢNG'!A:F,6,0),"")</f>
        <v/>
      </c>
      <c r="H1512" t="str">
        <f>_xlfn.IFNA(VLOOKUP(Table1[[#This Row],[Tên đối tượng]],'DANH MỤC ĐỐI TƯỢNG'!A:I,9,0),"")</f>
        <v/>
      </c>
      <c r="I1512" t="str">
        <f>_xlfn.IFNA(VLOOKUP(Table1[[#This Row],[Tên đối tượng]],'DANH MỤC ĐỐI TƯỢNG'!A:J,10,0),"")</f>
        <v/>
      </c>
    </row>
    <row r="1513" spans="1:9" x14ac:dyDescent="0.3">
      <c r="A1513" t="str">
        <f t="shared" si="50"/>
        <v/>
      </c>
      <c r="F1513" t="str">
        <f>IFERROR(VLOOKUP(Table1[[#This Row],[Tên đối tượng]],'DANH MỤC ĐỐI TƯỢNG'!A:E,5,0),"")</f>
        <v/>
      </c>
      <c r="G1513" t="str">
        <f>_xlfn.IFNA(VLOOKUP(Table1[[#This Row],[Tên đối tượng]],'DANH MỤC ĐỐI TƯỢNG'!A:F,6,0),"")</f>
        <v/>
      </c>
      <c r="H1513" t="str">
        <f>_xlfn.IFNA(VLOOKUP(Table1[[#This Row],[Tên đối tượng]],'DANH MỤC ĐỐI TƯỢNG'!A:I,9,0),"")</f>
        <v/>
      </c>
      <c r="I1513" t="str">
        <f>_xlfn.IFNA(VLOOKUP(Table1[[#This Row],[Tên đối tượng]],'DANH MỤC ĐỐI TƯỢNG'!A:J,10,0),"")</f>
        <v/>
      </c>
    </row>
    <row r="1514" spans="1:9" x14ac:dyDescent="0.3">
      <c r="A1514" t="str">
        <f t="shared" si="50"/>
        <v/>
      </c>
      <c r="F1514" t="str">
        <f>IFERROR(VLOOKUP(Table1[[#This Row],[Tên đối tượng]],'DANH MỤC ĐỐI TƯỢNG'!A:E,5,0),"")</f>
        <v/>
      </c>
      <c r="G1514" t="str">
        <f>_xlfn.IFNA(VLOOKUP(Table1[[#This Row],[Tên đối tượng]],'DANH MỤC ĐỐI TƯỢNG'!A:F,6,0),"")</f>
        <v/>
      </c>
      <c r="H1514" t="str">
        <f>_xlfn.IFNA(VLOOKUP(Table1[[#This Row],[Tên đối tượng]],'DANH MỤC ĐỐI TƯỢNG'!A:I,9,0),"")</f>
        <v/>
      </c>
      <c r="I1514" t="str">
        <f>_xlfn.IFNA(VLOOKUP(Table1[[#This Row],[Tên đối tượng]],'DANH MỤC ĐỐI TƯỢNG'!A:J,10,0),"")</f>
        <v/>
      </c>
    </row>
    <row r="1515" spans="1:9" x14ac:dyDescent="0.3">
      <c r="A1515" t="str">
        <f t="shared" si="50"/>
        <v/>
      </c>
      <c r="F1515" t="str">
        <f>IFERROR(VLOOKUP(Table1[[#This Row],[Tên đối tượng]],'DANH MỤC ĐỐI TƯỢNG'!A:E,5,0),"")</f>
        <v/>
      </c>
      <c r="G1515" t="str">
        <f>_xlfn.IFNA(VLOOKUP(Table1[[#This Row],[Tên đối tượng]],'DANH MỤC ĐỐI TƯỢNG'!A:F,6,0),"")</f>
        <v/>
      </c>
      <c r="H1515" t="str">
        <f>_xlfn.IFNA(VLOOKUP(Table1[[#This Row],[Tên đối tượng]],'DANH MỤC ĐỐI TƯỢNG'!A:I,9,0),"")</f>
        <v/>
      </c>
      <c r="I1515" t="str">
        <f>_xlfn.IFNA(VLOOKUP(Table1[[#This Row],[Tên đối tượng]],'DANH MỤC ĐỐI TƯỢNG'!A:J,10,0),"")</f>
        <v/>
      </c>
    </row>
    <row r="1516" spans="1:9" x14ac:dyDescent="0.3">
      <c r="A1516" t="str">
        <f t="shared" si="50"/>
        <v/>
      </c>
      <c r="F1516" t="str">
        <f>IFERROR(VLOOKUP(Table1[[#This Row],[Tên đối tượng]],'DANH MỤC ĐỐI TƯỢNG'!A:E,5,0),"")</f>
        <v/>
      </c>
      <c r="G1516" t="str">
        <f>_xlfn.IFNA(VLOOKUP(Table1[[#This Row],[Tên đối tượng]],'DANH MỤC ĐỐI TƯỢNG'!A:F,6,0),"")</f>
        <v/>
      </c>
      <c r="H1516" t="str">
        <f>_xlfn.IFNA(VLOOKUP(Table1[[#This Row],[Tên đối tượng]],'DANH MỤC ĐỐI TƯỢNG'!A:I,9,0),"")</f>
        <v/>
      </c>
      <c r="I1516" t="str">
        <f>_xlfn.IFNA(VLOOKUP(Table1[[#This Row],[Tên đối tượng]],'DANH MỤC ĐỐI TƯỢNG'!A:J,10,0),"")</f>
        <v/>
      </c>
    </row>
    <row r="1517" spans="1:9" x14ac:dyDescent="0.3">
      <c r="A1517" t="str">
        <f t="shared" si="50"/>
        <v/>
      </c>
      <c r="F1517" t="str">
        <f>IFERROR(VLOOKUP(Table1[[#This Row],[Tên đối tượng]],'DANH MỤC ĐỐI TƯỢNG'!A:E,5,0),"")</f>
        <v/>
      </c>
      <c r="G1517" t="str">
        <f>_xlfn.IFNA(VLOOKUP(Table1[[#This Row],[Tên đối tượng]],'DANH MỤC ĐỐI TƯỢNG'!A:F,6,0),"")</f>
        <v/>
      </c>
      <c r="H1517" t="str">
        <f>_xlfn.IFNA(VLOOKUP(Table1[[#This Row],[Tên đối tượng]],'DANH MỤC ĐỐI TƯỢNG'!A:I,9,0),"")</f>
        <v/>
      </c>
      <c r="I1517" t="str">
        <f>_xlfn.IFNA(VLOOKUP(Table1[[#This Row],[Tên đối tượng]],'DANH MỤC ĐỐI TƯỢNG'!A:J,10,0),"")</f>
        <v/>
      </c>
    </row>
    <row r="1518" spans="1:9" x14ac:dyDescent="0.3">
      <c r="A1518" t="str">
        <f t="shared" si="50"/>
        <v/>
      </c>
      <c r="F1518" t="str">
        <f>IFERROR(VLOOKUP(Table1[[#This Row],[Tên đối tượng]],'DANH MỤC ĐỐI TƯỢNG'!A:E,5,0),"")</f>
        <v/>
      </c>
      <c r="G1518" t="str">
        <f>_xlfn.IFNA(VLOOKUP(Table1[[#This Row],[Tên đối tượng]],'DANH MỤC ĐỐI TƯỢNG'!A:F,6,0),"")</f>
        <v/>
      </c>
      <c r="H1518" t="str">
        <f>_xlfn.IFNA(VLOOKUP(Table1[[#This Row],[Tên đối tượng]],'DANH MỤC ĐỐI TƯỢNG'!A:I,9,0),"")</f>
        <v/>
      </c>
      <c r="I1518" t="str">
        <f>_xlfn.IFNA(VLOOKUP(Table1[[#This Row],[Tên đối tượng]],'DANH MỤC ĐỐI TƯỢNG'!A:J,10,0),"")</f>
        <v/>
      </c>
    </row>
    <row r="1519" spans="1:9" x14ac:dyDescent="0.3">
      <c r="A1519" t="str">
        <f t="shared" si="50"/>
        <v/>
      </c>
      <c r="F1519" t="str">
        <f>IFERROR(VLOOKUP(Table1[[#This Row],[Tên đối tượng]],'DANH MỤC ĐỐI TƯỢNG'!A:E,5,0),"")</f>
        <v/>
      </c>
      <c r="G1519" t="str">
        <f>_xlfn.IFNA(VLOOKUP(Table1[[#This Row],[Tên đối tượng]],'DANH MỤC ĐỐI TƯỢNG'!A:F,6,0),"")</f>
        <v/>
      </c>
      <c r="H1519" t="str">
        <f>_xlfn.IFNA(VLOOKUP(Table1[[#This Row],[Tên đối tượng]],'DANH MỤC ĐỐI TƯỢNG'!A:I,9,0),"")</f>
        <v/>
      </c>
      <c r="I1519" t="str">
        <f>_xlfn.IFNA(VLOOKUP(Table1[[#This Row],[Tên đối tượng]],'DANH MỤC ĐỐI TƯỢNG'!A:J,10,0),"")</f>
        <v/>
      </c>
    </row>
    <row r="1520" spans="1:9" x14ac:dyDescent="0.3">
      <c r="A1520" t="str">
        <f t="shared" si="50"/>
        <v/>
      </c>
      <c r="F1520" t="str">
        <f>IFERROR(VLOOKUP(Table1[[#This Row],[Tên đối tượng]],'DANH MỤC ĐỐI TƯỢNG'!A:E,5,0),"")</f>
        <v/>
      </c>
      <c r="G1520" t="str">
        <f>_xlfn.IFNA(VLOOKUP(Table1[[#This Row],[Tên đối tượng]],'DANH MỤC ĐỐI TƯỢNG'!A:F,6,0),"")</f>
        <v/>
      </c>
      <c r="H1520" t="str">
        <f>_xlfn.IFNA(VLOOKUP(Table1[[#This Row],[Tên đối tượng]],'DANH MỤC ĐỐI TƯỢNG'!A:I,9,0),"")</f>
        <v/>
      </c>
      <c r="I1520" t="str">
        <f>_xlfn.IFNA(VLOOKUP(Table1[[#This Row],[Tên đối tượng]],'DANH MỤC ĐỐI TƯỢNG'!A:J,10,0),"")</f>
        <v/>
      </c>
    </row>
    <row r="1521" spans="1:9" x14ac:dyDescent="0.3">
      <c r="A1521" t="str">
        <f t="shared" si="50"/>
        <v/>
      </c>
      <c r="F1521" t="str">
        <f>IFERROR(VLOOKUP(Table1[[#This Row],[Tên đối tượng]],'DANH MỤC ĐỐI TƯỢNG'!A:E,5,0),"")</f>
        <v/>
      </c>
      <c r="G1521" t="str">
        <f>_xlfn.IFNA(VLOOKUP(Table1[[#This Row],[Tên đối tượng]],'DANH MỤC ĐỐI TƯỢNG'!A:F,6,0),"")</f>
        <v/>
      </c>
      <c r="H1521" t="str">
        <f>_xlfn.IFNA(VLOOKUP(Table1[[#This Row],[Tên đối tượng]],'DANH MỤC ĐỐI TƯỢNG'!A:I,9,0),"")</f>
        <v/>
      </c>
      <c r="I1521" t="str">
        <f>_xlfn.IFNA(VLOOKUP(Table1[[#This Row],[Tên đối tượng]],'DANH MỤC ĐỐI TƯỢNG'!A:J,10,0),"")</f>
        <v/>
      </c>
    </row>
    <row r="1522" spans="1:9" x14ac:dyDescent="0.3">
      <c r="A1522" t="str">
        <f t="shared" si="50"/>
        <v/>
      </c>
      <c r="F1522" t="str">
        <f>IFERROR(VLOOKUP(Table1[[#This Row],[Tên đối tượng]],'DANH MỤC ĐỐI TƯỢNG'!A:E,5,0),"")</f>
        <v/>
      </c>
      <c r="G1522" t="str">
        <f>_xlfn.IFNA(VLOOKUP(Table1[[#This Row],[Tên đối tượng]],'DANH MỤC ĐỐI TƯỢNG'!A:F,6,0),"")</f>
        <v/>
      </c>
      <c r="H1522" t="str">
        <f>_xlfn.IFNA(VLOOKUP(Table1[[#This Row],[Tên đối tượng]],'DANH MỤC ĐỐI TƯỢNG'!A:I,9,0),"")</f>
        <v/>
      </c>
      <c r="I1522" t="str">
        <f>_xlfn.IFNA(VLOOKUP(Table1[[#This Row],[Tên đối tượng]],'DANH MỤC ĐỐI TƯỢNG'!A:J,10,0),"")</f>
        <v/>
      </c>
    </row>
    <row r="1523" spans="1:9" x14ac:dyDescent="0.3">
      <c r="A1523" t="str">
        <f t="shared" si="50"/>
        <v/>
      </c>
      <c r="F1523" t="str">
        <f>IFERROR(VLOOKUP(Table1[[#This Row],[Tên đối tượng]],'DANH MỤC ĐỐI TƯỢNG'!A:E,5,0),"")</f>
        <v/>
      </c>
      <c r="G1523" t="str">
        <f>_xlfn.IFNA(VLOOKUP(Table1[[#This Row],[Tên đối tượng]],'DANH MỤC ĐỐI TƯỢNG'!A:F,6,0),"")</f>
        <v/>
      </c>
      <c r="H1523" t="str">
        <f>_xlfn.IFNA(VLOOKUP(Table1[[#This Row],[Tên đối tượng]],'DANH MỤC ĐỐI TƯỢNG'!A:I,9,0),"")</f>
        <v/>
      </c>
      <c r="I1523" t="str">
        <f>_xlfn.IFNA(VLOOKUP(Table1[[#This Row],[Tên đối tượng]],'DANH MỤC ĐỐI TƯỢNG'!A:J,10,0),"")</f>
        <v/>
      </c>
    </row>
    <row r="1524" spans="1:9" x14ac:dyDescent="0.3">
      <c r="A1524" t="str">
        <f t="shared" si="50"/>
        <v/>
      </c>
      <c r="F1524" t="str">
        <f>IFERROR(VLOOKUP(Table1[[#This Row],[Tên đối tượng]],'DANH MỤC ĐỐI TƯỢNG'!A:E,5,0),"")</f>
        <v/>
      </c>
      <c r="G1524" t="str">
        <f>_xlfn.IFNA(VLOOKUP(Table1[[#This Row],[Tên đối tượng]],'DANH MỤC ĐỐI TƯỢNG'!A:F,6,0),"")</f>
        <v/>
      </c>
      <c r="H1524" t="str">
        <f>_xlfn.IFNA(VLOOKUP(Table1[[#This Row],[Tên đối tượng]],'DANH MỤC ĐỐI TƯỢNG'!A:I,9,0),"")</f>
        <v/>
      </c>
      <c r="I1524" t="str">
        <f>_xlfn.IFNA(VLOOKUP(Table1[[#This Row],[Tên đối tượng]],'DANH MỤC ĐỐI TƯỢNG'!A:J,10,0),"")</f>
        <v/>
      </c>
    </row>
    <row r="1525" spans="1:9" x14ac:dyDescent="0.3">
      <c r="A1525" t="str">
        <f t="shared" si="50"/>
        <v/>
      </c>
      <c r="F1525" t="str">
        <f>IFERROR(VLOOKUP(Table1[[#This Row],[Tên đối tượng]],'DANH MỤC ĐỐI TƯỢNG'!A:E,5,0),"")</f>
        <v/>
      </c>
      <c r="G1525" t="str">
        <f>_xlfn.IFNA(VLOOKUP(Table1[[#This Row],[Tên đối tượng]],'DANH MỤC ĐỐI TƯỢNG'!A:F,6,0),"")</f>
        <v/>
      </c>
      <c r="H1525" t="str">
        <f>_xlfn.IFNA(VLOOKUP(Table1[[#This Row],[Tên đối tượng]],'DANH MỤC ĐỐI TƯỢNG'!A:I,9,0),"")</f>
        <v/>
      </c>
      <c r="I1525" t="str">
        <f>_xlfn.IFNA(VLOOKUP(Table1[[#This Row],[Tên đối tượng]],'DANH MỤC ĐỐI TƯỢNG'!A:J,10,0),"")</f>
        <v/>
      </c>
    </row>
    <row r="1526" spans="1:9" x14ac:dyDescent="0.3">
      <c r="A1526" t="str">
        <f t="shared" si="50"/>
        <v/>
      </c>
      <c r="F1526" t="str">
        <f>IFERROR(VLOOKUP(Table1[[#This Row],[Tên đối tượng]],'DANH MỤC ĐỐI TƯỢNG'!A:E,5,0),"")</f>
        <v/>
      </c>
      <c r="G1526" t="str">
        <f>_xlfn.IFNA(VLOOKUP(Table1[[#This Row],[Tên đối tượng]],'DANH MỤC ĐỐI TƯỢNG'!A:F,6,0),"")</f>
        <v/>
      </c>
      <c r="H1526" t="str">
        <f>_xlfn.IFNA(VLOOKUP(Table1[[#This Row],[Tên đối tượng]],'DANH MỤC ĐỐI TƯỢNG'!A:I,9,0),"")</f>
        <v/>
      </c>
      <c r="I1526" t="str">
        <f>_xlfn.IFNA(VLOOKUP(Table1[[#This Row],[Tên đối tượng]],'DANH MỤC ĐỐI TƯỢNG'!A:J,10,0),"")</f>
        <v/>
      </c>
    </row>
    <row r="1527" spans="1:9" x14ac:dyDescent="0.3">
      <c r="A1527" t="str">
        <f t="shared" si="50"/>
        <v/>
      </c>
      <c r="F1527" t="str">
        <f>IFERROR(VLOOKUP(Table1[[#This Row],[Tên đối tượng]],'DANH MỤC ĐỐI TƯỢNG'!A:E,5,0),"")</f>
        <v/>
      </c>
      <c r="G1527" t="str">
        <f>_xlfn.IFNA(VLOOKUP(Table1[[#This Row],[Tên đối tượng]],'DANH MỤC ĐỐI TƯỢNG'!A:F,6,0),"")</f>
        <v/>
      </c>
      <c r="H1527" t="str">
        <f>_xlfn.IFNA(VLOOKUP(Table1[[#This Row],[Tên đối tượng]],'DANH MỤC ĐỐI TƯỢNG'!A:I,9,0),"")</f>
        <v/>
      </c>
      <c r="I1527" t="str">
        <f>_xlfn.IFNA(VLOOKUP(Table1[[#This Row],[Tên đối tượng]],'DANH MỤC ĐỐI TƯỢNG'!A:J,10,0),"")</f>
        <v/>
      </c>
    </row>
    <row r="1528" spans="1:9" x14ac:dyDescent="0.3">
      <c r="A1528" t="str">
        <f t="shared" si="50"/>
        <v/>
      </c>
      <c r="F1528" t="str">
        <f>IFERROR(VLOOKUP(Table1[[#This Row],[Tên đối tượng]],'DANH MỤC ĐỐI TƯỢNG'!A:E,5,0),"")</f>
        <v/>
      </c>
      <c r="G1528" t="str">
        <f>_xlfn.IFNA(VLOOKUP(Table1[[#This Row],[Tên đối tượng]],'DANH MỤC ĐỐI TƯỢNG'!A:F,6,0),"")</f>
        <v/>
      </c>
      <c r="H1528" t="str">
        <f>_xlfn.IFNA(VLOOKUP(Table1[[#This Row],[Tên đối tượng]],'DANH MỤC ĐỐI TƯỢNG'!A:I,9,0),"")</f>
        <v/>
      </c>
      <c r="I1528" t="str">
        <f>_xlfn.IFNA(VLOOKUP(Table1[[#This Row],[Tên đối tượng]],'DANH MỤC ĐỐI TƯỢNG'!A:J,10,0),"")</f>
        <v/>
      </c>
    </row>
    <row r="1529" spans="1:9" x14ac:dyDescent="0.3">
      <c r="A1529" t="str">
        <f t="shared" si="50"/>
        <v/>
      </c>
      <c r="F1529" t="str">
        <f>IFERROR(VLOOKUP(Table1[[#This Row],[Tên đối tượng]],'DANH MỤC ĐỐI TƯỢNG'!A:E,5,0),"")</f>
        <v/>
      </c>
      <c r="G1529" t="str">
        <f>_xlfn.IFNA(VLOOKUP(Table1[[#This Row],[Tên đối tượng]],'DANH MỤC ĐỐI TƯỢNG'!A:F,6,0),"")</f>
        <v/>
      </c>
      <c r="H1529" t="str">
        <f>_xlfn.IFNA(VLOOKUP(Table1[[#This Row],[Tên đối tượng]],'DANH MỤC ĐỐI TƯỢNG'!A:I,9,0),"")</f>
        <v/>
      </c>
      <c r="I1529" t="str">
        <f>_xlfn.IFNA(VLOOKUP(Table1[[#This Row],[Tên đối tượng]],'DANH MỤC ĐỐI TƯỢNG'!A:J,10,0),"")</f>
        <v/>
      </c>
    </row>
    <row r="1530" spans="1:9" x14ac:dyDescent="0.3">
      <c r="A1530" t="str">
        <f t="shared" si="50"/>
        <v/>
      </c>
      <c r="F1530" t="str">
        <f>IFERROR(VLOOKUP(Table1[[#This Row],[Tên đối tượng]],'DANH MỤC ĐỐI TƯỢNG'!A:E,5,0),"")</f>
        <v/>
      </c>
      <c r="G1530" t="str">
        <f>_xlfn.IFNA(VLOOKUP(Table1[[#This Row],[Tên đối tượng]],'DANH MỤC ĐỐI TƯỢNG'!A:F,6,0),"")</f>
        <v/>
      </c>
      <c r="H1530" t="str">
        <f>_xlfn.IFNA(VLOOKUP(Table1[[#This Row],[Tên đối tượng]],'DANH MỤC ĐỐI TƯỢNG'!A:I,9,0),"")</f>
        <v/>
      </c>
      <c r="I1530" t="str">
        <f>_xlfn.IFNA(VLOOKUP(Table1[[#This Row],[Tên đối tượng]],'DANH MỤC ĐỐI TƯỢNG'!A:J,10,0),"")</f>
        <v/>
      </c>
    </row>
    <row r="1531" spans="1:9" x14ac:dyDescent="0.3">
      <c r="A1531" t="str">
        <f t="shared" si="50"/>
        <v/>
      </c>
      <c r="F1531" t="str">
        <f>IFERROR(VLOOKUP(Table1[[#This Row],[Tên đối tượng]],'DANH MỤC ĐỐI TƯỢNG'!A:E,5,0),"")</f>
        <v/>
      </c>
      <c r="G1531" t="str">
        <f>_xlfn.IFNA(VLOOKUP(Table1[[#This Row],[Tên đối tượng]],'DANH MỤC ĐỐI TƯỢNG'!A:F,6,0),"")</f>
        <v/>
      </c>
      <c r="H1531" t="str">
        <f>_xlfn.IFNA(VLOOKUP(Table1[[#This Row],[Tên đối tượng]],'DANH MỤC ĐỐI TƯỢNG'!A:I,9,0),"")</f>
        <v/>
      </c>
      <c r="I1531" t="str">
        <f>_xlfn.IFNA(VLOOKUP(Table1[[#This Row],[Tên đối tượng]],'DANH MỤC ĐỐI TƯỢNG'!A:J,10,0),"")</f>
        <v/>
      </c>
    </row>
    <row r="1532" spans="1:9" x14ac:dyDescent="0.3">
      <c r="A1532" t="str">
        <f t="shared" si="50"/>
        <v/>
      </c>
      <c r="F1532" t="str">
        <f>IFERROR(VLOOKUP(Table1[[#This Row],[Tên đối tượng]],'DANH MỤC ĐỐI TƯỢNG'!A:E,5,0),"")</f>
        <v/>
      </c>
      <c r="G1532" t="str">
        <f>_xlfn.IFNA(VLOOKUP(Table1[[#This Row],[Tên đối tượng]],'DANH MỤC ĐỐI TƯỢNG'!A:F,6,0),"")</f>
        <v/>
      </c>
      <c r="H1532" t="str">
        <f>_xlfn.IFNA(VLOOKUP(Table1[[#This Row],[Tên đối tượng]],'DANH MỤC ĐỐI TƯỢNG'!A:I,9,0),"")</f>
        <v/>
      </c>
      <c r="I1532" t="str">
        <f>_xlfn.IFNA(VLOOKUP(Table1[[#This Row],[Tên đối tượng]],'DANH MỤC ĐỐI TƯỢNG'!A:J,10,0),"")</f>
        <v/>
      </c>
    </row>
    <row r="1533" spans="1:9" x14ac:dyDescent="0.3">
      <c r="A1533" t="str">
        <f t="shared" si="50"/>
        <v/>
      </c>
      <c r="F1533" t="str">
        <f>IFERROR(VLOOKUP(Table1[[#This Row],[Tên đối tượng]],'DANH MỤC ĐỐI TƯỢNG'!A:E,5,0),"")</f>
        <v/>
      </c>
      <c r="G1533" t="str">
        <f>_xlfn.IFNA(VLOOKUP(Table1[[#This Row],[Tên đối tượng]],'DANH MỤC ĐỐI TƯỢNG'!A:F,6,0),"")</f>
        <v/>
      </c>
      <c r="H1533" t="str">
        <f>_xlfn.IFNA(VLOOKUP(Table1[[#This Row],[Tên đối tượng]],'DANH MỤC ĐỐI TƯỢNG'!A:I,9,0),"")</f>
        <v/>
      </c>
      <c r="I1533" t="str">
        <f>_xlfn.IFNA(VLOOKUP(Table1[[#This Row],[Tên đối tượng]],'DANH MỤC ĐỐI TƯỢNG'!A:J,10,0),"")</f>
        <v/>
      </c>
    </row>
    <row r="1534" spans="1:9" x14ac:dyDescent="0.3">
      <c r="A1534" t="str">
        <f t="shared" si="50"/>
        <v/>
      </c>
      <c r="F1534" t="str">
        <f>IFERROR(VLOOKUP(Table1[[#This Row],[Tên đối tượng]],'DANH MỤC ĐỐI TƯỢNG'!A:E,5,0),"")</f>
        <v/>
      </c>
      <c r="G1534" t="str">
        <f>_xlfn.IFNA(VLOOKUP(Table1[[#This Row],[Tên đối tượng]],'DANH MỤC ĐỐI TƯỢNG'!A:F,6,0),"")</f>
        <v/>
      </c>
      <c r="H1534" t="str">
        <f>_xlfn.IFNA(VLOOKUP(Table1[[#This Row],[Tên đối tượng]],'DANH MỤC ĐỐI TƯỢNG'!A:I,9,0),"")</f>
        <v/>
      </c>
      <c r="I1534" t="str">
        <f>_xlfn.IFNA(VLOOKUP(Table1[[#This Row],[Tên đối tượng]],'DANH MỤC ĐỐI TƯỢNG'!A:J,10,0),"")</f>
        <v/>
      </c>
    </row>
    <row r="1535" spans="1:9" x14ac:dyDescent="0.3">
      <c r="A1535" t="str">
        <f t="shared" si="50"/>
        <v/>
      </c>
      <c r="F1535" t="str">
        <f>IFERROR(VLOOKUP(Table1[[#This Row],[Tên đối tượng]],'DANH MỤC ĐỐI TƯỢNG'!A:E,5,0),"")</f>
        <v/>
      </c>
      <c r="G1535" t="str">
        <f>_xlfn.IFNA(VLOOKUP(Table1[[#This Row],[Tên đối tượng]],'DANH MỤC ĐỐI TƯỢNG'!A:F,6,0),"")</f>
        <v/>
      </c>
      <c r="H1535" t="str">
        <f>_xlfn.IFNA(VLOOKUP(Table1[[#This Row],[Tên đối tượng]],'DANH MỤC ĐỐI TƯỢNG'!A:I,9,0),"")</f>
        <v/>
      </c>
      <c r="I1535" t="str">
        <f>_xlfn.IFNA(VLOOKUP(Table1[[#This Row],[Tên đối tượng]],'DANH MỤC ĐỐI TƯỢNG'!A:J,10,0),"")</f>
        <v/>
      </c>
    </row>
    <row r="1536" spans="1:9" x14ac:dyDescent="0.3">
      <c r="A1536" t="str">
        <f t="shared" ref="A1536:A1599" si="51">IF(B1536&lt;&gt;0,ROW()-3,"")</f>
        <v/>
      </c>
      <c r="F1536" t="str">
        <f>IFERROR(VLOOKUP(Table1[[#This Row],[Tên đối tượng]],'DANH MỤC ĐỐI TƯỢNG'!A:E,5,0),"")</f>
        <v/>
      </c>
      <c r="G1536" t="str">
        <f>_xlfn.IFNA(VLOOKUP(Table1[[#This Row],[Tên đối tượng]],'DANH MỤC ĐỐI TƯỢNG'!A:F,6,0),"")</f>
        <v/>
      </c>
      <c r="H1536" t="str">
        <f>_xlfn.IFNA(VLOOKUP(Table1[[#This Row],[Tên đối tượng]],'DANH MỤC ĐỐI TƯỢNG'!A:I,9,0),"")</f>
        <v/>
      </c>
      <c r="I1536" t="str">
        <f>_xlfn.IFNA(VLOOKUP(Table1[[#This Row],[Tên đối tượng]],'DANH MỤC ĐỐI TƯỢNG'!A:J,10,0),"")</f>
        <v/>
      </c>
    </row>
    <row r="1537" spans="1:9" x14ac:dyDescent="0.3">
      <c r="A1537" t="str">
        <f t="shared" si="51"/>
        <v/>
      </c>
      <c r="F1537" t="str">
        <f>IFERROR(VLOOKUP(Table1[[#This Row],[Tên đối tượng]],'DANH MỤC ĐỐI TƯỢNG'!A:E,5,0),"")</f>
        <v/>
      </c>
      <c r="G1537" t="str">
        <f>_xlfn.IFNA(VLOOKUP(Table1[[#This Row],[Tên đối tượng]],'DANH MỤC ĐỐI TƯỢNG'!A:F,6,0),"")</f>
        <v/>
      </c>
      <c r="H1537" t="str">
        <f>_xlfn.IFNA(VLOOKUP(Table1[[#This Row],[Tên đối tượng]],'DANH MỤC ĐỐI TƯỢNG'!A:I,9,0),"")</f>
        <v/>
      </c>
      <c r="I1537" t="str">
        <f>_xlfn.IFNA(VLOOKUP(Table1[[#This Row],[Tên đối tượng]],'DANH MỤC ĐỐI TƯỢNG'!A:J,10,0),"")</f>
        <v/>
      </c>
    </row>
    <row r="1538" spans="1:9" x14ac:dyDescent="0.3">
      <c r="A1538" t="str">
        <f t="shared" si="51"/>
        <v/>
      </c>
      <c r="F1538" t="str">
        <f>IFERROR(VLOOKUP(Table1[[#This Row],[Tên đối tượng]],'DANH MỤC ĐỐI TƯỢNG'!A:E,5,0),"")</f>
        <v/>
      </c>
      <c r="G1538" t="str">
        <f>_xlfn.IFNA(VLOOKUP(Table1[[#This Row],[Tên đối tượng]],'DANH MỤC ĐỐI TƯỢNG'!A:F,6,0),"")</f>
        <v/>
      </c>
      <c r="H1538" t="str">
        <f>_xlfn.IFNA(VLOOKUP(Table1[[#This Row],[Tên đối tượng]],'DANH MỤC ĐỐI TƯỢNG'!A:I,9,0),"")</f>
        <v/>
      </c>
      <c r="I1538" t="str">
        <f>_xlfn.IFNA(VLOOKUP(Table1[[#This Row],[Tên đối tượng]],'DANH MỤC ĐỐI TƯỢNG'!A:J,10,0),"")</f>
        <v/>
      </c>
    </row>
    <row r="1539" spans="1:9" x14ac:dyDescent="0.3">
      <c r="A1539" t="str">
        <f t="shared" si="51"/>
        <v/>
      </c>
      <c r="F1539" t="str">
        <f>IFERROR(VLOOKUP(Table1[[#This Row],[Tên đối tượng]],'DANH MỤC ĐỐI TƯỢNG'!A:E,5,0),"")</f>
        <v/>
      </c>
      <c r="G1539" t="str">
        <f>_xlfn.IFNA(VLOOKUP(Table1[[#This Row],[Tên đối tượng]],'DANH MỤC ĐỐI TƯỢNG'!A:F,6,0),"")</f>
        <v/>
      </c>
      <c r="H1539" t="str">
        <f>_xlfn.IFNA(VLOOKUP(Table1[[#This Row],[Tên đối tượng]],'DANH MỤC ĐỐI TƯỢNG'!A:I,9,0),"")</f>
        <v/>
      </c>
      <c r="I1539" t="str">
        <f>_xlfn.IFNA(VLOOKUP(Table1[[#This Row],[Tên đối tượng]],'DANH MỤC ĐỐI TƯỢNG'!A:J,10,0),"")</f>
        <v/>
      </c>
    </row>
    <row r="1540" spans="1:9" x14ac:dyDescent="0.3">
      <c r="A1540" t="str">
        <f t="shared" si="51"/>
        <v/>
      </c>
      <c r="F1540" t="str">
        <f>IFERROR(VLOOKUP(Table1[[#This Row],[Tên đối tượng]],'DANH MỤC ĐỐI TƯỢNG'!A:E,5,0),"")</f>
        <v/>
      </c>
      <c r="G1540" t="str">
        <f>_xlfn.IFNA(VLOOKUP(Table1[[#This Row],[Tên đối tượng]],'DANH MỤC ĐỐI TƯỢNG'!A:F,6,0),"")</f>
        <v/>
      </c>
      <c r="H1540" t="str">
        <f>_xlfn.IFNA(VLOOKUP(Table1[[#This Row],[Tên đối tượng]],'DANH MỤC ĐỐI TƯỢNG'!A:I,9,0),"")</f>
        <v/>
      </c>
      <c r="I1540" t="str">
        <f>_xlfn.IFNA(VLOOKUP(Table1[[#This Row],[Tên đối tượng]],'DANH MỤC ĐỐI TƯỢNG'!A:J,10,0),"")</f>
        <v/>
      </c>
    </row>
    <row r="1541" spans="1:9" x14ac:dyDescent="0.3">
      <c r="A1541" t="str">
        <f t="shared" si="51"/>
        <v/>
      </c>
      <c r="F1541" t="str">
        <f>IFERROR(VLOOKUP(Table1[[#This Row],[Tên đối tượng]],'DANH MỤC ĐỐI TƯỢNG'!A:E,5,0),"")</f>
        <v/>
      </c>
      <c r="G1541" t="str">
        <f>_xlfn.IFNA(VLOOKUP(Table1[[#This Row],[Tên đối tượng]],'DANH MỤC ĐỐI TƯỢNG'!A:F,6,0),"")</f>
        <v/>
      </c>
      <c r="H1541" t="str">
        <f>_xlfn.IFNA(VLOOKUP(Table1[[#This Row],[Tên đối tượng]],'DANH MỤC ĐỐI TƯỢNG'!A:I,9,0),"")</f>
        <v/>
      </c>
      <c r="I1541" t="str">
        <f>_xlfn.IFNA(VLOOKUP(Table1[[#This Row],[Tên đối tượng]],'DANH MỤC ĐỐI TƯỢNG'!A:J,10,0),"")</f>
        <v/>
      </c>
    </row>
    <row r="1542" spans="1:9" x14ac:dyDescent="0.3">
      <c r="A1542" t="str">
        <f t="shared" si="51"/>
        <v/>
      </c>
      <c r="F1542" t="str">
        <f>IFERROR(VLOOKUP(Table1[[#This Row],[Tên đối tượng]],'DANH MỤC ĐỐI TƯỢNG'!A:E,5,0),"")</f>
        <v/>
      </c>
      <c r="G1542" t="str">
        <f>_xlfn.IFNA(VLOOKUP(Table1[[#This Row],[Tên đối tượng]],'DANH MỤC ĐỐI TƯỢNG'!A:F,6,0),"")</f>
        <v/>
      </c>
      <c r="H1542" t="str">
        <f>_xlfn.IFNA(VLOOKUP(Table1[[#This Row],[Tên đối tượng]],'DANH MỤC ĐỐI TƯỢNG'!A:I,9,0),"")</f>
        <v/>
      </c>
      <c r="I1542" t="str">
        <f>_xlfn.IFNA(VLOOKUP(Table1[[#This Row],[Tên đối tượng]],'DANH MỤC ĐỐI TƯỢNG'!A:J,10,0),"")</f>
        <v/>
      </c>
    </row>
    <row r="1543" spans="1:9" x14ac:dyDescent="0.3">
      <c r="A1543" t="str">
        <f t="shared" si="51"/>
        <v/>
      </c>
      <c r="F1543" t="str">
        <f>IFERROR(VLOOKUP(Table1[[#This Row],[Tên đối tượng]],'DANH MỤC ĐỐI TƯỢNG'!A:E,5,0),"")</f>
        <v/>
      </c>
      <c r="G1543" t="str">
        <f>_xlfn.IFNA(VLOOKUP(Table1[[#This Row],[Tên đối tượng]],'DANH MỤC ĐỐI TƯỢNG'!A:F,6,0),"")</f>
        <v/>
      </c>
      <c r="H1543" t="str">
        <f>_xlfn.IFNA(VLOOKUP(Table1[[#This Row],[Tên đối tượng]],'DANH MỤC ĐỐI TƯỢNG'!A:I,9,0),"")</f>
        <v/>
      </c>
      <c r="I1543" t="str">
        <f>_xlfn.IFNA(VLOOKUP(Table1[[#This Row],[Tên đối tượng]],'DANH MỤC ĐỐI TƯỢNG'!A:J,10,0),"")</f>
        <v/>
      </c>
    </row>
    <row r="1544" spans="1:9" x14ac:dyDescent="0.3">
      <c r="A1544" t="str">
        <f t="shared" si="51"/>
        <v/>
      </c>
      <c r="F1544" t="str">
        <f>IFERROR(VLOOKUP(Table1[[#This Row],[Tên đối tượng]],'DANH MỤC ĐỐI TƯỢNG'!A:E,5,0),"")</f>
        <v/>
      </c>
      <c r="G1544" t="str">
        <f>_xlfn.IFNA(VLOOKUP(Table1[[#This Row],[Tên đối tượng]],'DANH MỤC ĐỐI TƯỢNG'!A:F,6,0),"")</f>
        <v/>
      </c>
      <c r="H1544" t="str">
        <f>_xlfn.IFNA(VLOOKUP(Table1[[#This Row],[Tên đối tượng]],'DANH MỤC ĐỐI TƯỢNG'!A:I,9,0),"")</f>
        <v/>
      </c>
      <c r="I1544" t="str">
        <f>_xlfn.IFNA(VLOOKUP(Table1[[#This Row],[Tên đối tượng]],'DANH MỤC ĐỐI TƯỢNG'!A:J,10,0),"")</f>
        <v/>
      </c>
    </row>
    <row r="1545" spans="1:9" x14ac:dyDescent="0.3">
      <c r="A1545" t="str">
        <f t="shared" si="51"/>
        <v/>
      </c>
      <c r="F1545" t="str">
        <f>IFERROR(VLOOKUP(Table1[[#This Row],[Tên đối tượng]],'DANH MỤC ĐỐI TƯỢNG'!A:E,5,0),"")</f>
        <v/>
      </c>
      <c r="G1545" t="str">
        <f>_xlfn.IFNA(VLOOKUP(Table1[[#This Row],[Tên đối tượng]],'DANH MỤC ĐỐI TƯỢNG'!A:F,6,0),"")</f>
        <v/>
      </c>
      <c r="H1545" t="str">
        <f>_xlfn.IFNA(VLOOKUP(Table1[[#This Row],[Tên đối tượng]],'DANH MỤC ĐỐI TƯỢNG'!A:I,9,0),"")</f>
        <v/>
      </c>
      <c r="I1545" t="str">
        <f>_xlfn.IFNA(VLOOKUP(Table1[[#This Row],[Tên đối tượng]],'DANH MỤC ĐỐI TƯỢNG'!A:J,10,0),"")</f>
        <v/>
      </c>
    </row>
    <row r="1546" spans="1:9" x14ac:dyDescent="0.3">
      <c r="A1546" t="str">
        <f t="shared" si="51"/>
        <v/>
      </c>
      <c r="F1546" t="str">
        <f>IFERROR(VLOOKUP(Table1[[#This Row],[Tên đối tượng]],'DANH MỤC ĐỐI TƯỢNG'!A:E,5,0),"")</f>
        <v/>
      </c>
      <c r="G1546" t="str">
        <f>_xlfn.IFNA(VLOOKUP(Table1[[#This Row],[Tên đối tượng]],'DANH MỤC ĐỐI TƯỢNG'!A:F,6,0),"")</f>
        <v/>
      </c>
      <c r="H1546" t="str">
        <f>_xlfn.IFNA(VLOOKUP(Table1[[#This Row],[Tên đối tượng]],'DANH MỤC ĐỐI TƯỢNG'!A:I,9,0),"")</f>
        <v/>
      </c>
      <c r="I1546" t="str">
        <f>_xlfn.IFNA(VLOOKUP(Table1[[#This Row],[Tên đối tượng]],'DANH MỤC ĐỐI TƯỢNG'!A:J,10,0),"")</f>
        <v/>
      </c>
    </row>
    <row r="1547" spans="1:9" x14ac:dyDescent="0.3">
      <c r="A1547" t="str">
        <f t="shared" si="51"/>
        <v/>
      </c>
      <c r="F1547" t="str">
        <f>IFERROR(VLOOKUP(Table1[[#This Row],[Tên đối tượng]],'DANH MỤC ĐỐI TƯỢNG'!A:E,5,0),"")</f>
        <v/>
      </c>
      <c r="G1547" t="str">
        <f>_xlfn.IFNA(VLOOKUP(Table1[[#This Row],[Tên đối tượng]],'DANH MỤC ĐỐI TƯỢNG'!A:F,6,0),"")</f>
        <v/>
      </c>
      <c r="H1547" t="str">
        <f>_xlfn.IFNA(VLOOKUP(Table1[[#This Row],[Tên đối tượng]],'DANH MỤC ĐỐI TƯỢNG'!A:I,9,0),"")</f>
        <v/>
      </c>
      <c r="I1547" t="str">
        <f>_xlfn.IFNA(VLOOKUP(Table1[[#This Row],[Tên đối tượng]],'DANH MỤC ĐỐI TƯỢNG'!A:J,10,0),"")</f>
        <v/>
      </c>
    </row>
    <row r="1548" spans="1:9" x14ac:dyDescent="0.3">
      <c r="A1548" t="str">
        <f t="shared" si="51"/>
        <v/>
      </c>
      <c r="F1548" t="str">
        <f>IFERROR(VLOOKUP(Table1[[#This Row],[Tên đối tượng]],'DANH MỤC ĐỐI TƯỢNG'!A:E,5,0),"")</f>
        <v/>
      </c>
      <c r="G1548" t="str">
        <f>_xlfn.IFNA(VLOOKUP(Table1[[#This Row],[Tên đối tượng]],'DANH MỤC ĐỐI TƯỢNG'!A:F,6,0),"")</f>
        <v/>
      </c>
      <c r="H1548" t="str">
        <f>_xlfn.IFNA(VLOOKUP(Table1[[#This Row],[Tên đối tượng]],'DANH MỤC ĐỐI TƯỢNG'!A:I,9,0),"")</f>
        <v/>
      </c>
      <c r="I1548" t="str">
        <f>_xlfn.IFNA(VLOOKUP(Table1[[#This Row],[Tên đối tượng]],'DANH MỤC ĐỐI TƯỢNG'!A:J,10,0),"")</f>
        <v/>
      </c>
    </row>
    <row r="1549" spans="1:9" x14ac:dyDescent="0.3">
      <c r="A1549" t="str">
        <f t="shared" si="51"/>
        <v/>
      </c>
      <c r="F1549" t="str">
        <f>IFERROR(VLOOKUP(Table1[[#This Row],[Tên đối tượng]],'DANH MỤC ĐỐI TƯỢNG'!A:E,5,0),"")</f>
        <v/>
      </c>
      <c r="G1549" t="str">
        <f>_xlfn.IFNA(VLOOKUP(Table1[[#This Row],[Tên đối tượng]],'DANH MỤC ĐỐI TƯỢNG'!A:F,6,0),"")</f>
        <v/>
      </c>
      <c r="H1549" t="str">
        <f>_xlfn.IFNA(VLOOKUP(Table1[[#This Row],[Tên đối tượng]],'DANH MỤC ĐỐI TƯỢNG'!A:I,9,0),"")</f>
        <v/>
      </c>
      <c r="I1549" t="str">
        <f>_xlfn.IFNA(VLOOKUP(Table1[[#This Row],[Tên đối tượng]],'DANH MỤC ĐỐI TƯỢNG'!A:J,10,0),"")</f>
        <v/>
      </c>
    </row>
    <row r="1550" spans="1:9" x14ac:dyDescent="0.3">
      <c r="A1550" t="str">
        <f t="shared" si="51"/>
        <v/>
      </c>
      <c r="F1550" t="str">
        <f>IFERROR(VLOOKUP(Table1[[#This Row],[Tên đối tượng]],'DANH MỤC ĐỐI TƯỢNG'!A:E,5,0),"")</f>
        <v/>
      </c>
      <c r="G1550" t="str">
        <f>_xlfn.IFNA(VLOOKUP(Table1[[#This Row],[Tên đối tượng]],'DANH MỤC ĐỐI TƯỢNG'!A:F,6,0),"")</f>
        <v/>
      </c>
      <c r="H1550" t="str">
        <f>_xlfn.IFNA(VLOOKUP(Table1[[#This Row],[Tên đối tượng]],'DANH MỤC ĐỐI TƯỢNG'!A:I,9,0),"")</f>
        <v/>
      </c>
      <c r="I1550" t="str">
        <f>_xlfn.IFNA(VLOOKUP(Table1[[#This Row],[Tên đối tượng]],'DANH MỤC ĐỐI TƯỢNG'!A:J,10,0),"")</f>
        <v/>
      </c>
    </row>
    <row r="1551" spans="1:9" x14ac:dyDescent="0.3">
      <c r="A1551" t="str">
        <f t="shared" si="51"/>
        <v/>
      </c>
      <c r="F1551" t="str">
        <f>IFERROR(VLOOKUP(Table1[[#This Row],[Tên đối tượng]],'DANH MỤC ĐỐI TƯỢNG'!A:E,5,0),"")</f>
        <v/>
      </c>
      <c r="G1551" t="str">
        <f>_xlfn.IFNA(VLOOKUP(Table1[[#This Row],[Tên đối tượng]],'DANH MỤC ĐỐI TƯỢNG'!A:F,6,0),"")</f>
        <v/>
      </c>
      <c r="H1551" t="str">
        <f>_xlfn.IFNA(VLOOKUP(Table1[[#This Row],[Tên đối tượng]],'DANH MỤC ĐỐI TƯỢNG'!A:I,9,0),"")</f>
        <v/>
      </c>
      <c r="I1551" t="str">
        <f>_xlfn.IFNA(VLOOKUP(Table1[[#This Row],[Tên đối tượng]],'DANH MỤC ĐỐI TƯỢNG'!A:J,10,0),"")</f>
        <v/>
      </c>
    </row>
    <row r="1552" spans="1:9" x14ac:dyDescent="0.3">
      <c r="A1552" t="str">
        <f t="shared" si="51"/>
        <v/>
      </c>
      <c r="F1552" t="str">
        <f>IFERROR(VLOOKUP(Table1[[#This Row],[Tên đối tượng]],'DANH MỤC ĐỐI TƯỢNG'!A:E,5,0),"")</f>
        <v/>
      </c>
      <c r="G1552" t="str">
        <f>_xlfn.IFNA(VLOOKUP(Table1[[#This Row],[Tên đối tượng]],'DANH MỤC ĐỐI TƯỢNG'!A:F,6,0),"")</f>
        <v/>
      </c>
      <c r="H1552" t="str">
        <f>_xlfn.IFNA(VLOOKUP(Table1[[#This Row],[Tên đối tượng]],'DANH MỤC ĐỐI TƯỢNG'!A:I,9,0),"")</f>
        <v/>
      </c>
      <c r="I1552" t="str">
        <f>_xlfn.IFNA(VLOOKUP(Table1[[#This Row],[Tên đối tượng]],'DANH MỤC ĐỐI TƯỢNG'!A:J,10,0),"")</f>
        <v/>
      </c>
    </row>
    <row r="1553" spans="1:9" x14ac:dyDescent="0.3">
      <c r="A1553" t="str">
        <f t="shared" si="51"/>
        <v/>
      </c>
      <c r="F1553" t="str">
        <f>IFERROR(VLOOKUP(Table1[[#This Row],[Tên đối tượng]],'DANH MỤC ĐỐI TƯỢNG'!A:E,5,0),"")</f>
        <v/>
      </c>
      <c r="G1553" t="str">
        <f>_xlfn.IFNA(VLOOKUP(Table1[[#This Row],[Tên đối tượng]],'DANH MỤC ĐỐI TƯỢNG'!A:F,6,0),"")</f>
        <v/>
      </c>
      <c r="H1553" t="str">
        <f>_xlfn.IFNA(VLOOKUP(Table1[[#This Row],[Tên đối tượng]],'DANH MỤC ĐỐI TƯỢNG'!A:I,9,0),"")</f>
        <v/>
      </c>
      <c r="I1553" t="str">
        <f>_xlfn.IFNA(VLOOKUP(Table1[[#This Row],[Tên đối tượng]],'DANH MỤC ĐỐI TƯỢNG'!A:J,10,0),"")</f>
        <v/>
      </c>
    </row>
    <row r="1554" spans="1:9" x14ac:dyDescent="0.3">
      <c r="A1554" t="str">
        <f t="shared" si="51"/>
        <v/>
      </c>
      <c r="F1554" t="str">
        <f>IFERROR(VLOOKUP(Table1[[#This Row],[Tên đối tượng]],'DANH MỤC ĐỐI TƯỢNG'!A:E,5,0),"")</f>
        <v/>
      </c>
      <c r="G1554" t="str">
        <f>_xlfn.IFNA(VLOOKUP(Table1[[#This Row],[Tên đối tượng]],'DANH MỤC ĐỐI TƯỢNG'!A:F,6,0),"")</f>
        <v/>
      </c>
      <c r="H1554" t="str">
        <f>_xlfn.IFNA(VLOOKUP(Table1[[#This Row],[Tên đối tượng]],'DANH MỤC ĐỐI TƯỢNG'!A:I,9,0),"")</f>
        <v/>
      </c>
      <c r="I1554" t="str">
        <f>_xlfn.IFNA(VLOOKUP(Table1[[#This Row],[Tên đối tượng]],'DANH MỤC ĐỐI TƯỢNG'!A:J,10,0),"")</f>
        <v/>
      </c>
    </row>
    <row r="1555" spans="1:9" x14ac:dyDescent="0.3">
      <c r="A1555" t="str">
        <f t="shared" si="51"/>
        <v/>
      </c>
      <c r="F1555" t="str">
        <f>IFERROR(VLOOKUP(Table1[[#This Row],[Tên đối tượng]],'DANH MỤC ĐỐI TƯỢNG'!A:E,5,0),"")</f>
        <v/>
      </c>
      <c r="G1555" t="str">
        <f>_xlfn.IFNA(VLOOKUP(Table1[[#This Row],[Tên đối tượng]],'DANH MỤC ĐỐI TƯỢNG'!A:F,6,0),"")</f>
        <v/>
      </c>
      <c r="H1555" t="str">
        <f>_xlfn.IFNA(VLOOKUP(Table1[[#This Row],[Tên đối tượng]],'DANH MỤC ĐỐI TƯỢNG'!A:I,9,0),"")</f>
        <v/>
      </c>
      <c r="I1555" t="str">
        <f>_xlfn.IFNA(VLOOKUP(Table1[[#This Row],[Tên đối tượng]],'DANH MỤC ĐỐI TƯỢNG'!A:J,10,0),"")</f>
        <v/>
      </c>
    </row>
    <row r="1556" spans="1:9" x14ac:dyDescent="0.3">
      <c r="A1556" t="str">
        <f t="shared" si="51"/>
        <v/>
      </c>
      <c r="F1556" t="str">
        <f>IFERROR(VLOOKUP(Table1[[#This Row],[Tên đối tượng]],'DANH MỤC ĐỐI TƯỢNG'!A:E,5,0),"")</f>
        <v/>
      </c>
      <c r="G1556" t="str">
        <f>_xlfn.IFNA(VLOOKUP(Table1[[#This Row],[Tên đối tượng]],'DANH MỤC ĐỐI TƯỢNG'!A:F,6,0),"")</f>
        <v/>
      </c>
      <c r="H1556" t="str">
        <f>_xlfn.IFNA(VLOOKUP(Table1[[#This Row],[Tên đối tượng]],'DANH MỤC ĐỐI TƯỢNG'!A:I,9,0),"")</f>
        <v/>
      </c>
      <c r="I1556" t="str">
        <f>_xlfn.IFNA(VLOOKUP(Table1[[#This Row],[Tên đối tượng]],'DANH MỤC ĐỐI TƯỢNG'!A:J,10,0),"")</f>
        <v/>
      </c>
    </row>
    <row r="1557" spans="1:9" x14ac:dyDescent="0.3">
      <c r="A1557" t="str">
        <f t="shared" si="51"/>
        <v/>
      </c>
      <c r="F1557" t="str">
        <f>IFERROR(VLOOKUP(Table1[[#This Row],[Tên đối tượng]],'DANH MỤC ĐỐI TƯỢNG'!A:E,5,0),"")</f>
        <v/>
      </c>
      <c r="G1557" t="str">
        <f>_xlfn.IFNA(VLOOKUP(Table1[[#This Row],[Tên đối tượng]],'DANH MỤC ĐỐI TƯỢNG'!A:F,6,0),"")</f>
        <v/>
      </c>
      <c r="H1557" t="str">
        <f>_xlfn.IFNA(VLOOKUP(Table1[[#This Row],[Tên đối tượng]],'DANH MỤC ĐỐI TƯỢNG'!A:I,9,0),"")</f>
        <v/>
      </c>
      <c r="I1557" t="str">
        <f>_xlfn.IFNA(VLOOKUP(Table1[[#This Row],[Tên đối tượng]],'DANH MỤC ĐỐI TƯỢNG'!A:J,10,0),"")</f>
        <v/>
      </c>
    </row>
    <row r="1558" spans="1:9" x14ac:dyDescent="0.3">
      <c r="A1558" t="str">
        <f t="shared" si="51"/>
        <v/>
      </c>
      <c r="F1558" t="str">
        <f>IFERROR(VLOOKUP(Table1[[#This Row],[Tên đối tượng]],'DANH MỤC ĐỐI TƯỢNG'!A:E,5,0),"")</f>
        <v/>
      </c>
      <c r="G1558" t="str">
        <f>_xlfn.IFNA(VLOOKUP(Table1[[#This Row],[Tên đối tượng]],'DANH MỤC ĐỐI TƯỢNG'!A:F,6,0),"")</f>
        <v/>
      </c>
      <c r="H1558" t="str">
        <f>_xlfn.IFNA(VLOOKUP(Table1[[#This Row],[Tên đối tượng]],'DANH MỤC ĐỐI TƯỢNG'!A:I,9,0),"")</f>
        <v/>
      </c>
      <c r="I1558" t="str">
        <f>_xlfn.IFNA(VLOOKUP(Table1[[#This Row],[Tên đối tượng]],'DANH MỤC ĐỐI TƯỢNG'!A:J,10,0),"")</f>
        <v/>
      </c>
    </row>
    <row r="1559" spans="1:9" x14ac:dyDescent="0.3">
      <c r="A1559" t="str">
        <f t="shared" si="51"/>
        <v/>
      </c>
      <c r="F1559" t="str">
        <f>IFERROR(VLOOKUP(Table1[[#This Row],[Tên đối tượng]],'DANH MỤC ĐỐI TƯỢNG'!A:E,5,0),"")</f>
        <v/>
      </c>
      <c r="G1559" t="str">
        <f>_xlfn.IFNA(VLOOKUP(Table1[[#This Row],[Tên đối tượng]],'DANH MỤC ĐỐI TƯỢNG'!A:F,6,0),"")</f>
        <v/>
      </c>
      <c r="H1559" t="str">
        <f>_xlfn.IFNA(VLOOKUP(Table1[[#This Row],[Tên đối tượng]],'DANH MỤC ĐỐI TƯỢNG'!A:I,9,0),"")</f>
        <v/>
      </c>
      <c r="I1559" t="str">
        <f>_xlfn.IFNA(VLOOKUP(Table1[[#This Row],[Tên đối tượng]],'DANH MỤC ĐỐI TƯỢNG'!A:J,10,0),"")</f>
        <v/>
      </c>
    </row>
    <row r="1560" spans="1:9" x14ac:dyDescent="0.3">
      <c r="A1560" t="str">
        <f t="shared" si="51"/>
        <v/>
      </c>
      <c r="F1560" t="str">
        <f>IFERROR(VLOOKUP(Table1[[#This Row],[Tên đối tượng]],'DANH MỤC ĐỐI TƯỢNG'!A:E,5,0),"")</f>
        <v/>
      </c>
      <c r="G1560" t="str">
        <f>_xlfn.IFNA(VLOOKUP(Table1[[#This Row],[Tên đối tượng]],'DANH MỤC ĐỐI TƯỢNG'!A:F,6,0),"")</f>
        <v/>
      </c>
      <c r="H1560" t="str">
        <f>_xlfn.IFNA(VLOOKUP(Table1[[#This Row],[Tên đối tượng]],'DANH MỤC ĐỐI TƯỢNG'!A:I,9,0),"")</f>
        <v/>
      </c>
      <c r="I1560" t="str">
        <f>_xlfn.IFNA(VLOOKUP(Table1[[#This Row],[Tên đối tượng]],'DANH MỤC ĐỐI TƯỢNG'!A:J,10,0),"")</f>
        <v/>
      </c>
    </row>
    <row r="1561" spans="1:9" x14ac:dyDescent="0.3">
      <c r="A1561" t="str">
        <f t="shared" si="51"/>
        <v/>
      </c>
      <c r="F1561" t="str">
        <f>IFERROR(VLOOKUP(Table1[[#This Row],[Tên đối tượng]],'DANH MỤC ĐỐI TƯỢNG'!A:E,5,0),"")</f>
        <v/>
      </c>
      <c r="G1561" t="str">
        <f>_xlfn.IFNA(VLOOKUP(Table1[[#This Row],[Tên đối tượng]],'DANH MỤC ĐỐI TƯỢNG'!A:F,6,0),"")</f>
        <v/>
      </c>
      <c r="H1561" t="str">
        <f>_xlfn.IFNA(VLOOKUP(Table1[[#This Row],[Tên đối tượng]],'DANH MỤC ĐỐI TƯỢNG'!A:I,9,0),"")</f>
        <v/>
      </c>
      <c r="I1561" t="str">
        <f>_xlfn.IFNA(VLOOKUP(Table1[[#This Row],[Tên đối tượng]],'DANH MỤC ĐỐI TƯỢNG'!A:J,10,0),"")</f>
        <v/>
      </c>
    </row>
    <row r="1562" spans="1:9" x14ac:dyDescent="0.3">
      <c r="A1562" t="str">
        <f t="shared" si="51"/>
        <v/>
      </c>
      <c r="F1562" t="str">
        <f>IFERROR(VLOOKUP(Table1[[#This Row],[Tên đối tượng]],'DANH MỤC ĐỐI TƯỢNG'!A:E,5,0),"")</f>
        <v/>
      </c>
      <c r="G1562" t="str">
        <f>_xlfn.IFNA(VLOOKUP(Table1[[#This Row],[Tên đối tượng]],'DANH MỤC ĐỐI TƯỢNG'!A:F,6,0),"")</f>
        <v/>
      </c>
      <c r="H1562" t="str">
        <f>_xlfn.IFNA(VLOOKUP(Table1[[#This Row],[Tên đối tượng]],'DANH MỤC ĐỐI TƯỢNG'!A:I,9,0),"")</f>
        <v/>
      </c>
      <c r="I1562" t="str">
        <f>_xlfn.IFNA(VLOOKUP(Table1[[#This Row],[Tên đối tượng]],'DANH MỤC ĐỐI TƯỢNG'!A:J,10,0),"")</f>
        <v/>
      </c>
    </row>
    <row r="1563" spans="1:9" x14ac:dyDescent="0.3">
      <c r="A1563" t="str">
        <f t="shared" si="51"/>
        <v/>
      </c>
      <c r="F1563" t="str">
        <f>IFERROR(VLOOKUP(Table1[[#This Row],[Tên đối tượng]],'DANH MỤC ĐỐI TƯỢNG'!A:E,5,0),"")</f>
        <v/>
      </c>
      <c r="G1563" t="str">
        <f>_xlfn.IFNA(VLOOKUP(Table1[[#This Row],[Tên đối tượng]],'DANH MỤC ĐỐI TƯỢNG'!A:F,6,0),"")</f>
        <v/>
      </c>
      <c r="H1563" t="str">
        <f>_xlfn.IFNA(VLOOKUP(Table1[[#This Row],[Tên đối tượng]],'DANH MỤC ĐỐI TƯỢNG'!A:I,9,0),"")</f>
        <v/>
      </c>
      <c r="I1563" t="str">
        <f>_xlfn.IFNA(VLOOKUP(Table1[[#This Row],[Tên đối tượng]],'DANH MỤC ĐỐI TƯỢNG'!A:J,10,0),"")</f>
        <v/>
      </c>
    </row>
    <row r="1564" spans="1:9" x14ac:dyDescent="0.3">
      <c r="A1564" t="str">
        <f t="shared" si="51"/>
        <v/>
      </c>
      <c r="F1564" t="str">
        <f>IFERROR(VLOOKUP(Table1[[#This Row],[Tên đối tượng]],'DANH MỤC ĐỐI TƯỢNG'!A:E,5,0),"")</f>
        <v/>
      </c>
      <c r="G1564" t="str">
        <f>_xlfn.IFNA(VLOOKUP(Table1[[#This Row],[Tên đối tượng]],'DANH MỤC ĐỐI TƯỢNG'!A:F,6,0),"")</f>
        <v/>
      </c>
      <c r="H1564" t="str">
        <f>_xlfn.IFNA(VLOOKUP(Table1[[#This Row],[Tên đối tượng]],'DANH MỤC ĐỐI TƯỢNG'!A:I,9,0),"")</f>
        <v/>
      </c>
      <c r="I1564" t="str">
        <f>_xlfn.IFNA(VLOOKUP(Table1[[#This Row],[Tên đối tượng]],'DANH MỤC ĐỐI TƯỢNG'!A:J,10,0),"")</f>
        <v/>
      </c>
    </row>
    <row r="1565" spans="1:9" x14ac:dyDescent="0.3">
      <c r="A1565" t="str">
        <f t="shared" si="51"/>
        <v/>
      </c>
      <c r="F1565" t="str">
        <f>IFERROR(VLOOKUP(Table1[[#This Row],[Tên đối tượng]],'DANH MỤC ĐỐI TƯỢNG'!A:E,5,0),"")</f>
        <v/>
      </c>
      <c r="G1565" t="str">
        <f>_xlfn.IFNA(VLOOKUP(Table1[[#This Row],[Tên đối tượng]],'DANH MỤC ĐỐI TƯỢNG'!A:F,6,0),"")</f>
        <v/>
      </c>
      <c r="H1565" t="str">
        <f>_xlfn.IFNA(VLOOKUP(Table1[[#This Row],[Tên đối tượng]],'DANH MỤC ĐỐI TƯỢNG'!A:I,9,0),"")</f>
        <v/>
      </c>
      <c r="I1565" t="str">
        <f>_xlfn.IFNA(VLOOKUP(Table1[[#This Row],[Tên đối tượng]],'DANH MỤC ĐỐI TƯỢNG'!A:J,10,0),"")</f>
        <v/>
      </c>
    </row>
    <row r="1566" spans="1:9" x14ac:dyDescent="0.3">
      <c r="A1566" t="str">
        <f t="shared" si="51"/>
        <v/>
      </c>
      <c r="F1566" t="str">
        <f>IFERROR(VLOOKUP(Table1[[#This Row],[Tên đối tượng]],'DANH MỤC ĐỐI TƯỢNG'!A:E,5,0),"")</f>
        <v/>
      </c>
      <c r="G1566" t="str">
        <f>_xlfn.IFNA(VLOOKUP(Table1[[#This Row],[Tên đối tượng]],'DANH MỤC ĐỐI TƯỢNG'!A:F,6,0),"")</f>
        <v/>
      </c>
      <c r="H1566" t="str">
        <f>_xlfn.IFNA(VLOOKUP(Table1[[#This Row],[Tên đối tượng]],'DANH MỤC ĐỐI TƯỢNG'!A:I,9,0),"")</f>
        <v/>
      </c>
      <c r="I1566" t="str">
        <f>_xlfn.IFNA(VLOOKUP(Table1[[#This Row],[Tên đối tượng]],'DANH MỤC ĐỐI TƯỢNG'!A:J,10,0),"")</f>
        <v/>
      </c>
    </row>
    <row r="1567" spans="1:9" x14ac:dyDescent="0.3">
      <c r="A1567" t="str">
        <f t="shared" si="51"/>
        <v/>
      </c>
      <c r="F1567" t="str">
        <f>IFERROR(VLOOKUP(Table1[[#This Row],[Tên đối tượng]],'DANH MỤC ĐỐI TƯỢNG'!A:E,5,0),"")</f>
        <v/>
      </c>
      <c r="G1567" t="str">
        <f>_xlfn.IFNA(VLOOKUP(Table1[[#This Row],[Tên đối tượng]],'DANH MỤC ĐỐI TƯỢNG'!A:F,6,0),"")</f>
        <v/>
      </c>
      <c r="H1567" t="str">
        <f>_xlfn.IFNA(VLOOKUP(Table1[[#This Row],[Tên đối tượng]],'DANH MỤC ĐỐI TƯỢNG'!A:I,9,0),"")</f>
        <v/>
      </c>
      <c r="I1567" t="str">
        <f>_xlfn.IFNA(VLOOKUP(Table1[[#This Row],[Tên đối tượng]],'DANH MỤC ĐỐI TƯỢNG'!A:J,10,0),"")</f>
        <v/>
      </c>
    </row>
    <row r="1568" spans="1:9" x14ac:dyDescent="0.3">
      <c r="A1568" t="str">
        <f t="shared" si="51"/>
        <v/>
      </c>
      <c r="F1568" t="str">
        <f>IFERROR(VLOOKUP(Table1[[#This Row],[Tên đối tượng]],'DANH MỤC ĐỐI TƯỢNG'!A:E,5,0),"")</f>
        <v/>
      </c>
      <c r="G1568" t="str">
        <f>_xlfn.IFNA(VLOOKUP(Table1[[#This Row],[Tên đối tượng]],'DANH MỤC ĐỐI TƯỢNG'!A:F,6,0),"")</f>
        <v/>
      </c>
      <c r="H1568" t="str">
        <f>_xlfn.IFNA(VLOOKUP(Table1[[#This Row],[Tên đối tượng]],'DANH MỤC ĐỐI TƯỢNG'!A:I,9,0),"")</f>
        <v/>
      </c>
      <c r="I1568" t="str">
        <f>_xlfn.IFNA(VLOOKUP(Table1[[#This Row],[Tên đối tượng]],'DANH MỤC ĐỐI TƯỢNG'!A:J,10,0),"")</f>
        <v/>
      </c>
    </row>
    <row r="1569" spans="1:9" x14ac:dyDescent="0.3">
      <c r="A1569" t="str">
        <f t="shared" si="51"/>
        <v/>
      </c>
      <c r="F1569" t="str">
        <f>IFERROR(VLOOKUP(Table1[[#This Row],[Tên đối tượng]],'DANH MỤC ĐỐI TƯỢNG'!A:E,5,0),"")</f>
        <v/>
      </c>
      <c r="G1569" t="str">
        <f>_xlfn.IFNA(VLOOKUP(Table1[[#This Row],[Tên đối tượng]],'DANH MỤC ĐỐI TƯỢNG'!A:F,6,0),"")</f>
        <v/>
      </c>
      <c r="H1569" t="str">
        <f>_xlfn.IFNA(VLOOKUP(Table1[[#This Row],[Tên đối tượng]],'DANH MỤC ĐỐI TƯỢNG'!A:I,9,0),"")</f>
        <v/>
      </c>
      <c r="I1569" t="str">
        <f>_xlfn.IFNA(VLOOKUP(Table1[[#This Row],[Tên đối tượng]],'DANH MỤC ĐỐI TƯỢNG'!A:J,10,0),"")</f>
        <v/>
      </c>
    </row>
    <row r="1570" spans="1:9" x14ac:dyDescent="0.3">
      <c r="A1570" t="str">
        <f t="shared" si="51"/>
        <v/>
      </c>
      <c r="F1570" t="str">
        <f>IFERROR(VLOOKUP(Table1[[#This Row],[Tên đối tượng]],'DANH MỤC ĐỐI TƯỢNG'!A:E,5,0),"")</f>
        <v/>
      </c>
      <c r="G1570" t="str">
        <f>_xlfn.IFNA(VLOOKUP(Table1[[#This Row],[Tên đối tượng]],'DANH MỤC ĐỐI TƯỢNG'!A:F,6,0),"")</f>
        <v/>
      </c>
      <c r="H1570" t="str">
        <f>_xlfn.IFNA(VLOOKUP(Table1[[#This Row],[Tên đối tượng]],'DANH MỤC ĐỐI TƯỢNG'!A:I,9,0),"")</f>
        <v/>
      </c>
      <c r="I1570" t="str">
        <f>_xlfn.IFNA(VLOOKUP(Table1[[#This Row],[Tên đối tượng]],'DANH MỤC ĐỐI TƯỢNG'!A:J,10,0),"")</f>
        <v/>
      </c>
    </row>
    <row r="1571" spans="1:9" x14ac:dyDescent="0.3">
      <c r="A1571" t="str">
        <f t="shared" si="51"/>
        <v/>
      </c>
      <c r="F1571" t="str">
        <f>IFERROR(VLOOKUP(Table1[[#This Row],[Tên đối tượng]],'DANH MỤC ĐỐI TƯỢNG'!A:E,5,0),"")</f>
        <v/>
      </c>
      <c r="G1571" t="str">
        <f>_xlfn.IFNA(VLOOKUP(Table1[[#This Row],[Tên đối tượng]],'DANH MỤC ĐỐI TƯỢNG'!A:F,6,0),"")</f>
        <v/>
      </c>
      <c r="H1571" t="str">
        <f>_xlfn.IFNA(VLOOKUP(Table1[[#This Row],[Tên đối tượng]],'DANH MỤC ĐỐI TƯỢNG'!A:I,9,0),"")</f>
        <v/>
      </c>
      <c r="I1571" t="str">
        <f>_xlfn.IFNA(VLOOKUP(Table1[[#This Row],[Tên đối tượng]],'DANH MỤC ĐỐI TƯỢNG'!A:J,10,0),"")</f>
        <v/>
      </c>
    </row>
    <row r="1572" spans="1:9" x14ac:dyDescent="0.3">
      <c r="A1572" t="str">
        <f t="shared" si="51"/>
        <v/>
      </c>
      <c r="F1572" t="str">
        <f>IFERROR(VLOOKUP(Table1[[#This Row],[Tên đối tượng]],'DANH MỤC ĐỐI TƯỢNG'!A:E,5,0),"")</f>
        <v/>
      </c>
      <c r="G1572" t="str">
        <f>_xlfn.IFNA(VLOOKUP(Table1[[#This Row],[Tên đối tượng]],'DANH MỤC ĐỐI TƯỢNG'!A:F,6,0),"")</f>
        <v/>
      </c>
      <c r="H1572" t="str">
        <f>_xlfn.IFNA(VLOOKUP(Table1[[#This Row],[Tên đối tượng]],'DANH MỤC ĐỐI TƯỢNG'!A:I,9,0),"")</f>
        <v/>
      </c>
      <c r="I1572" t="str">
        <f>_xlfn.IFNA(VLOOKUP(Table1[[#This Row],[Tên đối tượng]],'DANH MỤC ĐỐI TƯỢNG'!A:J,10,0),"")</f>
        <v/>
      </c>
    </row>
    <row r="1573" spans="1:9" x14ac:dyDescent="0.3">
      <c r="A1573" t="str">
        <f t="shared" si="51"/>
        <v/>
      </c>
      <c r="F1573" t="str">
        <f>IFERROR(VLOOKUP(Table1[[#This Row],[Tên đối tượng]],'DANH MỤC ĐỐI TƯỢNG'!A:E,5,0),"")</f>
        <v/>
      </c>
      <c r="G1573" t="str">
        <f>_xlfn.IFNA(VLOOKUP(Table1[[#This Row],[Tên đối tượng]],'DANH MỤC ĐỐI TƯỢNG'!A:F,6,0),"")</f>
        <v/>
      </c>
      <c r="H1573" t="str">
        <f>_xlfn.IFNA(VLOOKUP(Table1[[#This Row],[Tên đối tượng]],'DANH MỤC ĐỐI TƯỢNG'!A:I,9,0),"")</f>
        <v/>
      </c>
      <c r="I1573" t="str">
        <f>_xlfn.IFNA(VLOOKUP(Table1[[#This Row],[Tên đối tượng]],'DANH MỤC ĐỐI TƯỢNG'!A:J,10,0),"")</f>
        <v/>
      </c>
    </row>
    <row r="1574" spans="1:9" x14ac:dyDescent="0.3">
      <c r="A1574" t="str">
        <f t="shared" si="51"/>
        <v/>
      </c>
      <c r="F1574" t="str">
        <f>IFERROR(VLOOKUP(Table1[[#This Row],[Tên đối tượng]],'DANH MỤC ĐỐI TƯỢNG'!A:E,5,0),"")</f>
        <v/>
      </c>
      <c r="G1574" t="str">
        <f>_xlfn.IFNA(VLOOKUP(Table1[[#This Row],[Tên đối tượng]],'DANH MỤC ĐỐI TƯỢNG'!A:F,6,0),"")</f>
        <v/>
      </c>
      <c r="H1574" t="str">
        <f>_xlfn.IFNA(VLOOKUP(Table1[[#This Row],[Tên đối tượng]],'DANH MỤC ĐỐI TƯỢNG'!A:I,9,0),"")</f>
        <v/>
      </c>
      <c r="I1574" t="str">
        <f>_xlfn.IFNA(VLOOKUP(Table1[[#This Row],[Tên đối tượng]],'DANH MỤC ĐỐI TƯỢNG'!A:J,10,0),"")</f>
        <v/>
      </c>
    </row>
    <row r="1575" spans="1:9" x14ac:dyDescent="0.3">
      <c r="A1575" t="str">
        <f t="shared" si="51"/>
        <v/>
      </c>
      <c r="F1575" t="str">
        <f>IFERROR(VLOOKUP(Table1[[#This Row],[Tên đối tượng]],'DANH MỤC ĐỐI TƯỢNG'!A:E,5,0),"")</f>
        <v/>
      </c>
      <c r="G1575" t="str">
        <f>_xlfn.IFNA(VLOOKUP(Table1[[#This Row],[Tên đối tượng]],'DANH MỤC ĐỐI TƯỢNG'!A:F,6,0),"")</f>
        <v/>
      </c>
      <c r="H1575" t="str">
        <f>_xlfn.IFNA(VLOOKUP(Table1[[#This Row],[Tên đối tượng]],'DANH MỤC ĐỐI TƯỢNG'!A:I,9,0),"")</f>
        <v/>
      </c>
      <c r="I1575" t="str">
        <f>_xlfn.IFNA(VLOOKUP(Table1[[#This Row],[Tên đối tượng]],'DANH MỤC ĐỐI TƯỢNG'!A:J,10,0),"")</f>
        <v/>
      </c>
    </row>
    <row r="1576" spans="1:9" x14ac:dyDescent="0.3">
      <c r="A1576" t="str">
        <f t="shared" si="51"/>
        <v/>
      </c>
      <c r="F1576" t="str">
        <f>IFERROR(VLOOKUP(Table1[[#This Row],[Tên đối tượng]],'DANH MỤC ĐỐI TƯỢNG'!A:E,5,0),"")</f>
        <v/>
      </c>
      <c r="G1576" t="str">
        <f>_xlfn.IFNA(VLOOKUP(Table1[[#This Row],[Tên đối tượng]],'DANH MỤC ĐỐI TƯỢNG'!A:F,6,0),"")</f>
        <v/>
      </c>
      <c r="H1576" t="str">
        <f>_xlfn.IFNA(VLOOKUP(Table1[[#This Row],[Tên đối tượng]],'DANH MỤC ĐỐI TƯỢNG'!A:I,9,0),"")</f>
        <v/>
      </c>
      <c r="I1576" t="str">
        <f>_xlfn.IFNA(VLOOKUP(Table1[[#This Row],[Tên đối tượng]],'DANH MỤC ĐỐI TƯỢNG'!A:J,10,0),"")</f>
        <v/>
      </c>
    </row>
    <row r="1577" spans="1:9" x14ac:dyDescent="0.3">
      <c r="A1577" t="str">
        <f t="shared" si="51"/>
        <v/>
      </c>
      <c r="F1577" t="str">
        <f>IFERROR(VLOOKUP(Table1[[#This Row],[Tên đối tượng]],'DANH MỤC ĐỐI TƯỢNG'!A:E,5,0),"")</f>
        <v/>
      </c>
      <c r="G1577" t="str">
        <f>_xlfn.IFNA(VLOOKUP(Table1[[#This Row],[Tên đối tượng]],'DANH MỤC ĐỐI TƯỢNG'!A:F,6,0),"")</f>
        <v/>
      </c>
      <c r="H1577" t="str">
        <f>_xlfn.IFNA(VLOOKUP(Table1[[#This Row],[Tên đối tượng]],'DANH MỤC ĐỐI TƯỢNG'!A:I,9,0),"")</f>
        <v/>
      </c>
      <c r="I1577" t="str">
        <f>_xlfn.IFNA(VLOOKUP(Table1[[#This Row],[Tên đối tượng]],'DANH MỤC ĐỐI TƯỢNG'!A:J,10,0),"")</f>
        <v/>
      </c>
    </row>
    <row r="1578" spans="1:9" x14ac:dyDescent="0.3">
      <c r="A1578" t="str">
        <f t="shared" si="51"/>
        <v/>
      </c>
      <c r="F1578" t="str">
        <f>IFERROR(VLOOKUP(Table1[[#This Row],[Tên đối tượng]],'DANH MỤC ĐỐI TƯỢNG'!A:E,5,0),"")</f>
        <v/>
      </c>
      <c r="G1578" t="str">
        <f>_xlfn.IFNA(VLOOKUP(Table1[[#This Row],[Tên đối tượng]],'DANH MỤC ĐỐI TƯỢNG'!A:F,6,0),"")</f>
        <v/>
      </c>
      <c r="H1578" t="str">
        <f>_xlfn.IFNA(VLOOKUP(Table1[[#This Row],[Tên đối tượng]],'DANH MỤC ĐỐI TƯỢNG'!A:I,9,0),"")</f>
        <v/>
      </c>
      <c r="I1578" t="str">
        <f>_xlfn.IFNA(VLOOKUP(Table1[[#This Row],[Tên đối tượng]],'DANH MỤC ĐỐI TƯỢNG'!A:J,10,0),"")</f>
        <v/>
      </c>
    </row>
    <row r="1579" spans="1:9" x14ac:dyDescent="0.3">
      <c r="A1579" t="str">
        <f t="shared" si="51"/>
        <v/>
      </c>
      <c r="F1579" t="str">
        <f>IFERROR(VLOOKUP(Table1[[#This Row],[Tên đối tượng]],'DANH MỤC ĐỐI TƯỢNG'!A:E,5,0),"")</f>
        <v/>
      </c>
      <c r="G1579" t="str">
        <f>_xlfn.IFNA(VLOOKUP(Table1[[#This Row],[Tên đối tượng]],'DANH MỤC ĐỐI TƯỢNG'!A:F,6,0),"")</f>
        <v/>
      </c>
      <c r="H1579" t="str">
        <f>_xlfn.IFNA(VLOOKUP(Table1[[#This Row],[Tên đối tượng]],'DANH MỤC ĐỐI TƯỢNG'!A:I,9,0),"")</f>
        <v/>
      </c>
      <c r="I1579" t="str">
        <f>_xlfn.IFNA(VLOOKUP(Table1[[#This Row],[Tên đối tượng]],'DANH MỤC ĐỐI TƯỢNG'!A:J,10,0),"")</f>
        <v/>
      </c>
    </row>
    <row r="1580" spans="1:9" x14ac:dyDescent="0.3">
      <c r="A1580" t="str">
        <f t="shared" si="51"/>
        <v/>
      </c>
      <c r="F1580" t="str">
        <f>IFERROR(VLOOKUP(Table1[[#This Row],[Tên đối tượng]],'DANH MỤC ĐỐI TƯỢNG'!A:E,5,0),"")</f>
        <v/>
      </c>
      <c r="G1580" t="str">
        <f>_xlfn.IFNA(VLOOKUP(Table1[[#This Row],[Tên đối tượng]],'DANH MỤC ĐỐI TƯỢNG'!A:F,6,0),"")</f>
        <v/>
      </c>
      <c r="H1580" t="str">
        <f>_xlfn.IFNA(VLOOKUP(Table1[[#This Row],[Tên đối tượng]],'DANH MỤC ĐỐI TƯỢNG'!A:I,9,0),"")</f>
        <v/>
      </c>
      <c r="I1580" t="str">
        <f>_xlfn.IFNA(VLOOKUP(Table1[[#This Row],[Tên đối tượng]],'DANH MỤC ĐỐI TƯỢNG'!A:J,10,0),"")</f>
        <v/>
      </c>
    </row>
    <row r="1581" spans="1:9" x14ac:dyDescent="0.3">
      <c r="A1581" t="str">
        <f t="shared" si="51"/>
        <v/>
      </c>
      <c r="F1581" t="str">
        <f>IFERROR(VLOOKUP(Table1[[#This Row],[Tên đối tượng]],'DANH MỤC ĐỐI TƯỢNG'!A:E,5,0),"")</f>
        <v/>
      </c>
      <c r="G1581" t="str">
        <f>_xlfn.IFNA(VLOOKUP(Table1[[#This Row],[Tên đối tượng]],'DANH MỤC ĐỐI TƯỢNG'!A:F,6,0),"")</f>
        <v/>
      </c>
      <c r="H1581" t="str">
        <f>_xlfn.IFNA(VLOOKUP(Table1[[#This Row],[Tên đối tượng]],'DANH MỤC ĐỐI TƯỢNG'!A:I,9,0),"")</f>
        <v/>
      </c>
      <c r="I1581" t="str">
        <f>_xlfn.IFNA(VLOOKUP(Table1[[#This Row],[Tên đối tượng]],'DANH MỤC ĐỐI TƯỢNG'!A:J,10,0),"")</f>
        <v/>
      </c>
    </row>
    <row r="1582" spans="1:9" x14ac:dyDescent="0.3">
      <c r="A1582" t="str">
        <f t="shared" si="51"/>
        <v/>
      </c>
      <c r="F1582" t="str">
        <f>IFERROR(VLOOKUP(Table1[[#This Row],[Tên đối tượng]],'DANH MỤC ĐỐI TƯỢNG'!A:E,5,0),"")</f>
        <v/>
      </c>
      <c r="G1582" t="str">
        <f>_xlfn.IFNA(VLOOKUP(Table1[[#This Row],[Tên đối tượng]],'DANH MỤC ĐỐI TƯỢNG'!A:F,6,0),"")</f>
        <v/>
      </c>
      <c r="H1582" t="str">
        <f>_xlfn.IFNA(VLOOKUP(Table1[[#This Row],[Tên đối tượng]],'DANH MỤC ĐỐI TƯỢNG'!A:I,9,0),"")</f>
        <v/>
      </c>
      <c r="I1582" t="str">
        <f>_xlfn.IFNA(VLOOKUP(Table1[[#This Row],[Tên đối tượng]],'DANH MỤC ĐỐI TƯỢNG'!A:J,10,0),"")</f>
        <v/>
      </c>
    </row>
    <row r="1583" spans="1:9" x14ac:dyDescent="0.3">
      <c r="A1583" t="str">
        <f t="shared" si="51"/>
        <v/>
      </c>
      <c r="F1583" t="str">
        <f>IFERROR(VLOOKUP(Table1[[#This Row],[Tên đối tượng]],'DANH MỤC ĐỐI TƯỢNG'!A:E,5,0),"")</f>
        <v/>
      </c>
      <c r="G1583" t="str">
        <f>_xlfn.IFNA(VLOOKUP(Table1[[#This Row],[Tên đối tượng]],'DANH MỤC ĐỐI TƯỢNG'!A:F,6,0),"")</f>
        <v/>
      </c>
      <c r="H1583" t="str">
        <f>_xlfn.IFNA(VLOOKUP(Table1[[#This Row],[Tên đối tượng]],'DANH MỤC ĐỐI TƯỢNG'!A:I,9,0),"")</f>
        <v/>
      </c>
      <c r="I1583" t="str">
        <f>_xlfn.IFNA(VLOOKUP(Table1[[#This Row],[Tên đối tượng]],'DANH MỤC ĐỐI TƯỢNG'!A:J,10,0),"")</f>
        <v/>
      </c>
    </row>
    <row r="1584" spans="1:9" x14ac:dyDescent="0.3">
      <c r="A1584" t="str">
        <f t="shared" si="51"/>
        <v/>
      </c>
      <c r="F1584" t="str">
        <f>IFERROR(VLOOKUP(Table1[[#This Row],[Tên đối tượng]],'DANH MỤC ĐỐI TƯỢNG'!A:E,5,0),"")</f>
        <v/>
      </c>
      <c r="G1584" t="str">
        <f>_xlfn.IFNA(VLOOKUP(Table1[[#This Row],[Tên đối tượng]],'DANH MỤC ĐỐI TƯỢNG'!A:F,6,0),"")</f>
        <v/>
      </c>
      <c r="H1584" t="str">
        <f>_xlfn.IFNA(VLOOKUP(Table1[[#This Row],[Tên đối tượng]],'DANH MỤC ĐỐI TƯỢNG'!A:I,9,0),"")</f>
        <v/>
      </c>
      <c r="I1584" t="str">
        <f>_xlfn.IFNA(VLOOKUP(Table1[[#This Row],[Tên đối tượng]],'DANH MỤC ĐỐI TƯỢNG'!A:J,10,0),"")</f>
        <v/>
      </c>
    </row>
    <row r="1585" spans="1:9" x14ac:dyDescent="0.3">
      <c r="A1585" t="str">
        <f t="shared" si="51"/>
        <v/>
      </c>
      <c r="F1585" t="str">
        <f>IFERROR(VLOOKUP(Table1[[#This Row],[Tên đối tượng]],'DANH MỤC ĐỐI TƯỢNG'!A:E,5,0),"")</f>
        <v/>
      </c>
      <c r="G1585" t="str">
        <f>_xlfn.IFNA(VLOOKUP(Table1[[#This Row],[Tên đối tượng]],'DANH MỤC ĐỐI TƯỢNG'!A:F,6,0),"")</f>
        <v/>
      </c>
      <c r="H1585" t="str">
        <f>_xlfn.IFNA(VLOOKUP(Table1[[#This Row],[Tên đối tượng]],'DANH MỤC ĐỐI TƯỢNG'!A:I,9,0),"")</f>
        <v/>
      </c>
      <c r="I1585" t="str">
        <f>_xlfn.IFNA(VLOOKUP(Table1[[#This Row],[Tên đối tượng]],'DANH MỤC ĐỐI TƯỢNG'!A:J,10,0),"")</f>
        <v/>
      </c>
    </row>
    <row r="1586" spans="1:9" x14ac:dyDescent="0.3">
      <c r="A1586" t="str">
        <f t="shared" si="51"/>
        <v/>
      </c>
      <c r="F1586" t="str">
        <f>IFERROR(VLOOKUP(Table1[[#This Row],[Tên đối tượng]],'DANH MỤC ĐỐI TƯỢNG'!A:E,5,0),"")</f>
        <v/>
      </c>
      <c r="G1586" t="str">
        <f>_xlfn.IFNA(VLOOKUP(Table1[[#This Row],[Tên đối tượng]],'DANH MỤC ĐỐI TƯỢNG'!A:F,6,0),"")</f>
        <v/>
      </c>
      <c r="H1586" t="str">
        <f>_xlfn.IFNA(VLOOKUP(Table1[[#This Row],[Tên đối tượng]],'DANH MỤC ĐỐI TƯỢNG'!A:I,9,0),"")</f>
        <v/>
      </c>
      <c r="I1586" t="str">
        <f>_xlfn.IFNA(VLOOKUP(Table1[[#This Row],[Tên đối tượng]],'DANH MỤC ĐỐI TƯỢNG'!A:J,10,0),"")</f>
        <v/>
      </c>
    </row>
    <row r="1587" spans="1:9" x14ac:dyDescent="0.3">
      <c r="A1587" t="str">
        <f t="shared" si="51"/>
        <v/>
      </c>
      <c r="F1587" t="str">
        <f>IFERROR(VLOOKUP(Table1[[#This Row],[Tên đối tượng]],'DANH MỤC ĐỐI TƯỢNG'!A:E,5,0),"")</f>
        <v/>
      </c>
      <c r="G1587" t="str">
        <f>_xlfn.IFNA(VLOOKUP(Table1[[#This Row],[Tên đối tượng]],'DANH MỤC ĐỐI TƯỢNG'!A:F,6,0),"")</f>
        <v/>
      </c>
      <c r="H1587" t="str">
        <f>_xlfn.IFNA(VLOOKUP(Table1[[#This Row],[Tên đối tượng]],'DANH MỤC ĐỐI TƯỢNG'!A:I,9,0),"")</f>
        <v/>
      </c>
      <c r="I1587" t="str">
        <f>_xlfn.IFNA(VLOOKUP(Table1[[#This Row],[Tên đối tượng]],'DANH MỤC ĐỐI TƯỢNG'!A:J,10,0),"")</f>
        <v/>
      </c>
    </row>
    <row r="1588" spans="1:9" x14ac:dyDescent="0.3">
      <c r="A1588" t="str">
        <f t="shared" si="51"/>
        <v/>
      </c>
      <c r="F1588" t="str">
        <f>IFERROR(VLOOKUP(Table1[[#This Row],[Tên đối tượng]],'DANH MỤC ĐỐI TƯỢNG'!A:E,5,0),"")</f>
        <v/>
      </c>
      <c r="G1588" t="str">
        <f>_xlfn.IFNA(VLOOKUP(Table1[[#This Row],[Tên đối tượng]],'DANH MỤC ĐỐI TƯỢNG'!A:F,6,0),"")</f>
        <v/>
      </c>
      <c r="H1588" t="str">
        <f>_xlfn.IFNA(VLOOKUP(Table1[[#This Row],[Tên đối tượng]],'DANH MỤC ĐỐI TƯỢNG'!A:I,9,0),"")</f>
        <v/>
      </c>
      <c r="I1588" t="str">
        <f>_xlfn.IFNA(VLOOKUP(Table1[[#This Row],[Tên đối tượng]],'DANH MỤC ĐỐI TƯỢNG'!A:J,10,0),"")</f>
        <v/>
      </c>
    </row>
    <row r="1589" spans="1:9" x14ac:dyDescent="0.3">
      <c r="A1589" t="str">
        <f t="shared" si="51"/>
        <v/>
      </c>
      <c r="F1589" t="str">
        <f>IFERROR(VLOOKUP(Table1[[#This Row],[Tên đối tượng]],'DANH MỤC ĐỐI TƯỢNG'!A:E,5,0),"")</f>
        <v/>
      </c>
      <c r="G1589" t="str">
        <f>_xlfn.IFNA(VLOOKUP(Table1[[#This Row],[Tên đối tượng]],'DANH MỤC ĐỐI TƯỢNG'!A:F,6,0),"")</f>
        <v/>
      </c>
      <c r="H1589" t="str">
        <f>_xlfn.IFNA(VLOOKUP(Table1[[#This Row],[Tên đối tượng]],'DANH MỤC ĐỐI TƯỢNG'!A:I,9,0),"")</f>
        <v/>
      </c>
      <c r="I1589" t="str">
        <f>_xlfn.IFNA(VLOOKUP(Table1[[#This Row],[Tên đối tượng]],'DANH MỤC ĐỐI TƯỢNG'!A:J,10,0),"")</f>
        <v/>
      </c>
    </row>
    <row r="1590" spans="1:9" x14ac:dyDescent="0.3">
      <c r="A1590" t="str">
        <f t="shared" si="51"/>
        <v/>
      </c>
      <c r="F1590" t="str">
        <f>IFERROR(VLOOKUP(Table1[[#This Row],[Tên đối tượng]],'DANH MỤC ĐỐI TƯỢNG'!A:E,5,0),"")</f>
        <v/>
      </c>
      <c r="G1590" t="str">
        <f>_xlfn.IFNA(VLOOKUP(Table1[[#This Row],[Tên đối tượng]],'DANH MỤC ĐỐI TƯỢNG'!A:F,6,0),"")</f>
        <v/>
      </c>
      <c r="H1590" t="str">
        <f>_xlfn.IFNA(VLOOKUP(Table1[[#This Row],[Tên đối tượng]],'DANH MỤC ĐỐI TƯỢNG'!A:I,9,0),"")</f>
        <v/>
      </c>
      <c r="I1590" t="str">
        <f>_xlfn.IFNA(VLOOKUP(Table1[[#This Row],[Tên đối tượng]],'DANH MỤC ĐỐI TƯỢNG'!A:J,10,0),"")</f>
        <v/>
      </c>
    </row>
    <row r="1591" spans="1:9" x14ac:dyDescent="0.3">
      <c r="A1591" t="str">
        <f t="shared" si="51"/>
        <v/>
      </c>
      <c r="F1591" t="str">
        <f>IFERROR(VLOOKUP(Table1[[#This Row],[Tên đối tượng]],'DANH MỤC ĐỐI TƯỢNG'!A:E,5,0),"")</f>
        <v/>
      </c>
      <c r="G1591" t="str">
        <f>_xlfn.IFNA(VLOOKUP(Table1[[#This Row],[Tên đối tượng]],'DANH MỤC ĐỐI TƯỢNG'!A:F,6,0),"")</f>
        <v/>
      </c>
      <c r="H1591" t="str">
        <f>_xlfn.IFNA(VLOOKUP(Table1[[#This Row],[Tên đối tượng]],'DANH MỤC ĐỐI TƯỢNG'!A:I,9,0),"")</f>
        <v/>
      </c>
      <c r="I1591" t="str">
        <f>_xlfn.IFNA(VLOOKUP(Table1[[#This Row],[Tên đối tượng]],'DANH MỤC ĐỐI TƯỢNG'!A:J,10,0),"")</f>
        <v/>
      </c>
    </row>
    <row r="1592" spans="1:9" x14ac:dyDescent="0.3">
      <c r="A1592" t="str">
        <f t="shared" si="51"/>
        <v/>
      </c>
      <c r="F1592" t="str">
        <f>IFERROR(VLOOKUP(Table1[[#This Row],[Tên đối tượng]],'DANH MỤC ĐỐI TƯỢNG'!A:E,5,0),"")</f>
        <v/>
      </c>
      <c r="G1592" t="str">
        <f>_xlfn.IFNA(VLOOKUP(Table1[[#This Row],[Tên đối tượng]],'DANH MỤC ĐỐI TƯỢNG'!A:F,6,0),"")</f>
        <v/>
      </c>
      <c r="H1592" t="str">
        <f>_xlfn.IFNA(VLOOKUP(Table1[[#This Row],[Tên đối tượng]],'DANH MỤC ĐỐI TƯỢNG'!A:I,9,0),"")</f>
        <v/>
      </c>
      <c r="I1592" t="str">
        <f>_xlfn.IFNA(VLOOKUP(Table1[[#This Row],[Tên đối tượng]],'DANH MỤC ĐỐI TƯỢNG'!A:J,10,0),"")</f>
        <v/>
      </c>
    </row>
    <row r="1593" spans="1:9" x14ac:dyDescent="0.3">
      <c r="A1593" t="str">
        <f t="shared" si="51"/>
        <v/>
      </c>
      <c r="F1593" t="str">
        <f>IFERROR(VLOOKUP(Table1[[#This Row],[Tên đối tượng]],'DANH MỤC ĐỐI TƯỢNG'!A:E,5,0),"")</f>
        <v/>
      </c>
      <c r="G1593" t="str">
        <f>_xlfn.IFNA(VLOOKUP(Table1[[#This Row],[Tên đối tượng]],'DANH MỤC ĐỐI TƯỢNG'!A:F,6,0),"")</f>
        <v/>
      </c>
      <c r="H1593" t="str">
        <f>_xlfn.IFNA(VLOOKUP(Table1[[#This Row],[Tên đối tượng]],'DANH MỤC ĐỐI TƯỢNG'!A:I,9,0),"")</f>
        <v/>
      </c>
      <c r="I1593" t="str">
        <f>_xlfn.IFNA(VLOOKUP(Table1[[#This Row],[Tên đối tượng]],'DANH MỤC ĐỐI TƯỢNG'!A:J,10,0),"")</f>
        <v/>
      </c>
    </row>
    <row r="1594" spans="1:9" x14ac:dyDescent="0.3">
      <c r="A1594" t="str">
        <f t="shared" si="51"/>
        <v/>
      </c>
      <c r="F1594" t="str">
        <f>IFERROR(VLOOKUP(Table1[[#This Row],[Tên đối tượng]],'DANH MỤC ĐỐI TƯỢNG'!A:E,5,0),"")</f>
        <v/>
      </c>
      <c r="G1594" t="str">
        <f>_xlfn.IFNA(VLOOKUP(Table1[[#This Row],[Tên đối tượng]],'DANH MỤC ĐỐI TƯỢNG'!A:F,6,0),"")</f>
        <v/>
      </c>
      <c r="H1594" t="str">
        <f>_xlfn.IFNA(VLOOKUP(Table1[[#This Row],[Tên đối tượng]],'DANH MỤC ĐỐI TƯỢNG'!A:I,9,0),"")</f>
        <v/>
      </c>
      <c r="I1594" t="str">
        <f>_xlfn.IFNA(VLOOKUP(Table1[[#This Row],[Tên đối tượng]],'DANH MỤC ĐỐI TƯỢNG'!A:J,10,0),"")</f>
        <v/>
      </c>
    </row>
    <row r="1595" spans="1:9" x14ac:dyDescent="0.3">
      <c r="A1595" t="str">
        <f t="shared" si="51"/>
        <v/>
      </c>
      <c r="F1595" t="str">
        <f>IFERROR(VLOOKUP(Table1[[#This Row],[Tên đối tượng]],'DANH MỤC ĐỐI TƯỢNG'!A:E,5,0),"")</f>
        <v/>
      </c>
      <c r="G1595" t="str">
        <f>_xlfn.IFNA(VLOOKUP(Table1[[#This Row],[Tên đối tượng]],'DANH MỤC ĐỐI TƯỢNG'!A:F,6,0),"")</f>
        <v/>
      </c>
      <c r="H1595" t="str">
        <f>_xlfn.IFNA(VLOOKUP(Table1[[#This Row],[Tên đối tượng]],'DANH MỤC ĐỐI TƯỢNG'!A:I,9,0),"")</f>
        <v/>
      </c>
      <c r="I1595" t="str">
        <f>_xlfn.IFNA(VLOOKUP(Table1[[#This Row],[Tên đối tượng]],'DANH MỤC ĐỐI TƯỢNG'!A:J,10,0),"")</f>
        <v/>
      </c>
    </row>
    <row r="1596" spans="1:9" x14ac:dyDescent="0.3">
      <c r="A1596" t="str">
        <f t="shared" si="51"/>
        <v/>
      </c>
      <c r="F1596" t="str">
        <f>IFERROR(VLOOKUP(Table1[[#This Row],[Tên đối tượng]],'DANH MỤC ĐỐI TƯỢNG'!A:E,5,0),"")</f>
        <v/>
      </c>
      <c r="G1596" t="str">
        <f>_xlfn.IFNA(VLOOKUP(Table1[[#This Row],[Tên đối tượng]],'DANH MỤC ĐỐI TƯỢNG'!A:F,6,0),"")</f>
        <v/>
      </c>
      <c r="H1596" t="str">
        <f>_xlfn.IFNA(VLOOKUP(Table1[[#This Row],[Tên đối tượng]],'DANH MỤC ĐỐI TƯỢNG'!A:I,9,0),"")</f>
        <v/>
      </c>
      <c r="I1596" t="str">
        <f>_xlfn.IFNA(VLOOKUP(Table1[[#This Row],[Tên đối tượng]],'DANH MỤC ĐỐI TƯỢNG'!A:J,10,0),"")</f>
        <v/>
      </c>
    </row>
    <row r="1597" spans="1:9" x14ac:dyDescent="0.3">
      <c r="A1597" t="str">
        <f t="shared" si="51"/>
        <v/>
      </c>
      <c r="F1597" t="str">
        <f>IFERROR(VLOOKUP(Table1[[#This Row],[Tên đối tượng]],'DANH MỤC ĐỐI TƯỢNG'!A:E,5,0),"")</f>
        <v/>
      </c>
      <c r="G1597" t="str">
        <f>_xlfn.IFNA(VLOOKUP(Table1[[#This Row],[Tên đối tượng]],'DANH MỤC ĐỐI TƯỢNG'!A:F,6,0),"")</f>
        <v/>
      </c>
      <c r="H1597" t="str">
        <f>_xlfn.IFNA(VLOOKUP(Table1[[#This Row],[Tên đối tượng]],'DANH MỤC ĐỐI TƯỢNG'!A:I,9,0),"")</f>
        <v/>
      </c>
      <c r="I1597" t="str">
        <f>_xlfn.IFNA(VLOOKUP(Table1[[#This Row],[Tên đối tượng]],'DANH MỤC ĐỐI TƯỢNG'!A:J,10,0),"")</f>
        <v/>
      </c>
    </row>
    <row r="1598" spans="1:9" x14ac:dyDescent="0.3">
      <c r="A1598" t="str">
        <f t="shared" si="51"/>
        <v/>
      </c>
      <c r="F1598" t="str">
        <f>IFERROR(VLOOKUP(Table1[[#This Row],[Tên đối tượng]],'DANH MỤC ĐỐI TƯỢNG'!A:E,5,0),"")</f>
        <v/>
      </c>
      <c r="G1598" t="str">
        <f>_xlfn.IFNA(VLOOKUP(Table1[[#This Row],[Tên đối tượng]],'DANH MỤC ĐỐI TƯỢNG'!A:F,6,0),"")</f>
        <v/>
      </c>
      <c r="H1598" t="str">
        <f>_xlfn.IFNA(VLOOKUP(Table1[[#This Row],[Tên đối tượng]],'DANH MỤC ĐỐI TƯỢNG'!A:I,9,0),"")</f>
        <v/>
      </c>
      <c r="I1598" t="str">
        <f>_xlfn.IFNA(VLOOKUP(Table1[[#This Row],[Tên đối tượng]],'DANH MỤC ĐỐI TƯỢNG'!A:J,10,0),"")</f>
        <v/>
      </c>
    </row>
    <row r="1599" spans="1:9" x14ac:dyDescent="0.3">
      <c r="A1599" t="str">
        <f t="shared" si="51"/>
        <v/>
      </c>
      <c r="F1599" t="str">
        <f>IFERROR(VLOOKUP(Table1[[#This Row],[Tên đối tượng]],'DANH MỤC ĐỐI TƯỢNG'!A:E,5,0),"")</f>
        <v/>
      </c>
      <c r="G1599" t="str">
        <f>_xlfn.IFNA(VLOOKUP(Table1[[#This Row],[Tên đối tượng]],'DANH MỤC ĐỐI TƯỢNG'!A:F,6,0),"")</f>
        <v/>
      </c>
      <c r="H1599" t="str">
        <f>_xlfn.IFNA(VLOOKUP(Table1[[#This Row],[Tên đối tượng]],'DANH MỤC ĐỐI TƯỢNG'!A:I,9,0),"")</f>
        <v/>
      </c>
      <c r="I1599" t="str">
        <f>_xlfn.IFNA(VLOOKUP(Table1[[#This Row],[Tên đối tượng]],'DANH MỤC ĐỐI TƯỢNG'!A:J,10,0),"")</f>
        <v/>
      </c>
    </row>
    <row r="1600" spans="1:9" x14ac:dyDescent="0.3">
      <c r="A1600" t="str">
        <f t="shared" ref="A1600:A1663" si="52">IF(B1600&lt;&gt;0,ROW()-3,"")</f>
        <v/>
      </c>
      <c r="F1600" t="str">
        <f>IFERROR(VLOOKUP(Table1[[#This Row],[Tên đối tượng]],'DANH MỤC ĐỐI TƯỢNG'!A:E,5,0),"")</f>
        <v/>
      </c>
      <c r="G1600" t="str">
        <f>_xlfn.IFNA(VLOOKUP(Table1[[#This Row],[Tên đối tượng]],'DANH MỤC ĐỐI TƯỢNG'!A:F,6,0),"")</f>
        <v/>
      </c>
      <c r="H1600" t="str">
        <f>_xlfn.IFNA(VLOOKUP(Table1[[#This Row],[Tên đối tượng]],'DANH MỤC ĐỐI TƯỢNG'!A:I,9,0),"")</f>
        <v/>
      </c>
      <c r="I1600" t="str">
        <f>_xlfn.IFNA(VLOOKUP(Table1[[#This Row],[Tên đối tượng]],'DANH MỤC ĐỐI TƯỢNG'!A:J,10,0),"")</f>
        <v/>
      </c>
    </row>
    <row r="1601" spans="1:9" x14ac:dyDescent="0.3">
      <c r="A1601" t="str">
        <f t="shared" si="52"/>
        <v/>
      </c>
      <c r="F1601" t="str">
        <f>IFERROR(VLOOKUP(Table1[[#This Row],[Tên đối tượng]],'DANH MỤC ĐỐI TƯỢNG'!A:E,5,0),"")</f>
        <v/>
      </c>
      <c r="G1601" t="str">
        <f>_xlfn.IFNA(VLOOKUP(Table1[[#This Row],[Tên đối tượng]],'DANH MỤC ĐỐI TƯỢNG'!A:F,6,0),"")</f>
        <v/>
      </c>
      <c r="H1601" t="str">
        <f>_xlfn.IFNA(VLOOKUP(Table1[[#This Row],[Tên đối tượng]],'DANH MỤC ĐỐI TƯỢNG'!A:I,9,0),"")</f>
        <v/>
      </c>
      <c r="I1601" t="str">
        <f>_xlfn.IFNA(VLOOKUP(Table1[[#This Row],[Tên đối tượng]],'DANH MỤC ĐỐI TƯỢNG'!A:J,10,0),"")</f>
        <v/>
      </c>
    </row>
    <row r="1602" spans="1:9" x14ac:dyDescent="0.3">
      <c r="A1602" t="str">
        <f t="shared" si="52"/>
        <v/>
      </c>
      <c r="F1602" t="str">
        <f>IFERROR(VLOOKUP(Table1[[#This Row],[Tên đối tượng]],'DANH MỤC ĐỐI TƯỢNG'!A:E,5,0),"")</f>
        <v/>
      </c>
      <c r="G1602" t="str">
        <f>_xlfn.IFNA(VLOOKUP(Table1[[#This Row],[Tên đối tượng]],'DANH MỤC ĐỐI TƯỢNG'!A:F,6,0),"")</f>
        <v/>
      </c>
      <c r="H1602" t="str">
        <f>_xlfn.IFNA(VLOOKUP(Table1[[#This Row],[Tên đối tượng]],'DANH MỤC ĐỐI TƯỢNG'!A:I,9,0),"")</f>
        <v/>
      </c>
      <c r="I1602" t="str">
        <f>_xlfn.IFNA(VLOOKUP(Table1[[#This Row],[Tên đối tượng]],'DANH MỤC ĐỐI TƯỢNG'!A:J,10,0),"")</f>
        <v/>
      </c>
    </row>
    <row r="1603" spans="1:9" x14ac:dyDescent="0.3">
      <c r="A1603" t="str">
        <f t="shared" si="52"/>
        <v/>
      </c>
      <c r="F1603" t="str">
        <f>IFERROR(VLOOKUP(Table1[[#This Row],[Tên đối tượng]],'DANH MỤC ĐỐI TƯỢNG'!A:E,5,0),"")</f>
        <v/>
      </c>
      <c r="G1603" t="str">
        <f>_xlfn.IFNA(VLOOKUP(Table1[[#This Row],[Tên đối tượng]],'DANH MỤC ĐỐI TƯỢNG'!A:F,6,0),"")</f>
        <v/>
      </c>
      <c r="H1603" t="str">
        <f>_xlfn.IFNA(VLOOKUP(Table1[[#This Row],[Tên đối tượng]],'DANH MỤC ĐỐI TƯỢNG'!A:I,9,0),"")</f>
        <v/>
      </c>
      <c r="I1603" t="str">
        <f>_xlfn.IFNA(VLOOKUP(Table1[[#This Row],[Tên đối tượng]],'DANH MỤC ĐỐI TƯỢNG'!A:J,10,0),"")</f>
        <v/>
      </c>
    </row>
    <row r="1604" spans="1:9" x14ac:dyDescent="0.3">
      <c r="A1604" t="str">
        <f t="shared" si="52"/>
        <v/>
      </c>
      <c r="F1604" t="str">
        <f>IFERROR(VLOOKUP(Table1[[#This Row],[Tên đối tượng]],'DANH MỤC ĐỐI TƯỢNG'!A:E,5,0),"")</f>
        <v/>
      </c>
      <c r="G1604" t="str">
        <f>_xlfn.IFNA(VLOOKUP(Table1[[#This Row],[Tên đối tượng]],'DANH MỤC ĐỐI TƯỢNG'!A:F,6,0),"")</f>
        <v/>
      </c>
      <c r="H1604" t="str">
        <f>_xlfn.IFNA(VLOOKUP(Table1[[#This Row],[Tên đối tượng]],'DANH MỤC ĐỐI TƯỢNG'!A:I,9,0),"")</f>
        <v/>
      </c>
      <c r="I1604" t="str">
        <f>_xlfn.IFNA(VLOOKUP(Table1[[#This Row],[Tên đối tượng]],'DANH MỤC ĐỐI TƯỢNG'!A:J,10,0),"")</f>
        <v/>
      </c>
    </row>
    <row r="1605" spans="1:9" x14ac:dyDescent="0.3">
      <c r="A1605" t="str">
        <f t="shared" si="52"/>
        <v/>
      </c>
      <c r="F1605" t="str">
        <f>IFERROR(VLOOKUP(Table1[[#This Row],[Tên đối tượng]],'DANH MỤC ĐỐI TƯỢNG'!A:E,5,0),"")</f>
        <v/>
      </c>
      <c r="G1605" t="str">
        <f>_xlfn.IFNA(VLOOKUP(Table1[[#This Row],[Tên đối tượng]],'DANH MỤC ĐỐI TƯỢNG'!A:F,6,0),"")</f>
        <v/>
      </c>
      <c r="H1605" t="str">
        <f>_xlfn.IFNA(VLOOKUP(Table1[[#This Row],[Tên đối tượng]],'DANH MỤC ĐỐI TƯỢNG'!A:I,9,0),"")</f>
        <v/>
      </c>
      <c r="I1605" t="str">
        <f>_xlfn.IFNA(VLOOKUP(Table1[[#This Row],[Tên đối tượng]],'DANH MỤC ĐỐI TƯỢNG'!A:J,10,0),"")</f>
        <v/>
      </c>
    </row>
    <row r="1606" spans="1:9" x14ac:dyDescent="0.3">
      <c r="A1606" t="str">
        <f t="shared" si="52"/>
        <v/>
      </c>
      <c r="F1606" t="str">
        <f>IFERROR(VLOOKUP(Table1[[#This Row],[Tên đối tượng]],'DANH MỤC ĐỐI TƯỢNG'!A:E,5,0),"")</f>
        <v/>
      </c>
      <c r="G1606" t="str">
        <f>_xlfn.IFNA(VLOOKUP(Table1[[#This Row],[Tên đối tượng]],'DANH MỤC ĐỐI TƯỢNG'!A:F,6,0),"")</f>
        <v/>
      </c>
      <c r="H1606" t="str">
        <f>_xlfn.IFNA(VLOOKUP(Table1[[#This Row],[Tên đối tượng]],'DANH MỤC ĐỐI TƯỢNG'!A:I,9,0),"")</f>
        <v/>
      </c>
      <c r="I1606" t="str">
        <f>_xlfn.IFNA(VLOOKUP(Table1[[#This Row],[Tên đối tượng]],'DANH MỤC ĐỐI TƯỢNG'!A:J,10,0),"")</f>
        <v/>
      </c>
    </row>
    <row r="1607" spans="1:9" x14ac:dyDescent="0.3">
      <c r="A1607" t="str">
        <f t="shared" si="52"/>
        <v/>
      </c>
      <c r="F1607" t="str">
        <f>IFERROR(VLOOKUP(Table1[[#This Row],[Tên đối tượng]],'DANH MỤC ĐỐI TƯỢNG'!A:E,5,0),"")</f>
        <v/>
      </c>
      <c r="G1607" t="str">
        <f>_xlfn.IFNA(VLOOKUP(Table1[[#This Row],[Tên đối tượng]],'DANH MỤC ĐỐI TƯỢNG'!A:F,6,0),"")</f>
        <v/>
      </c>
      <c r="H1607" t="str">
        <f>_xlfn.IFNA(VLOOKUP(Table1[[#This Row],[Tên đối tượng]],'DANH MỤC ĐỐI TƯỢNG'!A:I,9,0),"")</f>
        <v/>
      </c>
      <c r="I1607" t="str">
        <f>_xlfn.IFNA(VLOOKUP(Table1[[#This Row],[Tên đối tượng]],'DANH MỤC ĐỐI TƯỢNG'!A:J,10,0),"")</f>
        <v/>
      </c>
    </row>
    <row r="1608" spans="1:9" x14ac:dyDescent="0.3">
      <c r="A1608" t="str">
        <f t="shared" si="52"/>
        <v/>
      </c>
      <c r="F1608" t="str">
        <f>IFERROR(VLOOKUP(Table1[[#This Row],[Tên đối tượng]],'DANH MỤC ĐỐI TƯỢNG'!A:E,5,0),"")</f>
        <v/>
      </c>
      <c r="G1608" t="str">
        <f>_xlfn.IFNA(VLOOKUP(Table1[[#This Row],[Tên đối tượng]],'DANH MỤC ĐỐI TƯỢNG'!A:F,6,0),"")</f>
        <v/>
      </c>
      <c r="H1608" t="str">
        <f>_xlfn.IFNA(VLOOKUP(Table1[[#This Row],[Tên đối tượng]],'DANH MỤC ĐỐI TƯỢNG'!A:I,9,0),"")</f>
        <v/>
      </c>
      <c r="I1608" t="str">
        <f>_xlfn.IFNA(VLOOKUP(Table1[[#This Row],[Tên đối tượng]],'DANH MỤC ĐỐI TƯỢNG'!A:J,10,0),"")</f>
        <v/>
      </c>
    </row>
    <row r="1609" spans="1:9" x14ac:dyDescent="0.3">
      <c r="A1609" t="str">
        <f t="shared" si="52"/>
        <v/>
      </c>
      <c r="F1609" t="str">
        <f>IFERROR(VLOOKUP(Table1[[#This Row],[Tên đối tượng]],'DANH MỤC ĐỐI TƯỢNG'!A:E,5,0),"")</f>
        <v/>
      </c>
      <c r="G1609" t="str">
        <f>_xlfn.IFNA(VLOOKUP(Table1[[#This Row],[Tên đối tượng]],'DANH MỤC ĐỐI TƯỢNG'!A:F,6,0),"")</f>
        <v/>
      </c>
      <c r="H1609" t="str">
        <f>_xlfn.IFNA(VLOOKUP(Table1[[#This Row],[Tên đối tượng]],'DANH MỤC ĐỐI TƯỢNG'!A:I,9,0),"")</f>
        <v/>
      </c>
      <c r="I1609" t="str">
        <f>_xlfn.IFNA(VLOOKUP(Table1[[#This Row],[Tên đối tượng]],'DANH MỤC ĐỐI TƯỢNG'!A:J,10,0),"")</f>
        <v/>
      </c>
    </row>
    <row r="1610" spans="1:9" x14ac:dyDescent="0.3">
      <c r="A1610" t="str">
        <f t="shared" si="52"/>
        <v/>
      </c>
      <c r="F1610" t="str">
        <f>IFERROR(VLOOKUP(Table1[[#This Row],[Tên đối tượng]],'DANH MỤC ĐỐI TƯỢNG'!A:E,5,0),"")</f>
        <v/>
      </c>
      <c r="G1610" t="str">
        <f>_xlfn.IFNA(VLOOKUP(Table1[[#This Row],[Tên đối tượng]],'DANH MỤC ĐỐI TƯỢNG'!A:F,6,0),"")</f>
        <v/>
      </c>
      <c r="H1610" t="str">
        <f>_xlfn.IFNA(VLOOKUP(Table1[[#This Row],[Tên đối tượng]],'DANH MỤC ĐỐI TƯỢNG'!A:I,9,0),"")</f>
        <v/>
      </c>
      <c r="I1610" t="str">
        <f>_xlfn.IFNA(VLOOKUP(Table1[[#This Row],[Tên đối tượng]],'DANH MỤC ĐỐI TƯỢNG'!A:J,10,0),"")</f>
        <v/>
      </c>
    </row>
    <row r="1611" spans="1:9" x14ac:dyDescent="0.3">
      <c r="A1611" t="str">
        <f t="shared" si="52"/>
        <v/>
      </c>
      <c r="F1611" t="str">
        <f>IFERROR(VLOOKUP(Table1[[#This Row],[Tên đối tượng]],'DANH MỤC ĐỐI TƯỢNG'!A:E,5,0),"")</f>
        <v/>
      </c>
      <c r="G1611" t="str">
        <f>_xlfn.IFNA(VLOOKUP(Table1[[#This Row],[Tên đối tượng]],'DANH MỤC ĐỐI TƯỢNG'!A:F,6,0),"")</f>
        <v/>
      </c>
      <c r="H1611" t="str">
        <f>_xlfn.IFNA(VLOOKUP(Table1[[#This Row],[Tên đối tượng]],'DANH MỤC ĐỐI TƯỢNG'!A:I,9,0),"")</f>
        <v/>
      </c>
      <c r="I1611" t="str">
        <f>_xlfn.IFNA(VLOOKUP(Table1[[#This Row],[Tên đối tượng]],'DANH MỤC ĐỐI TƯỢNG'!A:J,10,0),"")</f>
        <v/>
      </c>
    </row>
    <row r="1612" spans="1:9" x14ac:dyDescent="0.3">
      <c r="A1612" t="str">
        <f t="shared" si="52"/>
        <v/>
      </c>
      <c r="F1612" t="str">
        <f>IFERROR(VLOOKUP(Table1[[#This Row],[Tên đối tượng]],'DANH MỤC ĐỐI TƯỢNG'!A:E,5,0),"")</f>
        <v/>
      </c>
      <c r="G1612" t="str">
        <f>_xlfn.IFNA(VLOOKUP(Table1[[#This Row],[Tên đối tượng]],'DANH MỤC ĐỐI TƯỢNG'!A:F,6,0),"")</f>
        <v/>
      </c>
      <c r="H1612" t="str">
        <f>_xlfn.IFNA(VLOOKUP(Table1[[#This Row],[Tên đối tượng]],'DANH MỤC ĐỐI TƯỢNG'!A:I,9,0),"")</f>
        <v/>
      </c>
      <c r="I1612" t="str">
        <f>_xlfn.IFNA(VLOOKUP(Table1[[#This Row],[Tên đối tượng]],'DANH MỤC ĐỐI TƯỢNG'!A:J,10,0),"")</f>
        <v/>
      </c>
    </row>
    <row r="1613" spans="1:9" x14ac:dyDescent="0.3">
      <c r="A1613" t="str">
        <f t="shared" si="52"/>
        <v/>
      </c>
      <c r="F1613" t="str">
        <f>IFERROR(VLOOKUP(Table1[[#This Row],[Tên đối tượng]],'DANH MỤC ĐỐI TƯỢNG'!A:E,5,0),"")</f>
        <v/>
      </c>
      <c r="G1613" t="str">
        <f>_xlfn.IFNA(VLOOKUP(Table1[[#This Row],[Tên đối tượng]],'DANH MỤC ĐỐI TƯỢNG'!A:F,6,0),"")</f>
        <v/>
      </c>
      <c r="H1613" t="str">
        <f>_xlfn.IFNA(VLOOKUP(Table1[[#This Row],[Tên đối tượng]],'DANH MỤC ĐỐI TƯỢNG'!A:I,9,0),"")</f>
        <v/>
      </c>
      <c r="I1613" t="str">
        <f>_xlfn.IFNA(VLOOKUP(Table1[[#This Row],[Tên đối tượng]],'DANH MỤC ĐỐI TƯỢNG'!A:J,10,0),"")</f>
        <v/>
      </c>
    </row>
    <row r="1614" spans="1:9" x14ac:dyDescent="0.3">
      <c r="A1614" t="str">
        <f t="shared" si="52"/>
        <v/>
      </c>
      <c r="F1614" t="str">
        <f>IFERROR(VLOOKUP(Table1[[#This Row],[Tên đối tượng]],'DANH MỤC ĐỐI TƯỢNG'!A:E,5,0),"")</f>
        <v/>
      </c>
      <c r="G1614" t="str">
        <f>_xlfn.IFNA(VLOOKUP(Table1[[#This Row],[Tên đối tượng]],'DANH MỤC ĐỐI TƯỢNG'!A:F,6,0),"")</f>
        <v/>
      </c>
      <c r="H1614" t="str">
        <f>_xlfn.IFNA(VLOOKUP(Table1[[#This Row],[Tên đối tượng]],'DANH MỤC ĐỐI TƯỢNG'!A:I,9,0),"")</f>
        <v/>
      </c>
      <c r="I1614" t="str">
        <f>_xlfn.IFNA(VLOOKUP(Table1[[#This Row],[Tên đối tượng]],'DANH MỤC ĐỐI TƯỢNG'!A:J,10,0),"")</f>
        <v/>
      </c>
    </row>
    <row r="1615" spans="1:9" x14ac:dyDescent="0.3">
      <c r="A1615" t="str">
        <f t="shared" si="52"/>
        <v/>
      </c>
      <c r="F1615" t="str">
        <f>IFERROR(VLOOKUP(Table1[[#This Row],[Tên đối tượng]],'DANH MỤC ĐỐI TƯỢNG'!A:E,5,0),"")</f>
        <v/>
      </c>
      <c r="G1615" t="str">
        <f>_xlfn.IFNA(VLOOKUP(Table1[[#This Row],[Tên đối tượng]],'DANH MỤC ĐỐI TƯỢNG'!A:F,6,0),"")</f>
        <v/>
      </c>
      <c r="H1615" t="str">
        <f>_xlfn.IFNA(VLOOKUP(Table1[[#This Row],[Tên đối tượng]],'DANH MỤC ĐỐI TƯỢNG'!A:I,9,0),"")</f>
        <v/>
      </c>
      <c r="I1615" t="str">
        <f>_xlfn.IFNA(VLOOKUP(Table1[[#This Row],[Tên đối tượng]],'DANH MỤC ĐỐI TƯỢNG'!A:J,10,0),"")</f>
        <v/>
      </c>
    </row>
    <row r="1616" spans="1:9" x14ac:dyDescent="0.3">
      <c r="A1616" t="str">
        <f t="shared" si="52"/>
        <v/>
      </c>
      <c r="F1616" t="str">
        <f>IFERROR(VLOOKUP(Table1[[#This Row],[Tên đối tượng]],'DANH MỤC ĐỐI TƯỢNG'!A:E,5,0),"")</f>
        <v/>
      </c>
      <c r="G1616" t="str">
        <f>_xlfn.IFNA(VLOOKUP(Table1[[#This Row],[Tên đối tượng]],'DANH MỤC ĐỐI TƯỢNG'!A:F,6,0),"")</f>
        <v/>
      </c>
      <c r="H1616" t="str">
        <f>_xlfn.IFNA(VLOOKUP(Table1[[#This Row],[Tên đối tượng]],'DANH MỤC ĐỐI TƯỢNG'!A:I,9,0),"")</f>
        <v/>
      </c>
      <c r="I1616" t="str">
        <f>_xlfn.IFNA(VLOOKUP(Table1[[#This Row],[Tên đối tượng]],'DANH MỤC ĐỐI TƯỢNG'!A:J,10,0),"")</f>
        <v/>
      </c>
    </row>
    <row r="1617" spans="1:9" x14ac:dyDescent="0.3">
      <c r="A1617" t="str">
        <f t="shared" si="52"/>
        <v/>
      </c>
      <c r="F1617" t="str">
        <f>IFERROR(VLOOKUP(Table1[[#This Row],[Tên đối tượng]],'DANH MỤC ĐỐI TƯỢNG'!A:E,5,0),"")</f>
        <v/>
      </c>
      <c r="G1617" t="str">
        <f>_xlfn.IFNA(VLOOKUP(Table1[[#This Row],[Tên đối tượng]],'DANH MỤC ĐỐI TƯỢNG'!A:F,6,0),"")</f>
        <v/>
      </c>
      <c r="H1617" t="str">
        <f>_xlfn.IFNA(VLOOKUP(Table1[[#This Row],[Tên đối tượng]],'DANH MỤC ĐỐI TƯỢNG'!A:I,9,0),"")</f>
        <v/>
      </c>
      <c r="I1617" t="str">
        <f>_xlfn.IFNA(VLOOKUP(Table1[[#This Row],[Tên đối tượng]],'DANH MỤC ĐỐI TƯỢNG'!A:J,10,0),"")</f>
        <v/>
      </c>
    </row>
    <row r="1618" spans="1:9" x14ac:dyDescent="0.3">
      <c r="A1618" t="str">
        <f t="shared" si="52"/>
        <v/>
      </c>
      <c r="F1618" t="str">
        <f>IFERROR(VLOOKUP(Table1[[#This Row],[Tên đối tượng]],'DANH MỤC ĐỐI TƯỢNG'!A:E,5,0),"")</f>
        <v/>
      </c>
      <c r="G1618" t="str">
        <f>_xlfn.IFNA(VLOOKUP(Table1[[#This Row],[Tên đối tượng]],'DANH MỤC ĐỐI TƯỢNG'!A:F,6,0),"")</f>
        <v/>
      </c>
      <c r="H1618" t="str">
        <f>_xlfn.IFNA(VLOOKUP(Table1[[#This Row],[Tên đối tượng]],'DANH MỤC ĐỐI TƯỢNG'!A:I,9,0),"")</f>
        <v/>
      </c>
      <c r="I1618" t="str">
        <f>_xlfn.IFNA(VLOOKUP(Table1[[#This Row],[Tên đối tượng]],'DANH MỤC ĐỐI TƯỢNG'!A:J,10,0),"")</f>
        <v/>
      </c>
    </row>
    <row r="1619" spans="1:9" x14ac:dyDescent="0.3">
      <c r="A1619" t="str">
        <f t="shared" si="52"/>
        <v/>
      </c>
      <c r="F1619" t="str">
        <f>IFERROR(VLOOKUP(Table1[[#This Row],[Tên đối tượng]],'DANH MỤC ĐỐI TƯỢNG'!A:E,5,0),"")</f>
        <v/>
      </c>
      <c r="G1619" t="str">
        <f>_xlfn.IFNA(VLOOKUP(Table1[[#This Row],[Tên đối tượng]],'DANH MỤC ĐỐI TƯỢNG'!A:F,6,0),"")</f>
        <v/>
      </c>
      <c r="H1619" t="str">
        <f>_xlfn.IFNA(VLOOKUP(Table1[[#This Row],[Tên đối tượng]],'DANH MỤC ĐỐI TƯỢNG'!A:I,9,0),"")</f>
        <v/>
      </c>
      <c r="I1619" t="str">
        <f>_xlfn.IFNA(VLOOKUP(Table1[[#This Row],[Tên đối tượng]],'DANH MỤC ĐỐI TƯỢNG'!A:J,10,0),"")</f>
        <v/>
      </c>
    </row>
    <row r="1620" spans="1:9" x14ac:dyDescent="0.3">
      <c r="A1620" t="str">
        <f t="shared" si="52"/>
        <v/>
      </c>
      <c r="F1620" t="str">
        <f>IFERROR(VLOOKUP(Table1[[#This Row],[Tên đối tượng]],'DANH MỤC ĐỐI TƯỢNG'!A:E,5,0),"")</f>
        <v/>
      </c>
      <c r="G1620" t="str">
        <f>_xlfn.IFNA(VLOOKUP(Table1[[#This Row],[Tên đối tượng]],'DANH MỤC ĐỐI TƯỢNG'!A:F,6,0),"")</f>
        <v/>
      </c>
      <c r="H1620" t="str">
        <f>_xlfn.IFNA(VLOOKUP(Table1[[#This Row],[Tên đối tượng]],'DANH MỤC ĐỐI TƯỢNG'!A:I,9,0),"")</f>
        <v/>
      </c>
      <c r="I1620" t="str">
        <f>_xlfn.IFNA(VLOOKUP(Table1[[#This Row],[Tên đối tượng]],'DANH MỤC ĐỐI TƯỢNG'!A:J,10,0),"")</f>
        <v/>
      </c>
    </row>
    <row r="1621" spans="1:9" x14ac:dyDescent="0.3">
      <c r="A1621" t="str">
        <f t="shared" si="52"/>
        <v/>
      </c>
      <c r="F1621" t="str">
        <f>IFERROR(VLOOKUP(Table1[[#This Row],[Tên đối tượng]],'DANH MỤC ĐỐI TƯỢNG'!A:E,5,0),"")</f>
        <v/>
      </c>
      <c r="G1621" t="str">
        <f>_xlfn.IFNA(VLOOKUP(Table1[[#This Row],[Tên đối tượng]],'DANH MỤC ĐỐI TƯỢNG'!A:F,6,0),"")</f>
        <v/>
      </c>
      <c r="H1621" t="str">
        <f>_xlfn.IFNA(VLOOKUP(Table1[[#This Row],[Tên đối tượng]],'DANH MỤC ĐỐI TƯỢNG'!A:I,9,0),"")</f>
        <v/>
      </c>
      <c r="I1621" t="str">
        <f>_xlfn.IFNA(VLOOKUP(Table1[[#This Row],[Tên đối tượng]],'DANH MỤC ĐỐI TƯỢNG'!A:J,10,0),"")</f>
        <v/>
      </c>
    </row>
    <row r="1622" spans="1:9" x14ac:dyDescent="0.3">
      <c r="A1622" t="str">
        <f t="shared" si="52"/>
        <v/>
      </c>
      <c r="F1622" t="str">
        <f>IFERROR(VLOOKUP(Table1[[#This Row],[Tên đối tượng]],'DANH MỤC ĐỐI TƯỢNG'!A:E,5,0),"")</f>
        <v/>
      </c>
      <c r="G1622" t="str">
        <f>_xlfn.IFNA(VLOOKUP(Table1[[#This Row],[Tên đối tượng]],'DANH MỤC ĐỐI TƯỢNG'!A:F,6,0),"")</f>
        <v/>
      </c>
      <c r="H1622" t="str">
        <f>_xlfn.IFNA(VLOOKUP(Table1[[#This Row],[Tên đối tượng]],'DANH MỤC ĐỐI TƯỢNG'!A:I,9,0),"")</f>
        <v/>
      </c>
      <c r="I1622" t="str">
        <f>_xlfn.IFNA(VLOOKUP(Table1[[#This Row],[Tên đối tượng]],'DANH MỤC ĐỐI TƯỢNG'!A:J,10,0),"")</f>
        <v/>
      </c>
    </row>
    <row r="1623" spans="1:9" x14ac:dyDescent="0.3">
      <c r="A1623" t="str">
        <f t="shared" si="52"/>
        <v/>
      </c>
      <c r="F1623" t="str">
        <f>IFERROR(VLOOKUP(Table1[[#This Row],[Tên đối tượng]],'DANH MỤC ĐỐI TƯỢNG'!A:E,5,0),"")</f>
        <v/>
      </c>
      <c r="G1623" t="str">
        <f>_xlfn.IFNA(VLOOKUP(Table1[[#This Row],[Tên đối tượng]],'DANH MỤC ĐỐI TƯỢNG'!A:F,6,0),"")</f>
        <v/>
      </c>
      <c r="H1623" t="str">
        <f>_xlfn.IFNA(VLOOKUP(Table1[[#This Row],[Tên đối tượng]],'DANH MỤC ĐỐI TƯỢNG'!A:I,9,0),"")</f>
        <v/>
      </c>
      <c r="I1623" t="str">
        <f>_xlfn.IFNA(VLOOKUP(Table1[[#This Row],[Tên đối tượng]],'DANH MỤC ĐỐI TƯỢNG'!A:J,10,0),"")</f>
        <v/>
      </c>
    </row>
    <row r="1624" spans="1:9" x14ac:dyDescent="0.3">
      <c r="A1624" t="str">
        <f t="shared" si="52"/>
        <v/>
      </c>
      <c r="F1624" t="str">
        <f>IFERROR(VLOOKUP(Table1[[#This Row],[Tên đối tượng]],'DANH MỤC ĐỐI TƯỢNG'!A:E,5,0),"")</f>
        <v/>
      </c>
      <c r="G1624" t="str">
        <f>_xlfn.IFNA(VLOOKUP(Table1[[#This Row],[Tên đối tượng]],'DANH MỤC ĐỐI TƯỢNG'!A:F,6,0),"")</f>
        <v/>
      </c>
      <c r="H1624" t="str">
        <f>_xlfn.IFNA(VLOOKUP(Table1[[#This Row],[Tên đối tượng]],'DANH MỤC ĐỐI TƯỢNG'!A:I,9,0),"")</f>
        <v/>
      </c>
      <c r="I1624" t="str">
        <f>_xlfn.IFNA(VLOOKUP(Table1[[#This Row],[Tên đối tượng]],'DANH MỤC ĐỐI TƯỢNG'!A:J,10,0),"")</f>
        <v/>
      </c>
    </row>
    <row r="1625" spans="1:9" x14ac:dyDescent="0.3">
      <c r="A1625" t="str">
        <f t="shared" si="52"/>
        <v/>
      </c>
      <c r="F1625" t="str">
        <f>IFERROR(VLOOKUP(Table1[[#This Row],[Tên đối tượng]],'DANH MỤC ĐỐI TƯỢNG'!A:E,5,0),"")</f>
        <v/>
      </c>
      <c r="G1625" t="str">
        <f>_xlfn.IFNA(VLOOKUP(Table1[[#This Row],[Tên đối tượng]],'DANH MỤC ĐỐI TƯỢNG'!A:F,6,0),"")</f>
        <v/>
      </c>
      <c r="H1625" t="str">
        <f>_xlfn.IFNA(VLOOKUP(Table1[[#This Row],[Tên đối tượng]],'DANH MỤC ĐỐI TƯỢNG'!A:I,9,0),"")</f>
        <v/>
      </c>
      <c r="I1625" t="str">
        <f>_xlfn.IFNA(VLOOKUP(Table1[[#This Row],[Tên đối tượng]],'DANH MỤC ĐỐI TƯỢNG'!A:J,10,0),"")</f>
        <v/>
      </c>
    </row>
    <row r="1626" spans="1:9" x14ac:dyDescent="0.3">
      <c r="A1626" t="str">
        <f t="shared" si="52"/>
        <v/>
      </c>
      <c r="F1626" t="str">
        <f>IFERROR(VLOOKUP(Table1[[#This Row],[Tên đối tượng]],'DANH MỤC ĐỐI TƯỢNG'!A:E,5,0),"")</f>
        <v/>
      </c>
      <c r="G1626" t="str">
        <f>_xlfn.IFNA(VLOOKUP(Table1[[#This Row],[Tên đối tượng]],'DANH MỤC ĐỐI TƯỢNG'!A:F,6,0),"")</f>
        <v/>
      </c>
      <c r="H1626" t="str">
        <f>_xlfn.IFNA(VLOOKUP(Table1[[#This Row],[Tên đối tượng]],'DANH MỤC ĐỐI TƯỢNG'!A:I,9,0),"")</f>
        <v/>
      </c>
      <c r="I1626" t="str">
        <f>_xlfn.IFNA(VLOOKUP(Table1[[#This Row],[Tên đối tượng]],'DANH MỤC ĐỐI TƯỢNG'!A:J,10,0),"")</f>
        <v/>
      </c>
    </row>
    <row r="1627" spans="1:9" x14ac:dyDescent="0.3">
      <c r="A1627" t="str">
        <f t="shared" si="52"/>
        <v/>
      </c>
      <c r="F1627" t="str">
        <f>IFERROR(VLOOKUP(Table1[[#This Row],[Tên đối tượng]],'DANH MỤC ĐỐI TƯỢNG'!A:E,5,0),"")</f>
        <v/>
      </c>
      <c r="G1627" t="str">
        <f>_xlfn.IFNA(VLOOKUP(Table1[[#This Row],[Tên đối tượng]],'DANH MỤC ĐỐI TƯỢNG'!A:F,6,0),"")</f>
        <v/>
      </c>
      <c r="H1627" t="str">
        <f>_xlfn.IFNA(VLOOKUP(Table1[[#This Row],[Tên đối tượng]],'DANH MỤC ĐỐI TƯỢNG'!A:I,9,0),"")</f>
        <v/>
      </c>
      <c r="I1627" t="str">
        <f>_xlfn.IFNA(VLOOKUP(Table1[[#This Row],[Tên đối tượng]],'DANH MỤC ĐỐI TƯỢNG'!A:J,10,0),"")</f>
        <v/>
      </c>
    </row>
    <row r="1628" spans="1:9" x14ac:dyDescent="0.3">
      <c r="A1628" t="str">
        <f t="shared" si="52"/>
        <v/>
      </c>
      <c r="F1628" t="str">
        <f>IFERROR(VLOOKUP(Table1[[#This Row],[Tên đối tượng]],'DANH MỤC ĐỐI TƯỢNG'!A:E,5,0),"")</f>
        <v/>
      </c>
      <c r="G1628" t="str">
        <f>_xlfn.IFNA(VLOOKUP(Table1[[#This Row],[Tên đối tượng]],'DANH MỤC ĐỐI TƯỢNG'!A:F,6,0),"")</f>
        <v/>
      </c>
      <c r="H1628" t="str">
        <f>_xlfn.IFNA(VLOOKUP(Table1[[#This Row],[Tên đối tượng]],'DANH MỤC ĐỐI TƯỢNG'!A:I,9,0),"")</f>
        <v/>
      </c>
      <c r="I1628" t="str">
        <f>_xlfn.IFNA(VLOOKUP(Table1[[#This Row],[Tên đối tượng]],'DANH MỤC ĐỐI TƯỢNG'!A:J,10,0),"")</f>
        <v/>
      </c>
    </row>
    <row r="1629" spans="1:9" x14ac:dyDescent="0.3">
      <c r="A1629" t="str">
        <f t="shared" si="52"/>
        <v/>
      </c>
      <c r="F1629" t="str">
        <f>IFERROR(VLOOKUP(Table1[[#This Row],[Tên đối tượng]],'DANH MỤC ĐỐI TƯỢNG'!A:E,5,0),"")</f>
        <v/>
      </c>
      <c r="G1629" t="str">
        <f>_xlfn.IFNA(VLOOKUP(Table1[[#This Row],[Tên đối tượng]],'DANH MỤC ĐỐI TƯỢNG'!A:F,6,0),"")</f>
        <v/>
      </c>
      <c r="H1629" t="str">
        <f>_xlfn.IFNA(VLOOKUP(Table1[[#This Row],[Tên đối tượng]],'DANH MỤC ĐỐI TƯỢNG'!A:I,9,0),"")</f>
        <v/>
      </c>
      <c r="I1629" t="str">
        <f>_xlfn.IFNA(VLOOKUP(Table1[[#This Row],[Tên đối tượng]],'DANH MỤC ĐỐI TƯỢNG'!A:J,10,0),"")</f>
        <v/>
      </c>
    </row>
    <row r="1630" spans="1:9" x14ac:dyDescent="0.3">
      <c r="A1630" t="str">
        <f t="shared" si="52"/>
        <v/>
      </c>
      <c r="F1630" t="str">
        <f>IFERROR(VLOOKUP(Table1[[#This Row],[Tên đối tượng]],'DANH MỤC ĐỐI TƯỢNG'!A:E,5,0),"")</f>
        <v/>
      </c>
      <c r="G1630" t="str">
        <f>_xlfn.IFNA(VLOOKUP(Table1[[#This Row],[Tên đối tượng]],'DANH MỤC ĐỐI TƯỢNG'!A:F,6,0),"")</f>
        <v/>
      </c>
      <c r="H1630" t="str">
        <f>_xlfn.IFNA(VLOOKUP(Table1[[#This Row],[Tên đối tượng]],'DANH MỤC ĐỐI TƯỢNG'!A:I,9,0),"")</f>
        <v/>
      </c>
      <c r="I1630" t="str">
        <f>_xlfn.IFNA(VLOOKUP(Table1[[#This Row],[Tên đối tượng]],'DANH MỤC ĐỐI TƯỢNG'!A:J,10,0),"")</f>
        <v/>
      </c>
    </row>
    <row r="1631" spans="1:9" x14ac:dyDescent="0.3">
      <c r="A1631" t="str">
        <f t="shared" si="52"/>
        <v/>
      </c>
      <c r="F1631" t="str">
        <f>IFERROR(VLOOKUP(Table1[[#This Row],[Tên đối tượng]],'DANH MỤC ĐỐI TƯỢNG'!A:E,5,0),"")</f>
        <v/>
      </c>
      <c r="G1631" t="str">
        <f>_xlfn.IFNA(VLOOKUP(Table1[[#This Row],[Tên đối tượng]],'DANH MỤC ĐỐI TƯỢNG'!A:F,6,0),"")</f>
        <v/>
      </c>
      <c r="H1631" t="str">
        <f>_xlfn.IFNA(VLOOKUP(Table1[[#This Row],[Tên đối tượng]],'DANH MỤC ĐỐI TƯỢNG'!A:I,9,0),"")</f>
        <v/>
      </c>
      <c r="I1631" t="str">
        <f>_xlfn.IFNA(VLOOKUP(Table1[[#This Row],[Tên đối tượng]],'DANH MỤC ĐỐI TƯỢNG'!A:J,10,0),"")</f>
        <v/>
      </c>
    </row>
    <row r="1632" spans="1:9" x14ac:dyDescent="0.3">
      <c r="A1632" t="str">
        <f t="shared" si="52"/>
        <v/>
      </c>
      <c r="F1632" t="str">
        <f>IFERROR(VLOOKUP(Table1[[#This Row],[Tên đối tượng]],'DANH MỤC ĐỐI TƯỢNG'!A:E,5,0),"")</f>
        <v/>
      </c>
      <c r="G1632" t="str">
        <f>_xlfn.IFNA(VLOOKUP(Table1[[#This Row],[Tên đối tượng]],'DANH MỤC ĐỐI TƯỢNG'!A:F,6,0),"")</f>
        <v/>
      </c>
      <c r="H1632" t="str">
        <f>_xlfn.IFNA(VLOOKUP(Table1[[#This Row],[Tên đối tượng]],'DANH MỤC ĐỐI TƯỢNG'!A:I,9,0),"")</f>
        <v/>
      </c>
      <c r="I1632" t="str">
        <f>_xlfn.IFNA(VLOOKUP(Table1[[#This Row],[Tên đối tượng]],'DANH MỤC ĐỐI TƯỢNG'!A:J,10,0),"")</f>
        <v/>
      </c>
    </row>
    <row r="1633" spans="1:9" x14ac:dyDescent="0.3">
      <c r="A1633" t="str">
        <f t="shared" si="52"/>
        <v/>
      </c>
      <c r="F1633" t="str">
        <f>IFERROR(VLOOKUP(Table1[[#This Row],[Tên đối tượng]],'DANH MỤC ĐỐI TƯỢNG'!A:E,5,0),"")</f>
        <v/>
      </c>
      <c r="G1633" t="str">
        <f>_xlfn.IFNA(VLOOKUP(Table1[[#This Row],[Tên đối tượng]],'DANH MỤC ĐỐI TƯỢNG'!A:F,6,0),"")</f>
        <v/>
      </c>
      <c r="H1633" t="str">
        <f>_xlfn.IFNA(VLOOKUP(Table1[[#This Row],[Tên đối tượng]],'DANH MỤC ĐỐI TƯỢNG'!A:I,9,0),"")</f>
        <v/>
      </c>
      <c r="I1633" t="str">
        <f>_xlfn.IFNA(VLOOKUP(Table1[[#This Row],[Tên đối tượng]],'DANH MỤC ĐỐI TƯỢNG'!A:J,10,0),"")</f>
        <v/>
      </c>
    </row>
    <row r="1634" spans="1:9" x14ac:dyDescent="0.3">
      <c r="A1634" t="str">
        <f t="shared" si="52"/>
        <v/>
      </c>
      <c r="F1634" t="str">
        <f>IFERROR(VLOOKUP(Table1[[#This Row],[Tên đối tượng]],'DANH MỤC ĐỐI TƯỢNG'!A:E,5,0),"")</f>
        <v/>
      </c>
      <c r="G1634" t="str">
        <f>_xlfn.IFNA(VLOOKUP(Table1[[#This Row],[Tên đối tượng]],'DANH MỤC ĐỐI TƯỢNG'!A:F,6,0),"")</f>
        <v/>
      </c>
      <c r="H1634" t="str">
        <f>_xlfn.IFNA(VLOOKUP(Table1[[#This Row],[Tên đối tượng]],'DANH MỤC ĐỐI TƯỢNG'!A:I,9,0),"")</f>
        <v/>
      </c>
      <c r="I1634" t="str">
        <f>_xlfn.IFNA(VLOOKUP(Table1[[#This Row],[Tên đối tượng]],'DANH MỤC ĐỐI TƯỢNG'!A:J,10,0),"")</f>
        <v/>
      </c>
    </row>
    <row r="1635" spans="1:9" x14ac:dyDescent="0.3">
      <c r="A1635" t="str">
        <f t="shared" si="52"/>
        <v/>
      </c>
      <c r="F1635" t="str">
        <f>IFERROR(VLOOKUP(Table1[[#This Row],[Tên đối tượng]],'DANH MỤC ĐỐI TƯỢNG'!A:E,5,0),"")</f>
        <v/>
      </c>
      <c r="G1635" t="str">
        <f>_xlfn.IFNA(VLOOKUP(Table1[[#This Row],[Tên đối tượng]],'DANH MỤC ĐỐI TƯỢNG'!A:F,6,0),"")</f>
        <v/>
      </c>
      <c r="H1635" t="str">
        <f>_xlfn.IFNA(VLOOKUP(Table1[[#This Row],[Tên đối tượng]],'DANH MỤC ĐỐI TƯỢNG'!A:I,9,0),"")</f>
        <v/>
      </c>
      <c r="I1635" t="str">
        <f>_xlfn.IFNA(VLOOKUP(Table1[[#This Row],[Tên đối tượng]],'DANH MỤC ĐỐI TƯỢNG'!A:J,10,0),"")</f>
        <v/>
      </c>
    </row>
    <row r="1636" spans="1:9" x14ac:dyDescent="0.3">
      <c r="A1636" t="str">
        <f t="shared" si="52"/>
        <v/>
      </c>
      <c r="F1636" t="str">
        <f>IFERROR(VLOOKUP(Table1[[#This Row],[Tên đối tượng]],'DANH MỤC ĐỐI TƯỢNG'!A:E,5,0),"")</f>
        <v/>
      </c>
      <c r="G1636" t="str">
        <f>_xlfn.IFNA(VLOOKUP(Table1[[#This Row],[Tên đối tượng]],'DANH MỤC ĐỐI TƯỢNG'!A:F,6,0),"")</f>
        <v/>
      </c>
      <c r="H1636" t="str">
        <f>_xlfn.IFNA(VLOOKUP(Table1[[#This Row],[Tên đối tượng]],'DANH MỤC ĐỐI TƯỢNG'!A:I,9,0),"")</f>
        <v/>
      </c>
      <c r="I1636" t="str">
        <f>_xlfn.IFNA(VLOOKUP(Table1[[#This Row],[Tên đối tượng]],'DANH MỤC ĐỐI TƯỢNG'!A:J,10,0),"")</f>
        <v/>
      </c>
    </row>
    <row r="1637" spans="1:9" x14ac:dyDescent="0.3">
      <c r="A1637" t="str">
        <f t="shared" si="52"/>
        <v/>
      </c>
      <c r="F1637" t="str">
        <f>IFERROR(VLOOKUP(Table1[[#This Row],[Tên đối tượng]],'DANH MỤC ĐỐI TƯỢNG'!A:E,5,0),"")</f>
        <v/>
      </c>
      <c r="G1637" t="str">
        <f>_xlfn.IFNA(VLOOKUP(Table1[[#This Row],[Tên đối tượng]],'DANH MỤC ĐỐI TƯỢNG'!A:F,6,0),"")</f>
        <v/>
      </c>
      <c r="H1637" t="str">
        <f>_xlfn.IFNA(VLOOKUP(Table1[[#This Row],[Tên đối tượng]],'DANH MỤC ĐỐI TƯỢNG'!A:I,9,0),"")</f>
        <v/>
      </c>
      <c r="I1637" t="str">
        <f>_xlfn.IFNA(VLOOKUP(Table1[[#This Row],[Tên đối tượng]],'DANH MỤC ĐỐI TƯỢNG'!A:J,10,0),"")</f>
        <v/>
      </c>
    </row>
    <row r="1638" spans="1:9" x14ac:dyDescent="0.3">
      <c r="A1638" t="str">
        <f t="shared" si="52"/>
        <v/>
      </c>
      <c r="F1638" t="str">
        <f>IFERROR(VLOOKUP(Table1[[#This Row],[Tên đối tượng]],'DANH MỤC ĐỐI TƯỢNG'!A:E,5,0),"")</f>
        <v/>
      </c>
      <c r="G1638" t="str">
        <f>_xlfn.IFNA(VLOOKUP(Table1[[#This Row],[Tên đối tượng]],'DANH MỤC ĐỐI TƯỢNG'!A:F,6,0),"")</f>
        <v/>
      </c>
      <c r="H1638" t="str">
        <f>_xlfn.IFNA(VLOOKUP(Table1[[#This Row],[Tên đối tượng]],'DANH MỤC ĐỐI TƯỢNG'!A:I,9,0),"")</f>
        <v/>
      </c>
      <c r="I1638" t="str">
        <f>_xlfn.IFNA(VLOOKUP(Table1[[#This Row],[Tên đối tượng]],'DANH MỤC ĐỐI TƯỢNG'!A:J,10,0),"")</f>
        <v/>
      </c>
    </row>
    <row r="1639" spans="1:9" x14ac:dyDescent="0.3">
      <c r="A1639" t="str">
        <f t="shared" si="52"/>
        <v/>
      </c>
      <c r="F1639" t="str">
        <f>IFERROR(VLOOKUP(Table1[[#This Row],[Tên đối tượng]],'DANH MỤC ĐỐI TƯỢNG'!A:E,5,0),"")</f>
        <v/>
      </c>
      <c r="G1639" t="str">
        <f>_xlfn.IFNA(VLOOKUP(Table1[[#This Row],[Tên đối tượng]],'DANH MỤC ĐỐI TƯỢNG'!A:F,6,0),"")</f>
        <v/>
      </c>
      <c r="H1639" t="str">
        <f>_xlfn.IFNA(VLOOKUP(Table1[[#This Row],[Tên đối tượng]],'DANH MỤC ĐỐI TƯỢNG'!A:I,9,0),"")</f>
        <v/>
      </c>
      <c r="I1639" t="str">
        <f>_xlfn.IFNA(VLOOKUP(Table1[[#This Row],[Tên đối tượng]],'DANH MỤC ĐỐI TƯỢNG'!A:J,10,0),"")</f>
        <v/>
      </c>
    </row>
    <row r="1640" spans="1:9" x14ac:dyDescent="0.3">
      <c r="A1640" t="str">
        <f t="shared" si="52"/>
        <v/>
      </c>
      <c r="F1640" t="str">
        <f>IFERROR(VLOOKUP(Table1[[#This Row],[Tên đối tượng]],'DANH MỤC ĐỐI TƯỢNG'!A:E,5,0),"")</f>
        <v/>
      </c>
      <c r="G1640" t="str">
        <f>_xlfn.IFNA(VLOOKUP(Table1[[#This Row],[Tên đối tượng]],'DANH MỤC ĐỐI TƯỢNG'!A:F,6,0),"")</f>
        <v/>
      </c>
      <c r="H1640" t="str">
        <f>_xlfn.IFNA(VLOOKUP(Table1[[#This Row],[Tên đối tượng]],'DANH MỤC ĐỐI TƯỢNG'!A:I,9,0),"")</f>
        <v/>
      </c>
      <c r="I1640" t="str">
        <f>_xlfn.IFNA(VLOOKUP(Table1[[#This Row],[Tên đối tượng]],'DANH MỤC ĐỐI TƯỢNG'!A:J,10,0),"")</f>
        <v/>
      </c>
    </row>
    <row r="1641" spans="1:9" x14ac:dyDescent="0.3">
      <c r="A1641" t="str">
        <f t="shared" si="52"/>
        <v/>
      </c>
      <c r="F1641" t="str">
        <f>IFERROR(VLOOKUP(Table1[[#This Row],[Tên đối tượng]],'DANH MỤC ĐỐI TƯỢNG'!A:E,5,0),"")</f>
        <v/>
      </c>
      <c r="G1641" t="str">
        <f>_xlfn.IFNA(VLOOKUP(Table1[[#This Row],[Tên đối tượng]],'DANH MỤC ĐỐI TƯỢNG'!A:F,6,0),"")</f>
        <v/>
      </c>
      <c r="H1641" t="str">
        <f>_xlfn.IFNA(VLOOKUP(Table1[[#This Row],[Tên đối tượng]],'DANH MỤC ĐỐI TƯỢNG'!A:I,9,0),"")</f>
        <v/>
      </c>
      <c r="I1641" t="str">
        <f>_xlfn.IFNA(VLOOKUP(Table1[[#This Row],[Tên đối tượng]],'DANH MỤC ĐỐI TƯỢNG'!A:J,10,0),"")</f>
        <v/>
      </c>
    </row>
    <row r="1642" spans="1:9" x14ac:dyDescent="0.3">
      <c r="A1642" t="str">
        <f t="shared" si="52"/>
        <v/>
      </c>
      <c r="F1642" t="str">
        <f>IFERROR(VLOOKUP(Table1[[#This Row],[Tên đối tượng]],'DANH MỤC ĐỐI TƯỢNG'!A:E,5,0),"")</f>
        <v/>
      </c>
      <c r="G1642" t="str">
        <f>_xlfn.IFNA(VLOOKUP(Table1[[#This Row],[Tên đối tượng]],'DANH MỤC ĐỐI TƯỢNG'!A:F,6,0),"")</f>
        <v/>
      </c>
      <c r="H1642" t="str">
        <f>_xlfn.IFNA(VLOOKUP(Table1[[#This Row],[Tên đối tượng]],'DANH MỤC ĐỐI TƯỢNG'!A:I,9,0),"")</f>
        <v/>
      </c>
      <c r="I1642" t="str">
        <f>_xlfn.IFNA(VLOOKUP(Table1[[#This Row],[Tên đối tượng]],'DANH MỤC ĐỐI TƯỢNG'!A:J,10,0),"")</f>
        <v/>
      </c>
    </row>
    <row r="1643" spans="1:9" x14ac:dyDescent="0.3">
      <c r="A1643" t="str">
        <f t="shared" si="52"/>
        <v/>
      </c>
      <c r="F1643" t="str">
        <f>IFERROR(VLOOKUP(Table1[[#This Row],[Tên đối tượng]],'DANH MỤC ĐỐI TƯỢNG'!A:E,5,0),"")</f>
        <v/>
      </c>
      <c r="G1643" t="str">
        <f>_xlfn.IFNA(VLOOKUP(Table1[[#This Row],[Tên đối tượng]],'DANH MỤC ĐỐI TƯỢNG'!A:F,6,0),"")</f>
        <v/>
      </c>
      <c r="H1643" t="str">
        <f>_xlfn.IFNA(VLOOKUP(Table1[[#This Row],[Tên đối tượng]],'DANH MỤC ĐỐI TƯỢNG'!A:I,9,0),"")</f>
        <v/>
      </c>
      <c r="I1643" t="str">
        <f>_xlfn.IFNA(VLOOKUP(Table1[[#This Row],[Tên đối tượng]],'DANH MỤC ĐỐI TƯỢNG'!A:J,10,0),"")</f>
        <v/>
      </c>
    </row>
    <row r="1644" spans="1:9" x14ac:dyDescent="0.3">
      <c r="A1644" t="str">
        <f t="shared" si="52"/>
        <v/>
      </c>
      <c r="F1644" t="str">
        <f>IFERROR(VLOOKUP(Table1[[#This Row],[Tên đối tượng]],'DANH MỤC ĐỐI TƯỢNG'!A:E,5,0),"")</f>
        <v/>
      </c>
      <c r="G1644" t="str">
        <f>_xlfn.IFNA(VLOOKUP(Table1[[#This Row],[Tên đối tượng]],'DANH MỤC ĐỐI TƯỢNG'!A:F,6,0),"")</f>
        <v/>
      </c>
      <c r="H1644" t="str">
        <f>_xlfn.IFNA(VLOOKUP(Table1[[#This Row],[Tên đối tượng]],'DANH MỤC ĐỐI TƯỢNG'!A:I,9,0),"")</f>
        <v/>
      </c>
      <c r="I1644" t="str">
        <f>_xlfn.IFNA(VLOOKUP(Table1[[#This Row],[Tên đối tượng]],'DANH MỤC ĐỐI TƯỢNG'!A:J,10,0),"")</f>
        <v/>
      </c>
    </row>
    <row r="1645" spans="1:9" x14ac:dyDescent="0.3">
      <c r="A1645" t="str">
        <f t="shared" si="52"/>
        <v/>
      </c>
      <c r="F1645" t="str">
        <f>IFERROR(VLOOKUP(Table1[[#This Row],[Tên đối tượng]],'DANH MỤC ĐỐI TƯỢNG'!A:E,5,0),"")</f>
        <v/>
      </c>
      <c r="G1645" t="str">
        <f>_xlfn.IFNA(VLOOKUP(Table1[[#This Row],[Tên đối tượng]],'DANH MỤC ĐỐI TƯỢNG'!A:F,6,0),"")</f>
        <v/>
      </c>
      <c r="H1645" t="str">
        <f>_xlfn.IFNA(VLOOKUP(Table1[[#This Row],[Tên đối tượng]],'DANH MỤC ĐỐI TƯỢNG'!A:I,9,0),"")</f>
        <v/>
      </c>
      <c r="I1645" t="str">
        <f>_xlfn.IFNA(VLOOKUP(Table1[[#This Row],[Tên đối tượng]],'DANH MỤC ĐỐI TƯỢNG'!A:J,10,0),"")</f>
        <v/>
      </c>
    </row>
    <row r="1646" spans="1:9" x14ac:dyDescent="0.3">
      <c r="A1646" t="str">
        <f t="shared" si="52"/>
        <v/>
      </c>
      <c r="F1646" t="str">
        <f>IFERROR(VLOOKUP(Table1[[#This Row],[Tên đối tượng]],'DANH MỤC ĐỐI TƯỢNG'!A:E,5,0),"")</f>
        <v/>
      </c>
      <c r="G1646" t="str">
        <f>_xlfn.IFNA(VLOOKUP(Table1[[#This Row],[Tên đối tượng]],'DANH MỤC ĐỐI TƯỢNG'!A:F,6,0),"")</f>
        <v/>
      </c>
      <c r="H1646" t="str">
        <f>_xlfn.IFNA(VLOOKUP(Table1[[#This Row],[Tên đối tượng]],'DANH MỤC ĐỐI TƯỢNG'!A:I,9,0),"")</f>
        <v/>
      </c>
      <c r="I1646" t="str">
        <f>_xlfn.IFNA(VLOOKUP(Table1[[#This Row],[Tên đối tượng]],'DANH MỤC ĐỐI TƯỢNG'!A:J,10,0),"")</f>
        <v/>
      </c>
    </row>
    <row r="1647" spans="1:9" x14ac:dyDescent="0.3">
      <c r="A1647" t="str">
        <f t="shared" si="52"/>
        <v/>
      </c>
      <c r="F1647" t="str">
        <f>IFERROR(VLOOKUP(Table1[[#This Row],[Tên đối tượng]],'DANH MỤC ĐỐI TƯỢNG'!A:E,5,0),"")</f>
        <v/>
      </c>
      <c r="G1647" t="str">
        <f>_xlfn.IFNA(VLOOKUP(Table1[[#This Row],[Tên đối tượng]],'DANH MỤC ĐỐI TƯỢNG'!A:F,6,0),"")</f>
        <v/>
      </c>
      <c r="H1647" t="str">
        <f>_xlfn.IFNA(VLOOKUP(Table1[[#This Row],[Tên đối tượng]],'DANH MỤC ĐỐI TƯỢNG'!A:I,9,0),"")</f>
        <v/>
      </c>
      <c r="I1647" t="str">
        <f>_xlfn.IFNA(VLOOKUP(Table1[[#This Row],[Tên đối tượng]],'DANH MỤC ĐỐI TƯỢNG'!A:J,10,0),"")</f>
        <v/>
      </c>
    </row>
    <row r="1648" spans="1:9" x14ac:dyDescent="0.3">
      <c r="A1648" t="str">
        <f t="shared" si="52"/>
        <v/>
      </c>
      <c r="F1648" t="str">
        <f>IFERROR(VLOOKUP(Table1[[#This Row],[Tên đối tượng]],'DANH MỤC ĐỐI TƯỢNG'!A:E,5,0),"")</f>
        <v/>
      </c>
      <c r="G1648" t="str">
        <f>_xlfn.IFNA(VLOOKUP(Table1[[#This Row],[Tên đối tượng]],'DANH MỤC ĐỐI TƯỢNG'!A:F,6,0),"")</f>
        <v/>
      </c>
      <c r="H1648" t="str">
        <f>_xlfn.IFNA(VLOOKUP(Table1[[#This Row],[Tên đối tượng]],'DANH MỤC ĐỐI TƯỢNG'!A:I,9,0),"")</f>
        <v/>
      </c>
      <c r="I1648" t="str">
        <f>_xlfn.IFNA(VLOOKUP(Table1[[#This Row],[Tên đối tượng]],'DANH MỤC ĐỐI TƯỢNG'!A:J,10,0),"")</f>
        <v/>
      </c>
    </row>
    <row r="1649" spans="1:9" x14ac:dyDescent="0.3">
      <c r="A1649" t="str">
        <f t="shared" si="52"/>
        <v/>
      </c>
      <c r="F1649" t="str">
        <f>IFERROR(VLOOKUP(Table1[[#This Row],[Tên đối tượng]],'DANH MỤC ĐỐI TƯỢNG'!A:E,5,0),"")</f>
        <v/>
      </c>
      <c r="G1649" t="str">
        <f>_xlfn.IFNA(VLOOKUP(Table1[[#This Row],[Tên đối tượng]],'DANH MỤC ĐỐI TƯỢNG'!A:F,6,0),"")</f>
        <v/>
      </c>
      <c r="H1649" t="str">
        <f>_xlfn.IFNA(VLOOKUP(Table1[[#This Row],[Tên đối tượng]],'DANH MỤC ĐỐI TƯỢNG'!A:I,9,0),"")</f>
        <v/>
      </c>
      <c r="I1649" t="str">
        <f>_xlfn.IFNA(VLOOKUP(Table1[[#This Row],[Tên đối tượng]],'DANH MỤC ĐỐI TƯỢNG'!A:J,10,0),"")</f>
        <v/>
      </c>
    </row>
    <row r="1650" spans="1:9" x14ac:dyDescent="0.3">
      <c r="A1650" t="str">
        <f t="shared" si="52"/>
        <v/>
      </c>
      <c r="F1650" t="str">
        <f>IFERROR(VLOOKUP(Table1[[#This Row],[Tên đối tượng]],'DANH MỤC ĐỐI TƯỢNG'!A:E,5,0),"")</f>
        <v/>
      </c>
      <c r="G1650" t="str">
        <f>_xlfn.IFNA(VLOOKUP(Table1[[#This Row],[Tên đối tượng]],'DANH MỤC ĐỐI TƯỢNG'!A:F,6,0),"")</f>
        <v/>
      </c>
      <c r="H1650" t="str">
        <f>_xlfn.IFNA(VLOOKUP(Table1[[#This Row],[Tên đối tượng]],'DANH MỤC ĐỐI TƯỢNG'!A:I,9,0),"")</f>
        <v/>
      </c>
      <c r="I1650" t="str">
        <f>_xlfn.IFNA(VLOOKUP(Table1[[#This Row],[Tên đối tượng]],'DANH MỤC ĐỐI TƯỢNG'!A:J,10,0),"")</f>
        <v/>
      </c>
    </row>
    <row r="1651" spans="1:9" x14ac:dyDescent="0.3">
      <c r="A1651" t="str">
        <f t="shared" si="52"/>
        <v/>
      </c>
      <c r="F1651" t="str">
        <f>IFERROR(VLOOKUP(Table1[[#This Row],[Tên đối tượng]],'DANH MỤC ĐỐI TƯỢNG'!A:E,5,0),"")</f>
        <v/>
      </c>
      <c r="G1651" t="str">
        <f>_xlfn.IFNA(VLOOKUP(Table1[[#This Row],[Tên đối tượng]],'DANH MỤC ĐỐI TƯỢNG'!A:F,6,0),"")</f>
        <v/>
      </c>
      <c r="H1651" t="str">
        <f>_xlfn.IFNA(VLOOKUP(Table1[[#This Row],[Tên đối tượng]],'DANH MỤC ĐỐI TƯỢNG'!A:I,9,0),"")</f>
        <v/>
      </c>
      <c r="I1651" t="str">
        <f>_xlfn.IFNA(VLOOKUP(Table1[[#This Row],[Tên đối tượng]],'DANH MỤC ĐỐI TƯỢNG'!A:J,10,0),"")</f>
        <v/>
      </c>
    </row>
    <row r="1652" spans="1:9" x14ac:dyDescent="0.3">
      <c r="A1652" t="str">
        <f t="shared" si="52"/>
        <v/>
      </c>
      <c r="F1652" t="str">
        <f>IFERROR(VLOOKUP(Table1[[#This Row],[Tên đối tượng]],'DANH MỤC ĐỐI TƯỢNG'!A:E,5,0),"")</f>
        <v/>
      </c>
      <c r="G1652" t="str">
        <f>_xlfn.IFNA(VLOOKUP(Table1[[#This Row],[Tên đối tượng]],'DANH MỤC ĐỐI TƯỢNG'!A:F,6,0),"")</f>
        <v/>
      </c>
      <c r="H1652" t="str">
        <f>_xlfn.IFNA(VLOOKUP(Table1[[#This Row],[Tên đối tượng]],'DANH MỤC ĐỐI TƯỢNG'!A:I,9,0),"")</f>
        <v/>
      </c>
      <c r="I1652" t="str">
        <f>_xlfn.IFNA(VLOOKUP(Table1[[#This Row],[Tên đối tượng]],'DANH MỤC ĐỐI TƯỢNG'!A:J,10,0),"")</f>
        <v/>
      </c>
    </row>
    <row r="1653" spans="1:9" x14ac:dyDescent="0.3">
      <c r="A1653" t="str">
        <f t="shared" si="52"/>
        <v/>
      </c>
      <c r="F1653" t="str">
        <f>IFERROR(VLOOKUP(Table1[[#This Row],[Tên đối tượng]],'DANH MỤC ĐỐI TƯỢNG'!A:E,5,0),"")</f>
        <v/>
      </c>
      <c r="G1653" t="str">
        <f>_xlfn.IFNA(VLOOKUP(Table1[[#This Row],[Tên đối tượng]],'DANH MỤC ĐỐI TƯỢNG'!A:F,6,0),"")</f>
        <v/>
      </c>
      <c r="H1653" t="str">
        <f>_xlfn.IFNA(VLOOKUP(Table1[[#This Row],[Tên đối tượng]],'DANH MỤC ĐỐI TƯỢNG'!A:I,9,0),"")</f>
        <v/>
      </c>
      <c r="I1653" t="str">
        <f>_xlfn.IFNA(VLOOKUP(Table1[[#This Row],[Tên đối tượng]],'DANH MỤC ĐỐI TƯỢNG'!A:J,10,0),"")</f>
        <v/>
      </c>
    </row>
    <row r="1654" spans="1:9" x14ac:dyDescent="0.3">
      <c r="A1654" t="str">
        <f t="shared" si="52"/>
        <v/>
      </c>
      <c r="F1654" t="str">
        <f>IFERROR(VLOOKUP(Table1[[#This Row],[Tên đối tượng]],'DANH MỤC ĐỐI TƯỢNG'!A:E,5,0),"")</f>
        <v/>
      </c>
      <c r="G1654" t="str">
        <f>_xlfn.IFNA(VLOOKUP(Table1[[#This Row],[Tên đối tượng]],'DANH MỤC ĐỐI TƯỢNG'!A:F,6,0),"")</f>
        <v/>
      </c>
      <c r="H1654" t="str">
        <f>_xlfn.IFNA(VLOOKUP(Table1[[#This Row],[Tên đối tượng]],'DANH MỤC ĐỐI TƯỢNG'!A:I,9,0),"")</f>
        <v/>
      </c>
      <c r="I1654" t="str">
        <f>_xlfn.IFNA(VLOOKUP(Table1[[#This Row],[Tên đối tượng]],'DANH MỤC ĐỐI TƯỢNG'!A:J,10,0),"")</f>
        <v/>
      </c>
    </row>
    <row r="1655" spans="1:9" x14ac:dyDescent="0.3">
      <c r="A1655" t="str">
        <f t="shared" si="52"/>
        <v/>
      </c>
      <c r="F1655" t="str">
        <f>IFERROR(VLOOKUP(Table1[[#This Row],[Tên đối tượng]],'DANH MỤC ĐỐI TƯỢNG'!A:E,5,0),"")</f>
        <v/>
      </c>
      <c r="G1655" t="str">
        <f>_xlfn.IFNA(VLOOKUP(Table1[[#This Row],[Tên đối tượng]],'DANH MỤC ĐỐI TƯỢNG'!A:F,6,0),"")</f>
        <v/>
      </c>
      <c r="H1655" t="str">
        <f>_xlfn.IFNA(VLOOKUP(Table1[[#This Row],[Tên đối tượng]],'DANH MỤC ĐỐI TƯỢNG'!A:I,9,0),"")</f>
        <v/>
      </c>
      <c r="I1655" t="str">
        <f>_xlfn.IFNA(VLOOKUP(Table1[[#This Row],[Tên đối tượng]],'DANH MỤC ĐỐI TƯỢNG'!A:J,10,0),"")</f>
        <v/>
      </c>
    </row>
    <row r="1656" spans="1:9" x14ac:dyDescent="0.3">
      <c r="A1656" t="str">
        <f t="shared" si="52"/>
        <v/>
      </c>
      <c r="F1656" t="str">
        <f>IFERROR(VLOOKUP(Table1[[#This Row],[Tên đối tượng]],'DANH MỤC ĐỐI TƯỢNG'!A:E,5,0),"")</f>
        <v/>
      </c>
      <c r="G1656" t="str">
        <f>_xlfn.IFNA(VLOOKUP(Table1[[#This Row],[Tên đối tượng]],'DANH MỤC ĐỐI TƯỢNG'!A:F,6,0),"")</f>
        <v/>
      </c>
      <c r="H1656" t="str">
        <f>_xlfn.IFNA(VLOOKUP(Table1[[#This Row],[Tên đối tượng]],'DANH MỤC ĐỐI TƯỢNG'!A:I,9,0),"")</f>
        <v/>
      </c>
      <c r="I1656" t="str">
        <f>_xlfn.IFNA(VLOOKUP(Table1[[#This Row],[Tên đối tượng]],'DANH MỤC ĐỐI TƯỢNG'!A:J,10,0),"")</f>
        <v/>
      </c>
    </row>
    <row r="1657" spans="1:9" x14ac:dyDescent="0.3">
      <c r="A1657" t="str">
        <f t="shared" si="52"/>
        <v/>
      </c>
      <c r="F1657" t="str">
        <f>IFERROR(VLOOKUP(Table1[[#This Row],[Tên đối tượng]],'DANH MỤC ĐỐI TƯỢNG'!A:E,5,0),"")</f>
        <v/>
      </c>
      <c r="G1657" t="str">
        <f>_xlfn.IFNA(VLOOKUP(Table1[[#This Row],[Tên đối tượng]],'DANH MỤC ĐỐI TƯỢNG'!A:F,6,0),"")</f>
        <v/>
      </c>
      <c r="H1657" t="str">
        <f>_xlfn.IFNA(VLOOKUP(Table1[[#This Row],[Tên đối tượng]],'DANH MỤC ĐỐI TƯỢNG'!A:I,9,0),"")</f>
        <v/>
      </c>
      <c r="I1657" t="str">
        <f>_xlfn.IFNA(VLOOKUP(Table1[[#This Row],[Tên đối tượng]],'DANH MỤC ĐỐI TƯỢNG'!A:J,10,0),"")</f>
        <v/>
      </c>
    </row>
    <row r="1658" spans="1:9" x14ac:dyDescent="0.3">
      <c r="A1658" t="str">
        <f t="shared" si="52"/>
        <v/>
      </c>
      <c r="F1658" t="str">
        <f>IFERROR(VLOOKUP(Table1[[#This Row],[Tên đối tượng]],'DANH MỤC ĐỐI TƯỢNG'!A:E,5,0),"")</f>
        <v/>
      </c>
      <c r="G1658" t="str">
        <f>_xlfn.IFNA(VLOOKUP(Table1[[#This Row],[Tên đối tượng]],'DANH MỤC ĐỐI TƯỢNG'!A:F,6,0),"")</f>
        <v/>
      </c>
      <c r="H1658" t="str">
        <f>_xlfn.IFNA(VLOOKUP(Table1[[#This Row],[Tên đối tượng]],'DANH MỤC ĐỐI TƯỢNG'!A:I,9,0),"")</f>
        <v/>
      </c>
      <c r="I1658" t="str">
        <f>_xlfn.IFNA(VLOOKUP(Table1[[#This Row],[Tên đối tượng]],'DANH MỤC ĐỐI TƯỢNG'!A:J,10,0),"")</f>
        <v/>
      </c>
    </row>
    <row r="1659" spans="1:9" x14ac:dyDescent="0.3">
      <c r="A1659" t="str">
        <f t="shared" si="52"/>
        <v/>
      </c>
      <c r="F1659" t="str">
        <f>IFERROR(VLOOKUP(Table1[[#This Row],[Tên đối tượng]],'DANH MỤC ĐỐI TƯỢNG'!A:E,5,0),"")</f>
        <v/>
      </c>
      <c r="G1659" t="str">
        <f>_xlfn.IFNA(VLOOKUP(Table1[[#This Row],[Tên đối tượng]],'DANH MỤC ĐỐI TƯỢNG'!A:F,6,0),"")</f>
        <v/>
      </c>
      <c r="H1659" t="str">
        <f>_xlfn.IFNA(VLOOKUP(Table1[[#This Row],[Tên đối tượng]],'DANH MỤC ĐỐI TƯỢNG'!A:I,9,0),"")</f>
        <v/>
      </c>
      <c r="I1659" t="str">
        <f>_xlfn.IFNA(VLOOKUP(Table1[[#This Row],[Tên đối tượng]],'DANH MỤC ĐỐI TƯỢNG'!A:J,10,0),"")</f>
        <v/>
      </c>
    </row>
    <row r="1660" spans="1:9" x14ac:dyDescent="0.3">
      <c r="A1660" t="str">
        <f t="shared" si="52"/>
        <v/>
      </c>
      <c r="F1660" t="str">
        <f>IFERROR(VLOOKUP(Table1[[#This Row],[Tên đối tượng]],'DANH MỤC ĐỐI TƯỢNG'!A:E,5,0),"")</f>
        <v/>
      </c>
      <c r="G1660" t="str">
        <f>_xlfn.IFNA(VLOOKUP(Table1[[#This Row],[Tên đối tượng]],'DANH MỤC ĐỐI TƯỢNG'!A:F,6,0),"")</f>
        <v/>
      </c>
      <c r="H1660" t="str">
        <f>_xlfn.IFNA(VLOOKUP(Table1[[#This Row],[Tên đối tượng]],'DANH MỤC ĐỐI TƯỢNG'!A:I,9,0),"")</f>
        <v/>
      </c>
      <c r="I1660" t="str">
        <f>_xlfn.IFNA(VLOOKUP(Table1[[#This Row],[Tên đối tượng]],'DANH MỤC ĐỐI TƯỢNG'!A:J,10,0),"")</f>
        <v/>
      </c>
    </row>
    <row r="1661" spans="1:9" x14ac:dyDescent="0.3">
      <c r="A1661" t="str">
        <f t="shared" si="52"/>
        <v/>
      </c>
      <c r="F1661" t="str">
        <f>IFERROR(VLOOKUP(Table1[[#This Row],[Tên đối tượng]],'DANH MỤC ĐỐI TƯỢNG'!A:E,5,0),"")</f>
        <v/>
      </c>
      <c r="G1661" t="str">
        <f>_xlfn.IFNA(VLOOKUP(Table1[[#This Row],[Tên đối tượng]],'DANH MỤC ĐỐI TƯỢNG'!A:F,6,0),"")</f>
        <v/>
      </c>
      <c r="H1661" t="str">
        <f>_xlfn.IFNA(VLOOKUP(Table1[[#This Row],[Tên đối tượng]],'DANH MỤC ĐỐI TƯỢNG'!A:I,9,0),"")</f>
        <v/>
      </c>
      <c r="I1661" t="str">
        <f>_xlfn.IFNA(VLOOKUP(Table1[[#This Row],[Tên đối tượng]],'DANH MỤC ĐỐI TƯỢNG'!A:J,10,0),"")</f>
        <v/>
      </c>
    </row>
    <row r="1662" spans="1:9" x14ac:dyDescent="0.3">
      <c r="A1662" t="str">
        <f t="shared" si="52"/>
        <v/>
      </c>
      <c r="F1662" t="str">
        <f>IFERROR(VLOOKUP(Table1[[#This Row],[Tên đối tượng]],'DANH MỤC ĐỐI TƯỢNG'!A:E,5,0),"")</f>
        <v/>
      </c>
      <c r="G1662" t="str">
        <f>_xlfn.IFNA(VLOOKUP(Table1[[#This Row],[Tên đối tượng]],'DANH MỤC ĐỐI TƯỢNG'!A:F,6,0),"")</f>
        <v/>
      </c>
      <c r="H1662" t="str">
        <f>_xlfn.IFNA(VLOOKUP(Table1[[#This Row],[Tên đối tượng]],'DANH MỤC ĐỐI TƯỢNG'!A:I,9,0),"")</f>
        <v/>
      </c>
      <c r="I1662" t="str">
        <f>_xlfn.IFNA(VLOOKUP(Table1[[#This Row],[Tên đối tượng]],'DANH MỤC ĐỐI TƯỢNG'!A:J,10,0),"")</f>
        <v/>
      </c>
    </row>
    <row r="1663" spans="1:9" x14ac:dyDescent="0.3">
      <c r="A1663" t="str">
        <f t="shared" si="52"/>
        <v/>
      </c>
      <c r="F1663" t="str">
        <f>IFERROR(VLOOKUP(Table1[[#This Row],[Tên đối tượng]],'DANH MỤC ĐỐI TƯỢNG'!A:E,5,0),"")</f>
        <v/>
      </c>
      <c r="G1663" t="str">
        <f>_xlfn.IFNA(VLOOKUP(Table1[[#This Row],[Tên đối tượng]],'DANH MỤC ĐỐI TƯỢNG'!A:F,6,0),"")</f>
        <v/>
      </c>
      <c r="H1663" t="str">
        <f>_xlfn.IFNA(VLOOKUP(Table1[[#This Row],[Tên đối tượng]],'DANH MỤC ĐỐI TƯỢNG'!A:I,9,0),"")</f>
        <v/>
      </c>
      <c r="I1663" t="str">
        <f>_xlfn.IFNA(VLOOKUP(Table1[[#This Row],[Tên đối tượng]],'DANH MỤC ĐỐI TƯỢNG'!A:J,10,0),"")</f>
        <v/>
      </c>
    </row>
    <row r="1664" spans="1:9" x14ac:dyDescent="0.3">
      <c r="A1664" t="str">
        <f t="shared" ref="A1664:A1727" si="53">IF(B1664&lt;&gt;0,ROW()-3,"")</f>
        <v/>
      </c>
      <c r="F1664" t="str">
        <f>IFERROR(VLOOKUP(Table1[[#This Row],[Tên đối tượng]],'DANH MỤC ĐỐI TƯỢNG'!A:E,5,0),"")</f>
        <v/>
      </c>
      <c r="G1664" t="str">
        <f>_xlfn.IFNA(VLOOKUP(Table1[[#This Row],[Tên đối tượng]],'DANH MỤC ĐỐI TƯỢNG'!A:F,6,0),"")</f>
        <v/>
      </c>
      <c r="H1664" t="str">
        <f>_xlfn.IFNA(VLOOKUP(Table1[[#This Row],[Tên đối tượng]],'DANH MỤC ĐỐI TƯỢNG'!A:I,9,0),"")</f>
        <v/>
      </c>
      <c r="I1664" t="str">
        <f>_xlfn.IFNA(VLOOKUP(Table1[[#This Row],[Tên đối tượng]],'DANH MỤC ĐỐI TƯỢNG'!A:J,10,0),"")</f>
        <v/>
      </c>
    </row>
    <row r="1665" spans="1:9" x14ac:dyDescent="0.3">
      <c r="A1665" t="str">
        <f t="shared" si="53"/>
        <v/>
      </c>
      <c r="F1665" t="str">
        <f>IFERROR(VLOOKUP(Table1[[#This Row],[Tên đối tượng]],'DANH MỤC ĐỐI TƯỢNG'!A:E,5,0),"")</f>
        <v/>
      </c>
      <c r="G1665" t="str">
        <f>_xlfn.IFNA(VLOOKUP(Table1[[#This Row],[Tên đối tượng]],'DANH MỤC ĐỐI TƯỢNG'!A:F,6,0),"")</f>
        <v/>
      </c>
      <c r="H1665" t="str">
        <f>_xlfn.IFNA(VLOOKUP(Table1[[#This Row],[Tên đối tượng]],'DANH MỤC ĐỐI TƯỢNG'!A:I,9,0),"")</f>
        <v/>
      </c>
      <c r="I1665" t="str">
        <f>_xlfn.IFNA(VLOOKUP(Table1[[#This Row],[Tên đối tượng]],'DANH MỤC ĐỐI TƯỢNG'!A:J,10,0),"")</f>
        <v/>
      </c>
    </row>
    <row r="1666" spans="1:9" x14ac:dyDescent="0.3">
      <c r="A1666" t="str">
        <f t="shared" si="53"/>
        <v/>
      </c>
      <c r="F1666" t="str">
        <f>IFERROR(VLOOKUP(Table1[[#This Row],[Tên đối tượng]],'DANH MỤC ĐỐI TƯỢNG'!A:E,5,0),"")</f>
        <v/>
      </c>
      <c r="G1666" t="str">
        <f>_xlfn.IFNA(VLOOKUP(Table1[[#This Row],[Tên đối tượng]],'DANH MỤC ĐỐI TƯỢNG'!A:F,6,0),"")</f>
        <v/>
      </c>
      <c r="H1666" t="str">
        <f>_xlfn.IFNA(VLOOKUP(Table1[[#This Row],[Tên đối tượng]],'DANH MỤC ĐỐI TƯỢNG'!A:I,9,0),"")</f>
        <v/>
      </c>
      <c r="I1666" t="str">
        <f>_xlfn.IFNA(VLOOKUP(Table1[[#This Row],[Tên đối tượng]],'DANH MỤC ĐỐI TƯỢNG'!A:J,10,0),"")</f>
        <v/>
      </c>
    </row>
    <row r="1667" spans="1:9" x14ac:dyDescent="0.3">
      <c r="A1667" t="str">
        <f t="shared" si="53"/>
        <v/>
      </c>
      <c r="F1667" t="str">
        <f>IFERROR(VLOOKUP(Table1[[#This Row],[Tên đối tượng]],'DANH MỤC ĐỐI TƯỢNG'!A:E,5,0),"")</f>
        <v/>
      </c>
      <c r="G1667" t="str">
        <f>_xlfn.IFNA(VLOOKUP(Table1[[#This Row],[Tên đối tượng]],'DANH MỤC ĐỐI TƯỢNG'!A:F,6,0),"")</f>
        <v/>
      </c>
      <c r="H1667" t="str">
        <f>_xlfn.IFNA(VLOOKUP(Table1[[#This Row],[Tên đối tượng]],'DANH MỤC ĐỐI TƯỢNG'!A:I,9,0),"")</f>
        <v/>
      </c>
      <c r="I1667" t="str">
        <f>_xlfn.IFNA(VLOOKUP(Table1[[#This Row],[Tên đối tượng]],'DANH MỤC ĐỐI TƯỢNG'!A:J,10,0),"")</f>
        <v/>
      </c>
    </row>
    <row r="1668" spans="1:9" x14ac:dyDescent="0.3">
      <c r="A1668" t="str">
        <f t="shared" si="53"/>
        <v/>
      </c>
      <c r="F1668" t="str">
        <f>IFERROR(VLOOKUP(Table1[[#This Row],[Tên đối tượng]],'DANH MỤC ĐỐI TƯỢNG'!A:E,5,0),"")</f>
        <v/>
      </c>
      <c r="G1668" t="str">
        <f>_xlfn.IFNA(VLOOKUP(Table1[[#This Row],[Tên đối tượng]],'DANH MỤC ĐỐI TƯỢNG'!A:F,6,0),"")</f>
        <v/>
      </c>
      <c r="H1668" t="str">
        <f>_xlfn.IFNA(VLOOKUP(Table1[[#This Row],[Tên đối tượng]],'DANH MỤC ĐỐI TƯỢNG'!A:I,9,0),"")</f>
        <v/>
      </c>
      <c r="I1668" t="str">
        <f>_xlfn.IFNA(VLOOKUP(Table1[[#This Row],[Tên đối tượng]],'DANH MỤC ĐỐI TƯỢNG'!A:J,10,0),"")</f>
        <v/>
      </c>
    </row>
    <row r="1669" spans="1:9" x14ac:dyDescent="0.3">
      <c r="A1669" t="str">
        <f t="shared" si="53"/>
        <v/>
      </c>
      <c r="F1669" t="str">
        <f>IFERROR(VLOOKUP(Table1[[#This Row],[Tên đối tượng]],'DANH MỤC ĐỐI TƯỢNG'!A:E,5,0),"")</f>
        <v/>
      </c>
      <c r="G1669" t="str">
        <f>_xlfn.IFNA(VLOOKUP(Table1[[#This Row],[Tên đối tượng]],'DANH MỤC ĐỐI TƯỢNG'!A:F,6,0),"")</f>
        <v/>
      </c>
      <c r="H1669" t="str">
        <f>_xlfn.IFNA(VLOOKUP(Table1[[#This Row],[Tên đối tượng]],'DANH MỤC ĐỐI TƯỢNG'!A:I,9,0),"")</f>
        <v/>
      </c>
      <c r="I1669" t="str">
        <f>_xlfn.IFNA(VLOOKUP(Table1[[#This Row],[Tên đối tượng]],'DANH MỤC ĐỐI TƯỢNG'!A:J,10,0),"")</f>
        <v/>
      </c>
    </row>
    <row r="1670" spans="1:9" x14ac:dyDescent="0.3">
      <c r="A1670" t="str">
        <f t="shared" si="53"/>
        <v/>
      </c>
      <c r="F1670" t="str">
        <f>IFERROR(VLOOKUP(Table1[[#This Row],[Tên đối tượng]],'DANH MỤC ĐỐI TƯỢNG'!A:E,5,0),"")</f>
        <v/>
      </c>
      <c r="G1670" t="str">
        <f>_xlfn.IFNA(VLOOKUP(Table1[[#This Row],[Tên đối tượng]],'DANH MỤC ĐỐI TƯỢNG'!A:F,6,0),"")</f>
        <v/>
      </c>
      <c r="H1670" t="str">
        <f>_xlfn.IFNA(VLOOKUP(Table1[[#This Row],[Tên đối tượng]],'DANH MỤC ĐỐI TƯỢNG'!A:I,9,0),"")</f>
        <v/>
      </c>
      <c r="I1670" t="str">
        <f>_xlfn.IFNA(VLOOKUP(Table1[[#This Row],[Tên đối tượng]],'DANH MỤC ĐỐI TƯỢNG'!A:J,10,0),"")</f>
        <v/>
      </c>
    </row>
    <row r="1671" spans="1:9" x14ac:dyDescent="0.3">
      <c r="A1671" t="str">
        <f t="shared" si="53"/>
        <v/>
      </c>
      <c r="F1671" t="str">
        <f>IFERROR(VLOOKUP(Table1[[#This Row],[Tên đối tượng]],'DANH MỤC ĐỐI TƯỢNG'!A:E,5,0),"")</f>
        <v/>
      </c>
      <c r="G1671" t="str">
        <f>_xlfn.IFNA(VLOOKUP(Table1[[#This Row],[Tên đối tượng]],'DANH MỤC ĐỐI TƯỢNG'!A:F,6,0),"")</f>
        <v/>
      </c>
      <c r="H1671" t="str">
        <f>_xlfn.IFNA(VLOOKUP(Table1[[#This Row],[Tên đối tượng]],'DANH MỤC ĐỐI TƯỢNG'!A:I,9,0),"")</f>
        <v/>
      </c>
      <c r="I1671" t="str">
        <f>_xlfn.IFNA(VLOOKUP(Table1[[#This Row],[Tên đối tượng]],'DANH MỤC ĐỐI TƯỢNG'!A:J,10,0),"")</f>
        <v/>
      </c>
    </row>
    <row r="1672" spans="1:9" x14ac:dyDescent="0.3">
      <c r="A1672" t="str">
        <f t="shared" si="53"/>
        <v/>
      </c>
      <c r="F1672" t="str">
        <f>IFERROR(VLOOKUP(Table1[[#This Row],[Tên đối tượng]],'DANH MỤC ĐỐI TƯỢNG'!A:E,5,0),"")</f>
        <v/>
      </c>
      <c r="G1672" t="str">
        <f>_xlfn.IFNA(VLOOKUP(Table1[[#This Row],[Tên đối tượng]],'DANH MỤC ĐỐI TƯỢNG'!A:F,6,0),"")</f>
        <v/>
      </c>
      <c r="H1672" t="str">
        <f>_xlfn.IFNA(VLOOKUP(Table1[[#This Row],[Tên đối tượng]],'DANH MỤC ĐỐI TƯỢNG'!A:I,9,0),"")</f>
        <v/>
      </c>
      <c r="I1672" t="str">
        <f>_xlfn.IFNA(VLOOKUP(Table1[[#This Row],[Tên đối tượng]],'DANH MỤC ĐỐI TƯỢNG'!A:J,10,0),"")</f>
        <v/>
      </c>
    </row>
    <row r="1673" spans="1:9" x14ac:dyDescent="0.3">
      <c r="A1673" t="str">
        <f t="shared" si="53"/>
        <v/>
      </c>
      <c r="F1673" t="str">
        <f>IFERROR(VLOOKUP(Table1[[#This Row],[Tên đối tượng]],'DANH MỤC ĐỐI TƯỢNG'!A:E,5,0),"")</f>
        <v/>
      </c>
      <c r="G1673" t="str">
        <f>_xlfn.IFNA(VLOOKUP(Table1[[#This Row],[Tên đối tượng]],'DANH MỤC ĐỐI TƯỢNG'!A:F,6,0),"")</f>
        <v/>
      </c>
      <c r="H1673" t="str">
        <f>_xlfn.IFNA(VLOOKUP(Table1[[#This Row],[Tên đối tượng]],'DANH MỤC ĐỐI TƯỢNG'!A:I,9,0),"")</f>
        <v/>
      </c>
      <c r="I1673" t="str">
        <f>_xlfn.IFNA(VLOOKUP(Table1[[#This Row],[Tên đối tượng]],'DANH MỤC ĐỐI TƯỢNG'!A:J,10,0),"")</f>
        <v/>
      </c>
    </row>
    <row r="1674" spans="1:9" x14ac:dyDescent="0.3">
      <c r="A1674" t="str">
        <f t="shared" si="53"/>
        <v/>
      </c>
      <c r="F1674" t="str">
        <f>IFERROR(VLOOKUP(Table1[[#This Row],[Tên đối tượng]],'DANH MỤC ĐỐI TƯỢNG'!A:E,5,0),"")</f>
        <v/>
      </c>
      <c r="G1674" t="str">
        <f>_xlfn.IFNA(VLOOKUP(Table1[[#This Row],[Tên đối tượng]],'DANH MỤC ĐỐI TƯỢNG'!A:F,6,0),"")</f>
        <v/>
      </c>
      <c r="H1674" t="str">
        <f>_xlfn.IFNA(VLOOKUP(Table1[[#This Row],[Tên đối tượng]],'DANH MỤC ĐỐI TƯỢNG'!A:I,9,0),"")</f>
        <v/>
      </c>
      <c r="I1674" t="str">
        <f>_xlfn.IFNA(VLOOKUP(Table1[[#This Row],[Tên đối tượng]],'DANH MỤC ĐỐI TƯỢNG'!A:J,10,0),"")</f>
        <v/>
      </c>
    </row>
    <row r="1675" spans="1:9" x14ac:dyDescent="0.3">
      <c r="A1675" t="str">
        <f t="shared" si="53"/>
        <v/>
      </c>
      <c r="F1675" t="str">
        <f>IFERROR(VLOOKUP(Table1[[#This Row],[Tên đối tượng]],'DANH MỤC ĐỐI TƯỢNG'!A:E,5,0),"")</f>
        <v/>
      </c>
      <c r="G1675" t="str">
        <f>_xlfn.IFNA(VLOOKUP(Table1[[#This Row],[Tên đối tượng]],'DANH MỤC ĐỐI TƯỢNG'!A:F,6,0),"")</f>
        <v/>
      </c>
      <c r="H1675" t="str">
        <f>_xlfn.IFNA(VLOOKUP(Table1[[#This Row],[Tên đối tượng]],'DANH MỤC ĐỐI TƯỢNG'!A:I,9,0),"")</f>
        <v/>
      </c>
      <c r="I1675" t="str">
        <f>_xlfn.IFNA(VLOOKUP(Table1[[#This Row],[Tên đối tượng]],'DANH MỤC ĐỐI TƯỢNG'!A:J,10,0),"")</f>
        <v/>
      </c>
    </row>
    <row r="1676" spans="1:9" x14ac:dyDescent="0.3">
      <c r="A1676" t="str">
        <f t="shared" si="53"/>
        <v/>
      </c>
      <c r="F1676" t="str">
        <f>IFERROR(VLOOKUP(Table1[[#This Row],[Tên đối tượng]],'DANH MỤC ĐỐI TƯỢNG'!A:E,5,0),"")</f>
        <v/>
      </c>
      <c r="G1676" t="str">
        <f>_xlfn.IFNA(VLOOKUP(Table1[[#This Row],[Tên đối tượng]],'DANH MỤC ĐỐI TƯỢNG'!A:F,6,0),"")</f>
        <v/>
      </c>
      <c r="H1676" t="str">
        <f>_xlfn.IFNA(VLOOKUP(Table1[[#This Row],[Tên đối tượng]],'DANH MỤC ĐỐI TƯỢNG'!A:I,9,0),"")</f>
        <v/>
      </c>
      <c r="I1676" t="str">
        <f>_xlfn.IFNA(VLOOKUP(Table1[[#This Row],[Tên đối tượng]],'DANH MỤC ĐỐI TƯỢNG'!A:J,10,0),"")</f>
        <v/>
      </c>
    </row>
    <row r="1677" spans="1:9" x14ac:dyDescent="0.3">
      <c r="A1677" t="str">
        <f t="shared" si="53"/>
        <v/>
      </c>
      <c r="F1677" t="str">
        <f>IFERROR(VLOOKUP(Table1[[#This Row],[Tên đối tượng]],'DANH MỤC ĐỐI TƯỢNG'!A:E,5,0),"")</f>
        <v/>
      </c>
      <c r="G1677" t="str">
        <f>_xlfn.IFNA(VLOOKUP(Table1[[#This Row],[Tên đối tượng]],'DANH MỤC ĐỐI TƯỢNG'!A:F,6,0),"")</f>
        <v/>
      </c>
      <c r="H1677" t="str">
        <f>_xlfn.IFNA(VLOOKUP(Table1[[#This Row],[Tên đối tượng]],'DANH MỤC ĐỐI TƯỢNG'!A:I,9,0),"")</f>
        <v/>
      </c>
      <c r="I1677" t="str">
        <f>_xlfn.IFNA(VLOOKUP(Table1[[#This Row],[Tên đối tượng]],'DANH MỤC ĐỐI TƯỢNG'!A:J,10,0),"")</f>
        <v/>
      </c>
    </row>
    <row r="1678" spans="1:9" x14ac:dyDescent="0.3">
      <c r="A1678" t="str">
        <f t="shared" si="53"/>
        <v/>
      </c>
      <c r="F1678" t="str">
        <f>IFERROR(VLOOKUP(Table1[[#This Row],[Tên đối tượng]],'DANH MỤC ĐỐI TƯỢNG'!A:E,5,0),"")</f>
        <v/>
      </c>
      <c r="G1678" t="str">
        <f>_xlfn.IFNA(VLOOKUP(Table1[[#This Row],[Tên đối tượng]],'DANH MỤC ĐỐI TƯỢNG'!A:F,6,0),"")</f>
        <v/>
      </c>
      <c r="H1678" t="str">
        <f>_xlfn.IFNA(VLOOKUP(Table1[[#This Row],[Tên đối tượng]],'DANH MỤC ĐỐI TƯỢNG'!A:I,9,0),"")</f>
        <v/>
      </c>
      <c r="I1678" t="str">
        <f>_xlfn.IFNA(VLOOKUP(Table1[[#This Row],[Tên đối tượng]],'DANH MỤC ĐỐI TƯỢNG'!A:J,10,0),"")</f>
        <v/>
      </c>
    </row>
    <row r="1679" spans="1:9" x14ac:dyDescent="0.3">
      <c r="A1679" t="str">
        <f t="shared" si="53"/>
        <v/>
      </c>
      <c r="F1679" t="str">
        <f>IFERROR(VLOOKUP(Table1[[#This Row],[Tên đối tượng]],'DANH MỤC ĐỐI TƯỢNG'!A:E,5,0),"")</f>
        <v/>
      </c>
      <c r="G1679" t="str">
        <f>_xlfn.IFNA(VLOOKUP(Table1[[#This Row],[Tên đối tượng]],'DANH MỤC ĐỐI TƯỢNG'!A:F,6,0),"")</f>
        <v/>
      </c>
      <c r="H1679" t="str">
        <f>_xlfn.IFNA(VLOOKUP(Table1[[#This Row],[Tên đối tượng]],'DANH MỤC ĐỐI TƯỢNG'!A:I,9,0),"")</f>
        <v/>
      </c>
      <c r="I1679" t="str">
        <f>_xlfn.IFNA(VLOOKUP(Table1[[#This Row],[Tên đối tượng]],'DANH MỤC ĐỐI TƯỢNG'!A:J,10,0),"")</f>
        <v/>
      </c>
    </row>
    <row r="1680" spans="1:9" x14ac:dyDescent="0.3">
      <c r="A1680" t="str">
        <f t="shared" si="53"/>
        <v/>
      </c>
      <c r="F1680" t="str">
        <f>IFERROR(VLOOKUP(Table1[[#This Row],[Tên đối tượng]],'DANH MỤC ĐỐI TƯỢNG'!A:E,5,0),"")</f>
        <v/>
      </c>
      <c r="G1680" t="str">
        <f>_xlfn.IFNA(VLOOKUP(Table1[[#This Row],[Tên đối tượng]],'DANH MỤC ĐỐI TƯỢNG'!A:F,6,0),"")</f>
        <v/>
      </c>
      <c r="H1680" t="str">
        <f>_xlfn.IFNA(VLOOKUP(Table1[[#This Row],[Tên đối tượng]],'DANH MỤC ĐỐI TƯỢNG'!A:I,9,0),"")</f>
        <v/>
      </c>
      <c r="I1680" t="str">
        <f>_xlfn.IFNA(VLOOKUP(Table1[[#This Row],[Tên đối tượng]],'DANH MỤC ĐỐI TƯỢNG'!A:J,10,0),"")</f>
        <v/>
      </c>
    </row>
    <row r="1681" spans="1:9" x14ac:dyDescent="0.3">
      <c r="A1681" t="str">
        <f t="shared" si="53"/>
        <v/>
      </c>
      <c r="F1681" t="str">
        <f>IFERROR(VLOOKUP(Table1[[#This Row],[Tên đối tượng]],'DANH MỤC ĐỐI TƯỢNG'!A:E,5,0),"")</f>
        <v/>
      </c>
      <c r="G1681" t="str">
        <f>_xlfn.IFNA(VLOOKUP(Table1[[#This Row],[Tên đối tượng]],'DANH MỤC ĐỐI TƯỢNG'!A:F,6,0),"")</f>
        <v/>
      </c>
      <c r="H1681" t="str">
        <f>_xlfn.IFNA(VLOOKUP(Table1[[#This Row],[Tên đối tượng]],'DANH MỤC ĐỐI TƯỢNG'!A:I,9,0),"")</f>
        <v/>
      </c>
      <c r="I1681" t="str">
        <f>_xlfn.IFNA(VLOOKUP(Table1[[#This Row],[Tên đối tượng]],'DANH MỤC ĐỐI TƯỢNG'!A:J,10,0),"")</f>
        <v/>
      </c>
    </row>
    <row r="1682" spans="1:9" x14ac:dyDescent="0.3">
      <c r="A1682" t="str">
        <f t="shared" si="53"/>
        <v/>
      </c>
      <c r="F1682" t="str">
        <f>IFERROR(VLOOKUP(Table1[[#This Row],[Tên đối tượng]],'DANH MỤC ĐỐI TƯỢNG'!A:E,5,0),"")</f>
        <v/>
      </c>
      <c r="G1682" t="str">
        <f>_xlfn.IFNA(VLOOKUP(Table1[[#This Row],[Tên đối tượng]],'DANH MỤC ĐỐI TƯỢNG'!A:F,6,0),"")</f>
        <v/>
      </c>
      <c r="H1682" t="str">
        <f>_xlfn.IFNA(VLOOKUP(Table1[[#This Row],[Tên đối tượng]],'DANH MỤC ĐỐI TƯỢNG'!A:I,9,0),"")</f>
        <v/>
      </c>
      <c r="I1682" t="str">
        <f>_xlfn.IFNA(VLOOKUP(Table1[[#This Row],[Tên đối tượng]],'DANH MỤC ĐỐI TƯỢNG'!A:J,10,0),"")</f>
        <v/>
      </c>
    </row>
    <row r="1683" spans="1:9" x14ac:dyDescent="0.3">
      <c r="A1683" t="str">
        <f t="shared" si="53"/>
        <v/>
      </c>
      <c r="F1683" t="str">
        <f>IFERROR(VLOOKUP(Table1[[#This Row],[Tên đối tượng]],'DANH MỤC ĐỐI TƯỢNG'!A:E,5,0),"")</f>
        <v/>
      </c>
      <c r="G1683" t="str">
        <f>_xlfn.IFNA(VLOOKUP(Table1[[#This Row],[Tên đối tượng]],'DANH MỤC ĐỐI TƯỢNG'!A:F,6,0),"")</f>
        <v/>
      </c>
      <c r="H1683" t="str">
        <f>_xlfn.IFNA(VLOOKUP(Table1[[#This Row],[Tên đối tượng]],'DANH MỤC ĐỐI TƯỢNG'!A:I,9,0),"")</f>
        <v/>
      </c>
      <c r="I1683" t="str">
        <f>_xlfn.IFNA(VLOOKUP(Table1[[#This Row],[Tên đối tượng]],'DANH MỤC ĐỐI TƯỢNG'!A:J,10,0),"")</f>
        <v/>
      </c>
    </row>
    <row r="1684" spans="1:9" x14ac:dyDescent="0.3">
      <c r="A1684" t="str">
        <f t="shared" si="53"/>
        <v/>
      </c>
      <c r="F1684" t="str">
        <f>IFERROR(VLOOKUP(Table1[[#This Row],[Tên đối tượng]],'DANH MỤC ĐỐI TƯỢNG'!A:E,5,0),"")</f>
        <v/>
      </c>
      <c r="G1684" t="str">
        <f>_xlfn.IFNA(VLOOKUP(Table1[[#This Row],[Tên đối tượng]],'DANH MỤC ĐỐI TƯỢNG'!A:F,6,0),"")</f>
        <v/>
      </c>
      <c r="H1684" t="str">
        <f>_xlfn.IFNA(VLOOKUP(Table1[[#This Row],[Tên đối tượng]],'DANH MỤC ĐỐI TƯỢNG'!A:I,9,0),"")</f>
        <v/>
      </c>
      <c r="I1684" t="str">
        <f>_xlfn.IFNA(VLOOKUP(Table1[[#This Row],[Tên đối tượng]],'DANH MỤC ĐỐI TƯỢNG'!A:J,10,0),"")</f>
        <v/>
      </c>
    </row>
    <row r="1685" spans="1:9" x14ac:dyDescent="0.3">
      <c r="A1685" t="str">
        <f t="shared" si="53"/>
        <v/>
      </c>
      <c r="F1685" t="str">
        <f>IFERROR(VLOOKUP(Table1[[#This Row],[Tên đối tượng]],'DANH MỤC ĐỐI TƯỢNG'!A:E,5,0),"")</f>
        <v/>
      </c>
      <c r="G1685" t="str">
        <f>_xlfn.IFNA(VLOOKUP(Table1[[#This Row],[Tên đối tượng]],'DANH MỤC ĐỐI TƯỢNG'!A:F,6,0),"")</f>
        <v/>
      </c>
      <c r="H1685" t="str">
        <f>_xlfn.IFNA(VLOOKUP(Table1[[#This Row],[Tên đối tượng]],'DANH MỤC ĐỐI TƯỢNG'!A:I,9,0),"")</f>
        <v/>
      </c>
      <c r="I1685" t="str">
        <f>_xlfn.IFNA(VLOOKUP(Table1[[#This Row],[Tên đối tượng]],'DANH MỤC ĐỐI TƯỢNG'!A:J,10,0),"")</f>
        <v/>
      </c>
    </row>
    <row r="1686" spans="1:9" x14ac:dyDescent="0.3">
      <c r="A1686" t="str">
        <f t="shared" si="53"/>
        <v/>
      </c>
      <c r="F1686" t="str">
        <f>IFERROR(VLOOKUP(Table1[[#This Row],[Tên đối tượng]],'DANH MỤC ĐỐI TƯỢNG'!A:E,5,0),"")</f>
        <v/>
      </c>
      <c r="G1686" t="str">
        <f>_xlfn.IFNA(VLOOKUP(Table1[[#This Row],[Tên đối tượng]],'DANH MỤC ĐỐI TƯỢNG'!A:F,6,0),"")</f>
        <v/>
      </c>
      <c r="H1686" t="str">
        <f>_xlfn.IFNA(VLOOKUP(Table1[[#This Row],[Tên đối tượng]],'DANH MỤC ĐỐI TƯỢNG'!A:I,9,0),"")</f>
        <v/>
      </c>
      <c r="I1686" t="str">
        <f>_xlfn.IFNA(VLOOKUP(Table1[[#This Row],[Tên đối tượng]],'DANH MỤC ĐỐI TƯỢNG'!A:J,10,0),"")</f>
        <v/>
      </c>
    </row>
    <row r="1687" spans="1:9" x14ac:dyDescent="0.3">
      <c r="A1687" t="str">
        <f t="shared" si="53"/>
        <v/>
      </c>
      <c r="F1687" t="str">
        <f>IFERROR(VLOOKUP(Table1[[#This Row],[Tên đối tượng]],'DANH MỤC ĐỐI TƯỢNG'!A:E,5,0),"")</f>
        <v/>
      </c>
      <c r="G1687" t="str">
        <f>_xlfn.IFNA(VLOOKUP(Table1[[#This Row],[Tên đối tượng]],'DANH MỤC ĐỐI TƯỢNG'!A:F,6,0),"")</f>
        <v/>
      </c>
      <c r="H1687" t="str">
        <f>_xlfn.IFNA(VLOOKUP(Table1[[#This Row],[Tên đối tượng]],'DANH MỤC ĐỐI TƯỢNG'!A:I,9,0),"")</f>
        <v/>
      </c>
      <c r="I1687" t="str">
        <f>_xlfn.IFNA(VLOOKUP(Table1[[#This Row],[Tên đối tượng]],'DANH MỤC ĐỐI TƯỢNG'!A:J,10,0),"")</f>
        <v/>
      </c>
    </row>
    <row r="1688" spans="1:9" x14ac:dyDescent="0.3">
      <c r="A1688" t="str">
        <f t="shared" si="53"/>
        <v/>
      </c>
      <c r="F1688" t="str">
        <f>IFERROR(VLOOKUP(Table1[[#This Row],[Tên đối tượng]],'DANH MỤC ĐỐI TƯỢNG'!A:E,5,0),"")</f>
        <v/>
      </c>
      <c r="G1688" t="str">
        <f>_xlfn.IFNA(VLOOKUP(Table1[[#This Row],[Tên đối tượng]],'DANH MỤC ĐỐI TƯỢNG'!A:F,6,0),"")</f>
        <v/>
      </c>
      <c r="H1688" t="str">
        <f>_xlfn.IFNA(VLOOKUP(Table1[[#This Row],[Tên đối tượng]],'DANH MỤC ĐỐI TƯỢNG'!A:I,9,0),"")</f>
        <v/>
      </c>
      <c r="I1688" t="str">
        <f>_xlfn.IFNA(VLOOKUP(Table1[[#This Row],[Tên đối tượng]],'DANH MỤC ĐỐI TƯỢNG'!A:J,10,0),"")</f>
        <v/>
      </c>
    </row>
    <row r="1689" spans="1:9" x14ac:dyDescent="0.3">
      <c r="A1689" t="str">
        <f t="shared" si="53"/>
        <v/>
      </c>
      <c r="F1689" t="str">
        <f>IFERROR(VLOOKUP(Table1[[#This Row],[Tên đối tượng]],'DANH MỤC ĐỐI TƯỢNG'!A:E,5,0),"")</f>
        <v/>
      </c>
      <c r="G1689" t="str">
        <f>_xlfn.IFNA(VLOOKUP(Table1[[#This Row],[Tên đối tượng]],'DANH MỤC ĐỐI TƯỢNG'!A:F,6,0),"")</f>
        <v/>
      </c>
      <c r="H1689" t="str">
        <f>_xlfn.IFNA(VLOOKUP(Table1[[#This Row],[Tên đối tượng]],'DANH MỤC ĐỐI TƯỢNG'!A:I,9,0),"")</f>
        <v/>
      </c>
      <c r="I1689" t="str">
        <f>_xlfn.IFNA(VLOOKUP(Table1[[#This Row],[Tên đối tượng]],'DANH MỤC ĐỐI TƯỢNG'!A:J,10,0),"")</f>
        <v/>
      </c>
    </row>
    <row r="1690" spans="1:9" x14ac:dyDescent="0.3">
      <c r="A1690" t="str">
        <f t="shared" si="53"/>
        <v/>
      </c>
      <c r="F1690" t="str">
        <f>IFERROR(VLOOKUP(Table1[[#This Row],[Tên đối tượng]],'DANH MỤC ĐỐI TƯỢNG'!A:E,5,0),"")</f>
        <v/>
      </c>
      <c r="G1690" t="str">
        <f>_xlfn.IFNA(VLOOKUP(Table1[[#This Row],[Tên đối tượng]],'DANH MỤC ĐỐI TƯỢNG'!A:F,6,0),"")</f>
        <v/>
      </c>
      <c r="H1690" t="str">
        <f>_xlfn.IFNA(VLOOKUP(Table1[[#This Row],[Tên đối tượng]],'DANH MỤC ĐỐI TƯỢNG'!A:I,9,0),"")</f>
        <v/>
      </c>
      <c r="I1690" t="str">
        <f>_xlfn.IFNA(VLOOKUP(Table1[[#This Row],[Tên đối tượng]],'DANH MỤC ĐỐI TƯỢNG'!A:J,10,0),"")</f>
        <v/>
      </c>
    </row>
    <row r="1691" spans="1:9" x14ac:dyDescent="0.3">
      <c r="A1691" t="str">
        <f t="shared" si="53"/>
        <v/>
      </c>
      <c r="F1691" t="str">
        <f>IFERROR(VLOOKUP(Table1[[#This Row],[Tên đối tượng]],'DANH MỤC ĐỐI TƯỢNG'!A:E,5,0),"")</f>
        <v/>
      </c>
      <c r="G1691" t="str">
        <f>_xlfn.IFNA(VLOOKUP(Table1[[#This Row],[Tên đối tượng]],'DANH MỤC ĐỐI TƯỢNG'!A:F,6,0),"")</f>
        <v/>
      </c>
      <c r="H1691" t="str">
        <f>_xlfn.IFNA(VLOOKUP(Table1[[#This Row],[Tên đối tượng]],'DANH MỤC ĐỐI TƯỢNG'!A:I,9,0),"")</f>
        <v/>
      </c>
      <c r="I1691" t="str">
        <f>_xlfn.IFNA(VLOOKUP(Table1[[#This Row],[Tên đối tượng]],'DANH MỤC ĐỐI TƯỢNG'!A:J,10,0),"")</f>
        <v/>
      </c>
    </row>
    <row r="1692" spans="1:9" x14ac:dyDescent="0.3">
      <c r="A1692" t="str">
        <f t="shared" si="53"/>
        <v/>
      </c>
      <c r="F1692" t="str">
        <f>IFERROR(VLOOKUP(Table1[[#This Row],[Tên đối tượng]],'DANH MỤC ĐỐI TƯỢNG'!A:E,5,0),"")</f>
        <v/>
      </c>
      <c r="G1692" t="str">
        <f>_xlfn.IFNA(VLOOKUP(Table1[[#This Row],[Tên đối tượng]],'DANH MỤC ĐỐI TƯỢNG'!A:F,6,0),"")</f>
        <v/>
      </c>
      <c r="H1692" t="str">
        <f>_xlfn.IFNA(VLOOKUP(Table1[[#This Row],[Tên đối tượng]],'DANH MỤC ĐỐI TƯỢNG'!A:I,9,0),"")</f>
        <v/>
      </c>
      <c r="I1692" t="str">
        <f>_xlfn.IFNA(VLOOKUP(Table1[[#This Row],[Tên đối tượng]],'DANH MỤC ĐỐI TƯỢNG'!A:J,10,0),"")</f>
        <v/>
      </c>
    </row>
    <row r="1693" spans="1:9" x14ac:dyDescent="0.3">
      <c r="A1693" t="str">
        <f t="shared" si="53"/>
        <v/>
      </c>
      <c r="F1693" t="str">
        <f>IFERROR(VLOOKUP(Table1[[#This Row],[Tên đối tượng]],'DANH MỤC ĐỐI TƯỢNG'!A:E,5,0),"")</f>
        <v/>
      </c>
      <c r="G1693" t="str">
        <f>_xlfn.IFNA(VLOOKUP(Table1[[#This Row],[Tên đối tượng]],'DANH MỤC ĐỐI TƯỢNG'!A:F,6,0),"")</f>
        <v/>
      </c>
      <c r="H1693" t="str">
        <f>_xlfn.IFNA(VLOOKUP(Table1[[#This Row],[Tên đối tượng]],'DANH MỤC ĐỐI TƯỢNG'!A:I,9,0),"")</f>
        <v/>
      </c>
      <c r="I1693" t="str">
        <f>_xlfn.IFNA(VLOOKUP(Table1[[#This Row],[Tên đối tượng]],'DANH MỤC ĐỐI TƯỢNG'!A:J,10,0),"")</f>
        <v/>
      </c>
    </row>
    <row r="1694" spans="1:9" x14ac:dyDescent="0.3">
      <c r="A1694" t="str">
        <f t="shared" si="53"/>
        <v/>
      </c>
      <c r="F1694" t="str">
        <f>IFERROR(VLOOKUP(Table1[[#This Row],[Tên đối tượng]],'DANH MỤC ĐỐI TƯỢNG'!A:E,5,0),"")</f>
        <v/>
      </c>
      <c r="G1694" t="str">
        <f>_xlfn.IFNA(VLOOKUP(Table1[[#This Row],[Tên đối tượng]],'DANH MỤC ĐỐI TƯỢNG'!A:F,6,0),"")</f>
        <v/>
      </c>
      <c r="H1694" t="str">
        <f>_xlfn.IFNA(VLOOKUP(Table1[[#This Row],[Tên đối tượng]],'DANH MỤC ĐỐI TƯỢNG'!A:I,9,0),"")</f>
        <v/>
      </c>
      <c r="I1694" t="str">
        <f>_xlfn.IFNA(VLOOKUP(Table1[[#This Row],[Tên đối tượng]],'DANH MỤC ĐỐI TƯỢNG'!A:J,10,0),"")</f>
        <v/>
      </c>
    </row>
    <row r="1695" spans="1:9" x14ac:dyDescent="0.3">
      <c r="A1695" t="str">
        <f t="shared" si="53"/>
        <v/>
      </c>
      <c r="F1695" t="str">
        <f>IFERROR(VLOOKUP(Table1[[#This Row],[Tên đối tượng]],'DANH MỤC ĐỐI TƯỢNG'!A:E,5,0),"")</f>
        <v/>
      </c>
      <c r="G1695" t="str">
        <f>_xlfn.IFNA(VLOOKUP(Table1[[#This Row],[Tên đối tượng]],'DANH MỤC ĐỐI TƯỢNG'!A:F,6,0),"")</f>
        <v/>
      </c>
      <c r="H1695" t="str">
        <f>_xlfn.IFNA(VLOOKUP(Table1[[#This Row],[Tên đối tượng]],'DANH MỤC ĐỐI TƯỢNG'!A:I,9,0),"")</f>
        <v/>
      </c>
      <c r="I1695" t="str">
        <f>_xlfn.IFNA(VLOOKUP(Table1[[#This Row],[Tên đối tượng]],'DANH MỤC ĐỐI TƯỢNG'!A:J,10,0),"")</f>
        <v/>
      </c>
    </row>
    <row r="1696" spans="1:9" x14ac:dyDescent="0.3">
      <c r="A1696" t="str">
        <f t="shared" si="53"/>
        <v/>
      </c>
      <c r="F1696" t="str">
        <f>IFERROR(VLOOKUP(Table1[[#This Row],[Tên đối tượng]],'DANH MỤC ĐỐI TƯỢNG'!A:E,5,0),"")</f>
        <v/>
      </c>
      <c r="G1696" t="str">
        <f>_xlfn.IFNA(VLOOKUP(Table1[[#This Row],[Tên đối tượng]],'DANH MỤC ĐỐI TƯỢNG'!A:F,6,0),"")</f>
        <v/>
      </c>
      <c r="H1696" t="str">
        <f>_xlfn.IFNA(VLOOKUP(Table1[[#This Row],[Tên đối tượng]],'DANH MỤC ĐỐI TƯỢNG'!A:I,9,0),"")</f>
        <v/>
      </c>
      <c r="I1696" t="str">
        <f>_xlfn.IFNA(VLOOKUP(Table1[[#This Row],[Tên đối tượng]],'DANH MỤC ĐỐI TƯỢNG'!A:J,10,0),"")</f>
        <v/>
      </c>
    </row>
    <row r="1697" spans="1:9" x14ac:dyDescent="0.3">
      <c r="A1697" t="str">
        <f t="shared" si="53"/>
        <v/>
      </c>
      <c r="F1697" t="str">
        <f>IFERROR(VLOOKUP(Table1[[#This Row],[Tên đối tượng]],'DANH MỤC ĐỐI TƯỢNG'!A:E,5,0),"")</f>
        <v/>
      </c>
      <c r="G1697" t="str">
        <f>_xlfn.IFNA(VLOOKUP(Table1[[#This Row],[Tên đối tượng]],'DANH MỤC ĐỐI TƯỢNG'!A:F,6,0),"")</f>
        <v/>
      </c>
      <c r="H1697" t="str">
        <f>_xlfn.IFNA(VLOOKUP(Table1[[#This Row],[Tên đối tượng]],'DANH MỤC ĐỐI TƯỢNG'!A:I,9,0),"")</f>
        <v/>
      </c>
      <c r="I1697" t="str">
        <f>_xlfn.IFNA(VLOOKUP(Table1[[#This Row],[Tên đối tượng]],'DANH MỤC ĐỐI TƯỢNG'!A:J,10,0),"")</f>
        <v/>
      </c>
    </row>
    <row r="1698" spans="1:9" x14ac:dyDescent="0.3">
      <c r="A1698" t="str">
        <f t="shared" si="53"/>
        <v/>
      </c>
      <c r="F1698" t="str">
        <f>IFERROR(VLOOKUP(Table1[[#This Row],[Tên đối tượng]],'DANH MỤC ĐỐI TƯỢNG'!A:E,5,0),"")</f>
        <v/>
      </c>
      <c r="G1698" t="str">
        <f>_xlfn.IFNA(VLOOKUP(Table1[[#This Row],[Tên đối tượng]],'DANH MỤC ĐỐI TƯỢNG'!A:F,6,0),"")</f>
        <v/>
      </c>
      <c r="H1698" t="str">
        <f>_xlfn.IFNA(VLOOKUP(Table1[[#This Row],[Tên đối tượng]],'DANH MỤC ĐỐI TƯỢNG'!A:I,9,0),"")</f>
        <v/>
      </c>
      <c r="I1698" t="str">
        <f>_xlfn.IFNA(VLOOKUP(Table1[[#This Row],[Tên đối tượng]],'DANH MỤC ĐỐI TƯỢNG'!A:J,10,0),"")</f>
        <v/>
      </c>
    </row>
    <row r="1699" spans="1:9" x14ac:dyDescent="0.3">
      <c r="A1699" t="str">
        <f t="shared" si="53"/>
        <v/>
      </c>
      <c r="F1699" t="str">
        <f>IFERROR(VLOOKUP(Table1[[#This Row],[Tên đối tượng]],'DANH MỤC ĐỐI TƯỢNG'!A:E,5,0),"")</f>
        <v/>
      </c>
      <c r="G1699" t="str">
        <f>_xlfn.IFNA(VLOOKUP(Table1[[#This Row],[Tên đối tượng]],'DANH MỤC ĐỐI TƯỢNG'!A:F,6,0),"")</f>
        <v/>
      </c>
      <c r="H1699" t="str">
        <f>_xlfn.IFNA(VLOOKUP(Table1[[#This Row],[Tên đối tượng]],'DANH MỤC ĐỐI TƯỢNG'!A:I,9,0),"")</f>
        <v/>
      </c>
      <c r="I1699" t="str">
        <f>_xlfn.IFNA(VLOOKUP(Table1[[#This Row],[Tên đối tượng]],'DANH MỤC ĐỐI TƯỢNG'!A:J,10,0),"")</f>
        <v/>
      </c>
    </row>
    <row r="1700" spans="1:9" x14ac:dyDescent="0.3">
      <c r="A1700" t="str">
        <f t="shared" si="53"/>
        <v/>
      </c>
      <c r="F1700" t="str">
        <f>IFERROR(VLOOKUP(Table1[[#This Row],[Tên đối tượng]],'DANH MỤC ĐỐI TƯỢNG'!A:E,5,0),"")</f>
        <v/>
      </c>
      <c r="G1700" t="str">
        <f>_xlfn.IFNA(VLOOKUP(Table1[[#This Row],[Tên đối tượng]],'DANH MỤC ĐỐI TƯỢNG'!A:F,6,0),"")</f>
        <v/>
      </c>
      <c r="H1700" t="str">
        <f>_xlfn.IFNA(VLOOKUP(Table1[[#This Row],[Tên đối tượng]],'DANH MỤC ĐỐI TƯỢNG'!A:I,9,0),"")</f>
        <v/>
      </c>
      <c r="I1700" t="str">
        <f>_xlfn.IFNA(VLOOKUP(Table1[[#This Row],[Tên đối tượng]],'DANH MỤC ĐỐI TƯỢNG'!A:J,10,0),"")</f>
        <v/>
      </c>
    </row>
    <row r="1701" spans="1:9" x14ac:dyDescent="0.3">
      <c r="A1701" t="str">
        <f t="shared" si="53"/>
        <v/>
      </c>
      <c r="F1701" t="str">
        <f>IFERROR(VLOOKUP(Table1[[#This Row],[Tên đối tượng]],'DANH MỤC ĐỐI TƯỢNG'!A:E,5,0),"")</f>
        <v/>
      </c>
      <c r="G1701" t="str">
        <f>_xlfn.IFNA(VLOOKUP(Table1[[#This Row],[Tên đối tượng]],'DANH MỤC ĐỐI TƯỢNG'!A:F,6,0),"")</f>
        <v/>
      </c>
      <c r="H1701" t="str">
        <f>_xlfn.IFNA(VLOOKUP(Table1[[#This Row],[Tên đối tượng]],'DANH MỤC ĐỐI TƯỢNG'!A:I,9,0),"")</f>
        <v/>
      </c>
      <c r="I1701" t="str">
        <f>_xlfn.IFNA(VLOOKUP(Table1[[#This Row],[Tên đối tượng]],'DANH MỤC ĐỐI TƯỢNG'!A:J,10,0),"")</f>
        <v/>
      </c>
    </row>
    <row r="1702" spans="1:9" x14ac:dyDescent="0.3">
      <c r="A1702" t="str">
        <f t="shared" si="53"/>
        <v/>
      </c>
      <c r="F1702" t="str">
        <f>IFERROR(VLOOKUP(Table1[[#This Row],[Tên đối tượng]],'DANH MỤC ĐỐI TƯỢNG'!A:E,5,0),"")</f>
        <v/>
      </c>
      <c r="G1702" t="str">
        <f>_xlfn.IFNA(VLOOKUP(Table1[[#This Row],[Tên đối tượng]],'DANH MỤC ĐỐI TƯỢNG'!A:F,6,0),"")</f>
        <v/>
      </c>
      <c r="H1702" t="str">
        <f>_xlfn.IFNA(VLOOKUP(Table1[[#This Row],[Tên đối tượng]],'DANH MỤC ĐỐI TƯỢNG'!A:I,9,0),"")</f>
        <v/>
      </c>
      <c r="I1702" t="str">
        <f>_xlfn.IFNA(VLOOKUP(Table1[[#This Row],[Tên đối tượng]],'DANH MỤC ĐỐI TƯỢNG'!A:J,10,0),"")</f>
        <v/>
      </c>
    </row>
    <row r="1703" spans="1:9" x14ac:dyDescent="0.3">
      <c r="A1703" t="str">
        <f t="shared" si="53"/>
        <v/>
      </c>
      <c r="F1703" t="str">
        <f>IFERROR(VLOOKUP(Table1[[#This Row],[Tên đối tượng]],'DANH MỤC ĐỐI TƯỢNG'!A:E,5,0),"")</f>
        <v/>
      </c>
      <c r="G1703" t="str">
        <f>_xlfn.IFNA(VLOOKUP(Table1[[#This Row],[Tên đối tượng]],'DANH MỤC ĐỐI TƯỢNG'!A:F,6,0),"")</f>
        <v/>
      </c>
      <c r="H1703" t="str">
        <f>_xlfn.IFNA(VLOOKUP(Table1[[#This Row],[Tên đối tượng]],'DANH MỤC ĐỐI TƯỢNG'!A:I,9,0),"")</f>
        <v/>
      </c>
      <c r="I1703" t="str">
        <f>_xlfn.IFNA(VLOOKUP(Table1[[#This Row],[Tên đối tượng]],'DANH MỤC ĐỐI TƯỢNG'!A:J,10,0),"")</f>
        <v/>
      </c>
    </row>
    <row r="1704" spans="1:9" x14ac:dyDescent="0.3">
      <c r="A1704" t="str">
        <f t="shared" si="53"/>
        <v/>
      </c>
      <c r="F1704" t="str">
        <f>IFERROR(VLOOKUP(Table1[[#This Row],[Tên đối tượng]],'DANH MỤC ĐỐI TƯỢNG'!A:E,5,0),"")</f>
        <v/>
      </c>
      <c r="G1704" t="str">
        <f>_xlfn.IFNA(VLOOKUP(Table1[[#This Row],[Tên đối tượng]],'DANH MỤC ĐỐI TƯỢNG'!A:F,6,0),"")</f>
        <v/>
      </c>
      <c r="H1704" t="str">
        <f>_xlfn.IFNA(VLOOKUP(Table1[[#This Row],[Tên đối tượng]],'DANH MỤC ĐỐI TƯỢNG'!A:I,9,0),"")</f>
        <v/>
      </c>
      <c r="I1704" t="str">
        <f>_xlfn.IFNA(VLOOKUP(Table1[[#This Row],[Tên đối tượng]],'DANH MỤC ĐỐI TƯỢNG'!A:J,10,0),"")</f>
        <v/>
      </c>
    </row>
    <row r="1705" spans="1:9" x14ac:dyDescent="0.3">
      <c r="A1705" t="str">
        <f t="shared" si="53"/>
        <v/>
      </c>
      <c r="F1705" t="str">
        <f>IFERROR(VLOOKUP(Table1[[#This Row],[Tên đối tượng]],'DANH MỤC ĐỐI TƯỢNG'!A:E,5,0),"")</f>
        <v/>
      </c>
      <c r="G1705" t="str">
        <f>_xlfn.IFNA(VLOOKUP(Table1[[#This Row],[Tên đối tượng]],'DANH MỤC ĐỐI TƯỢNG'!A:F,6,0),"")</f>
        <v/>
      </c>
      <c r="H1705" t="str">
        <f>_xlfn.IFNA(VLOOKUP(Table1[[#This Row],[Tên đối tượng]],'DANH MỤC ĐỐI TƯỢNG'!A:I,9,0),"")</f>
        <v/>
      </c>
      <c r="I1705" t="str">
        <f>_xlfn.IFNA(VLOOKUP(Table1[[#This Row],[Tên đối tượng]],'DANH MỤC ĐỐI TƯỢNG'!A:J,10,0),"")</f>
        <v/>
      </c>
    </row>
    <row r="1706" spans="1:9" x14ac:dyDescent="0.3">
      <c r="A1706" t="str">
        <f t="shared" si="53"/>
        <v/>
      </c>
      <c r="F1706" t="str">
        <f>IFERROR(VLOOKUP(Table1[[#This Row],[Tên đối tượng]],'DANH MỤC ĐỐI TƯỢNG'!A:E,5,0),"")</f>
        <v/>
      </c>
      <c r="G1706" t="str">
        <f>_xlfn.IFNA(VLOOKUP(Table1[[#This Row],[Tên đối tượng]],'DANH MỤC ĐỐI TƯỢNG'!A:F,6,0),"")</f>
        <v/>
      </c>
      <c r="H1706" t="str">
        <f>_xlfn.IFNA(VLOOKUP(Table1[[#This Row],[Tên đối tượng]],'DANH MỤC ĐỐI TƯỢNG'!A:I,9,0),"")</f>
        <v/>
      </c>
      <c r="I1706" t="str">
        <f>_xlfn.IFNA(VLOOKUP(Table1[[#This Row],[Tên đối tượng]],'DANH MỤC ĐỐI TƯỢNG'!A:J,10,0),"")</f>
        <v/>
      </c>
    </row>
    <row r="1707" spans="1:9" x14ac:dyDescent="0.3">
      <c r="A1707" t="str">
        <f t="shared" si="53"/>
        <v/>
      </c>
      <c r="F1707" t="str">
        <f>IFERROR(VLOOKUP(Table1[[#This Row],[Tên đối tượng]],'DANH MỤC ĐỐI TƯỢNG'!A:E,5,0),"")</f>
        <v/>
      </c>
      <c r="G1707" t="str">
        <f>_xlfn.IFNA(VLOOKUP(Table1[[#This Row],[Tên đối tượng]],'DANH MỤC ĐỐI TƯỢNG'!A:F,6,0),"")</f>
        <v/>
      </c>
      <c r="H1707" t="str">
        <f>_xlfn.IFNA(VLOOKUP(Table1[[#This Row],[Tên đối tượng]],'DANH MỤC ĐỐI TƯỢNG'!A:I,9,0),"")</f>
        <v/>
      </c>
      <c r="I1707" t="str">
        <f>_xlfn.IFNA(VLOOKUP(Table1[[#This Row],[Tên đối tượng]],'DANH MỤC ĐỐI TƯỢNG'!A:J,10,0),"")</f>
        <v/>
      </c>
    </row>
    <row r="1708" spans="1:9" x14ac:dyDescent="0.3">
      <c r="A1708" t="str">
        <f t="shared" si="53"/>
        <v/>
      </c>
      <c r="F1708" t="str">
        <f>IFERROR(VLOOKUP(Table1[[#This Row],[Tên đối tượng]],'DANH MỤC ĐỐI TƯỢNG'!A:E,5,0),"")</f>
        <v/>
      </c>
      <c r="G1708" t="str">
        <f>_xlfn.IFNA(VLOOKUP(Table1[[#This Row],[Tên đối tượng]],'DANH MỤC ĐỐI TƯỢNG'!A:F,6,0),"")</f>
        <v/>
      </c>
      <c r="H1708" t="str">
        <f>_xlfn.IFNA(VLOOKUP(Table1[[#This Row],[Tên đối tượng]],'DANH MỤC ĐỐI TƯỢNG'!A:I,9,0),"")</f>
        <v/>
      </c>
      <c r="I1708" t="str">
        <f>_xlfn.IFNA(VLOOKUP(Table1[[#This Row],[Tên đối tượng]],'DANH MỤC ĐỐI TƯỢNG'!A:J,10,0),"")</f>
        <v/>
      </c>
    </row>
    <row r="1709" spans="1:9" x14ac:dyDescent="0.3">
      <c r="A1709" t="str">
        <f t="shared" si="53"/>
        <v/>
      </c>
      <c r="F1709" t="str">
        <f>IFERROR(VLOOKUP(Table1[[#This Row],[Tên đối tượng]],'DANH MỤC ĐỐI TƯỢNG'!A:E,5,0),"")</f>
        <v/>
      </c>
      <c r="G1709" t="str">
        <f>_xlfn.IFNA(VLOOKUP(Table1[[#This Row],[Tên đối tượng]],'DANH MỤC ĐỐI TƯỢNG'!A:F,6,0),"")</f>
        <v/>
      </c>
      <c r="H1709" t="str">
        <f>_xlfn.IFNA(VLOOKUP(Table1[[#This Row],[Tên đối tượng]],'DANH MỤC ĐỐI TƯỢNG'!A:I,9,0),"")</f>
        <v/>
      </c>
      <c r="I1709" t="str">
        <f>_xlfn.IFNA(VLOOKUP(Table1[[#This Row],[Tên đối tượng]],'DANH MỤC ĐỐI TƯỢNG'!A:J,10,0),"")</f>
        <v/>
      </c>
    </row>
    <row r="1710" spans="1:9" x14ac:dyDescent="0.3">
      <c r="A1710" t="str">
        <f t="shared" si="53"/>
        <v/>
      </c>
      <c r="F1710" t="str">
        <f>IFERROR(VLOOKUP(Table1[[#This Row],[Tên đối tượng]],'DANH MỤC ĐỐI TƯỢNG'!A:E,5,0),"")</f>
        <v/>
      </c>
      <c r="G1710" t="str">
        <f>_xlfn.IFNA(VLOOKUP(Table1[[#This Row],[Tên đối tượng]],'DANH MỤC ĐỐI TƯỢNG'!A:F,6,0),"")</f>
        <v/>
      </c>
      <c r="H1710" t="str">
        <f>_xlfn.IFNA(VLOOKUP(Table1[[#This Row],[Tên đối tượng]],'DANH MỤC ĐỐI TƯỢNG'!A:I,9,0),"")</f>
        <v/>
      </c>
      <c r="I1710" t="str">
        <f>_xlfn.IFNA(VLOOKUP(Table1[[#This Row],[Tên đối tượng]],'DANH MỤC ĐỐI TƯỢNG'!A:J,10,0),"")</f>
        <v/>
      </c>
    </row>
    <row r="1711" spans="1:9" x14ac:dyDescent="0.3">
      <c r="A1711" t="str">
        <f t="shared" si="53"/>
        <v/>
      </c>
      <c r="F1711" t="str">
        <f>IFERROR(VLOOKUP(Table1[[#This Row],[Tên đối tượng]],'DANH MỤC ĐỐI TƯỢNG'!A:E,5,0),"")</f>
        <v/>
      </c>
      <c r="G1711" t="str">
        <f>_xlfn.IFNA(VLOOKUP(Table1[[#This Row],[Tên đối tượng]],'DANH MỤC ĐỐI TƯỢNG'!A:F,6,0),"")</f>
        <v/>
      </c>
      <c r="H1711" t="str">
        <f>_xlfn.IFNA(VLOOKUP(Table1[[#This Row],[Tên đối tượng]],'DANH MỤC ĐỐI TƯỢNG'!A:I,9,0),"")</f>
        <v/>
      </c>
      <c r="I1711" t="str">
        <f>_xlfn.IFNA(VLOOKUP(Table1[[#This Row],[Tên đối tượng]],'DANH MỤC ĐỐI TƯỢNG'!A:J,10,0),"")</f>
        <v/>
      </c>
    </row>
    <row r="1712" spans="1:9" x14ac:dyDescent="0.3">
      <c r="A1712" t="str">
        <f t="shared" si="53"/>
        <v/>
      </c>
      <c r="F1712" t="str">
        <f>IFERROR(VLOOKUP(Table1[[#This Row],[Tên đối tượng]],'DANH MỤC ĐỐI TƯỢNG'!A:E,5,0),"")</f>
        <v/>
      </c>
      <c r="G1712" t="str">
        <f>_xlfn.IFNA(VLOOKUP(Table1[[#This Row],[Tên đối tượng]],'DANH MỤC ĐỐI TƯỢNG'!A:F,6,0),"")</f>
        <v/>
      </c>
      <c r="H1712" t="str">
        <f>_xlfn.IFNA(VLOOKUP(Table1[[#This Row],[Tên đối tượng]],'DANH MỤC ĐỐI TƯỢNG'!A:I,9,0),"")</f>
        <v/>
      </c>
      <c r="I1712" t="str">
        <f>_xlfn.IFNA(VLOOKUP(Table1[[#This Row],[Tên đối tượng]],'DANH MỤC ĐỐI TƯỢNG'!A:J,10,0),"")</f>
        <v/>
      </c>
    </row>
    <row r="1713" spans="1:9" x14ac:dyDescent="0.3">
      <c r="A1713" t="str">
        <f t="shared" si="53"/>
        <v/>
      </c>
      <c r="F1713" t="str">
        <f>IFERROR(VLOOKUP(Table1[[#This Row],[Tên đối tượng]],'DANH MỤC ĐỐI TƯỢNG'!A:E,5,0),"")</f>
        <v/>
      </c>
      <c r="G1713" t="str">
        <f>_xlfn.IFNA(VLOOKUP(Table1[[#This Row],[Tên đối tượng]],'DANH MỤC ĐỐI TƯỢNG'!A:F,6,0),"")</f>
        <v/>
      </c>
      <c r="H1713" t="str">
        <f>_xlfn.IFNA(VLOOKUP(Table1[[#This Row],[Tên đối tượng]],'DANH MỤC ĐỐI TƯỢNG'!A:I,9,0),"")</f>
        <v/>
      </c>
      <c r="I1713" t="str">
        <f>_xlfn.IFNA(VLOOKUP(Table1[[#This Row],[Tên đối tượng]],'DANH MỤC ĐỐI TƯỢNG'!A:J,10,0),"")</f>
        <v/>
      </c>
    </row>
    <row r="1714" spans="1:9" x14ac:dyDescent="0.3">
      <c r="A1714" t="str">
        <f t="shared" si="53"/>
        <v/>
      </c>
      <c r="F1714" t="str">
        <f>IFERROR(VLOOKUP(Table1[[#This Row],[Tên đối tượng]],'DANH MỤC ĐỐI TƯỢNG'!A:E,5,0),"")</f>
        <v/>
      </c>
      <c r="G1714" t="str">
        <f>_xlfn.IFNA(VLOOKUP(Table1[[#This Row],[Tên đối tượng]],'DANH MỤC ĐỐI TƯỢNG'!A:F,6,0),"")</f>
        <v/>
      </c>
      <c r="H1714" t="str">
        <f>_xlfn.IFNA(VLOOKUP(Table1[[#This Row],[Tên đối tượng]],'DANH MỤC ĐỐI TƯỢNG'!A:I,9,0),"")</f>
        <v/>
      </c>
      <c r="I1714" t="str">
        <f>_xlfn.IFNA(VLOOKUP(Table1[[#This Row],[Tên đối tượng]],'DANH MỤC ĐỐI TƯỢNG'!A:J,10,0),"")</f>
        <v/>
      </c>
    </row>
    <row r="1715" spans="1:9" x14ac:dyDescent="0.3">
      <c r="A1715" t="str">
        <f t="shared" si="53"/>
        <v/>
      </c>
      <c r="F1715" t="str">
        <f>IFERROR(VLOOKUP(Table1[[#This Row],[Tên đối tượng]],'DANH MỤC ĐỐI TƯỢNG'!A:E,5,0),"")</f>
        <v/>
      </c>
      <c r="G1715" t="str">
        <f>_xlfn.IFNA(VLOOKUP(Table1[[#This Row],[Tên đối tượng]],'DANH MỤC ĐỐI TƯỢNG'!A:F,6,0),"")</f>
        <v/>
      </c>
      <c r="H1715" t="str">
        <f>_xlfn.IFNA(VLOOKUP(Table1[[#This Row],[Tên đối tượng]],'DANH MỤC ĐỐI TƯỢNG'!A:I,9,0),"")</f>
        <v/>
      </c>
      <c r="I1715" t="str">
        <f>_xlfn.IFNA(VLOOKUP(Table1[[#This Row],[Tên đối tượng]],'DANH MỤC ĐỐI TƯỢNG'!A:J,10,0),"")</f>
        <v/>
      </c>
    </row>
    <row r="1716" spans="1:9" x14ac:dyDescent="0.3">
      <c r="A1716" t="str">
        <f t="shared" si="53"/>
        <v/>
      </c>
      <c r="F1716" t="str">
        <f>IFERROR(VLOOKUP(Table1[[#This Row],[Tên đối tượng]],'DANH MỤC ĐỐI TƯỢNG'!A:E,5,0),"")</f>
        <v/>
      </c>
      <c r="G1716" t="str">
        <f>_xlfn.IFNA(VLOOKUP(Table1[[#This Row],[Tên đối tượng]],'DANH MỤC ĐỐI TƯỢNG'!A:F,6,0),"")</f>
        <v/>
      </c>
      <c r="H1716" t="str">
        <f>_xlfn.IFNA(VLOOKUP(Table1[[#This Row],[Tên đối tượng]],'DANH MỤC ĐỐI TƯỢNG'!A:I,9,0),"")</f>
        <v/>
      </c>
      <c r="I1716" t="str">
        <f>_xlfn.IFNA(VLOOKUP(Table1[[#This Row],[Tên đối tượng]],'DANH MỤC ĐỐI TƯỢNG'!A:J,10,0),"")</f>
        <v/>
      </c>
    </row>
    <row r="1717" spans="1:9" x14ac:dyDescent="0.3">
      <c r="A1717" t="str">
        <f t="shared" si="53"/>
        <v/>
      </c>
      <c r="F1717" t="str">
        <f>IFERROR(VLOOKUP(Table1[[#This Row],[Tên đối tượng]],'DANH MỤC ĐỐI TƯỢNG'!A:E,5,0),"")</f>
        <v/>
      </c>
      <c r="G1717" t="str">
        <f>_xlfn.IFNA(VLOOKUP(Table1[[#This Row],[Tên đối tượng]],'DANH MỤC ĐỐI TƯỢNG'!A:F,6,0),"")</f>
        <v/>
      </c>
      <c r="H1717" t="str">
        <f>_xlfn.IFNA(VLOOKUP(Table1[[#This Row],[Tên đối tượng]],'DANH MỤC ĐỐI TƯỢNG'!A:I,9,0),"")</f>
        <v/>
      </c>
      <c r="I1717" t="str">
        <f>_xlfn.IFNA(VLOOKUP(Table1[[#This Row],[Tên đối tượng]],'DANH MỤC ĐỐI TƯỢNG'!A:J,10,0),"")</f>
        <v/>
      </c>
    </row>
    <row r="1718" spans="1:9" x14ac:dyDescent="0.3">
      <c r="A1718" t="str">
        <f t="shared" si="53"/>
        <v/>
      </c>
      <c r="F1718" t="str">
        <f>IFERROR(VLOOKUP(Table1[[#This Row],[Tên đối tượng]],'DANH MỤC ĐỐI TƯỢNG'!A:E,5,0),"")</f>
        <v/>
      </c>
      <c r="G1718" t="str">
        <f>_xlfn.IFNA(VLOOKUP(Table1[[#This Row],[Tên đối tượng]],'DANH MỤC ĐỐI TƯỢNG'!A:F,6,0),"")</f>
        <v/>
      </c>
      <c r="H1718" t="str">
        <f>_xlfn.IFNA(VLOOKUP(Table1[[#This Row],[Tên đối tượng]],'DANH MỤC ĐỐI TƯỢNG'!A:I,9,0),"")</f>
        <v/>
      </c>
      <c r="I1718" t="str">
        <f>_xlfn.IFNA(VLOOKUP(Table1[[#This Row],[Tên đối tượng]],'DANH MỤC ĐỐI TƯỢNG'!A:J,10,0),"")</f>
        <v/>
      </c>
    </row>
    <row r="1719" spans="1:9" x14ac:dyDescent="0.3">
      <c r="A1719" t="str">
        <f t="shared" si="53"/>
        <v/>
      </c>
      <c r="F1719" t="str">
        <f>IFERROR(VLOOKUP(Table1[[#This Row],[Tên đối tượng]],'DANH MỤC ĐỐI TƯỢNG'!A:E,5,0),"")</f>
        <v/>
      </c>
      <c r="G1719" t="str">
        <f>_xlfn.IFNA(VLOOKUP(Table1[[#This Row],[Tên đối tượng]],'DANH MỤC ĐỐI TƯỢNG'!A:F,6,0),"")</f>
        <v/>
      </c>
      <c r="H1719" t="str">
        <f>_xlfn.IFNA(VLOOKUP(Table1[[#This Row],[Tên đối tượng]],'DANH MỤC ĐỐI TƯỢNG'!A:I,9,0),"")</f>
        <v/>
      </c>
      <c r="I1719" t="str">
        <f>_xlfn.IFNA(VLOOKUP(Table1[[#This Row],[Tên đối tượng]],'DANH MỤC ĐỐI TƯỢNG'!A:J,10,0),"")</f>
        <v/>
      </c>
    </row>
    <row r="1720" spans="1:9" x14ac:dyDescent="0.3">
      <c r="A1720" t="str">
        <f t="shared" si="53"/>
        <v/>
      </c>
      <c r="F1720" t="str">
        <f>IFERROR(VLOOKUP(Table1[[#This Row],[Tên đối tượng]],'DANH MỤC ĐỐI TƯỢNG'!A:E,5,0),"")</f>
        <v/>
      </c>
      <c r="G1720" t="str">
        <f>_xlfn.IFNA(VLOOKUP(Table1[[#This Row],[Tên đối tượng]],'DANH MỤC ĐỐI TƯỢNG'!A:F,6,0),"")</f>
        <v/>
      </c>
      <c r="H1720" t="str">
        <f>_xlfn.IFNA(VLOOKUP(Table1[[#This Row],[Tên đối tượng]],'DANH MỤC ĐỐI TƯỢNG'!A:I,9,0),"")</f>
        <v/>
      </c>
      <c r="I1720" t="str">
        <f>_xlfn.IFNA(VLOOKUP(Table1[[#This Row],[Tên đối tượng]],'DANH MỤC ĐỐI TƯỢNG'!A:J,10,0),"")</f>
        <v/>
      </c>
    </row>
    <row r="1721" spans="1:9" x14ac:dyDescent="0.3">
      <c r="A1721" t="str">
        <f t="shared" si="53"/>
        <v/>
      </c>
      <c r="F1721" t="str">
        <f>IFERROR(VLOOKUP(Table1[[#This Row],[Tên đối tượng]],'DANH MỤC ĐỐI TƯỢNG'!A:E,5,0),"")</f>
        <v/>
      </c>
      <c r="G1721" t="str">
        <f>_xlfn.IFNA(VLOOKUP(Table1[[#This Row],[Tên đối tượng]],'DANH MỤC ĐỐI TƯỢNG'!A:F,6,0),"")</f>
        <v/>
      </c>
      <c r="H1721" t="str">
        <f>_xlfn.IFNA(VLOOKUP(Table1[[#This Row],[Tên đối tượng]],'DANH MỤC ĐỐI TƯỢNG'!A:I,9,0),"")</f>
        <v/>
      </c>
      <c r="I1721" t="str">
        <f>_xlfn.IFNA(VLOOKUP(Table1[[#This Row],[Tên đối tượng]],'DANH MỤC ĐỐI TƯỢNG'!A:J,10,0),"")</f>
        <v/>
      </c>
    </row>
    <row r="1722" spans="1:9" x14ac:dyDescent="0.3">
      <c r="A1722" t="str">
        <f t="shared" si="53"/>
        <v/>
      </c>
      <c r="F1722" t="str">
        <f>IFERROR(VLOOKUP(Table1[[#This Row],[Tên đối tượng]],'DANH MỤC ĐỐI TƯỢNG'!A:E,5,0),"")</f>
        <v/>
      </c>
      <c r="G1722" t="str">
        <f>_xlfn.IFNA(VLOOKUP(Table1[[#This Row],[Tên đối tượng]],'DANH MỤC ĐỐI TƯỢNG'!A:F,6,0),"")</f>
        <v/>
      </c>
      <c r="H1722" t="str">
        <f>_xlfn.IFNA(VLOOKUP(Table1[[#This Row],[Tên đối tượng]],'DANH MỤC ĐỐI TƯỢNG'!A:I,9,0),"")</f>
        <v/>
      </c>
      <c r="I1722" t="str">
        <f>_xlfn.IFNA(VLOOKUP(Table1[[#This Row],[Tên đối tượng]],'DANH MỤC ĐỐI TƯỢNG'!A:J,10,0),"")</f>
        <v/>
      </c>
    </row>
    <row r="1723" spans="1:9" x14ac:dyDescent="0.3">
      <c r="A1723" t="str">
        <f t="shared" si="53"/>
        <v/>
      </c>
      <c r="F1723" t="str">
        <f>IFERROR(VLOOKUP(Table1[[#This Row],[Tên đối tượng]],'DANH MỤC ĐỐI TƯỢNG'!A:E,5,0),"")</f>
        <v/>
      </c>
      <c r="G1723" t="str">
        <f>_xlfn.IFNA(VLOOKUP(Table1[[#This Row],[Tên đối tượng]],'DANH MỤC ĐỐI TƯỢNG'!A:F,6,0),"")</f>
        <v/>
      </c>
      <c r="H1723" t="str">
        <f>_xlfn.IFNA(VLOOKUP(Table1[[#This Row],[Tên đối tượng]],'DANH MỤC ĐỐI TƯỢNG'!A:I,9,0),"")</f>
        <v/>
      </c>
      <c r="I1723" t="str">
        <f>_xlfn.IFNA(VLOOKUP(Table1[[#This Row],[Tên đối tượng]],'DANH MỤC ĐỐI TƯỢNG'!A:J,10,0),"")</f>
        <v/>
      </c>
    </row>
    <row r="1724" spans="1:9" x14ac:dyDescent="0.3">
      <c r="A1724" t="str">
        <f t="shared" si="53"/>
        <v/>
      </c>
      <c r="F1724" t="str">
        <f>IFERROR(VLOOKUP(Table1[[#This Row],[Tên đối tượng]],'DANH MỤC ĐỐI TƯỢNG'!A:E,5,0),"")</f>
        <v/>
      </c>
      <c r="G1724" t="str">
        <f>_xlfn.IFNA(VLOOKUP(Table1[[#This Row],[Tên đối tượng]],'DANH MỤC ĐỐI TƯỢNG'!A:F,6,0),"")</f>
        <v/>
      </c>
      <c r="H1724" t="str">
        <f>_xlfn.IFNA(VLOOKUP(Table1[[#This Row],[Tên đối tượng]],'DANH MỤC ĐỐI TƯỢNG'!A:I,9,0),"")</f>
        <v/>
      </c>
      <c r="I1724" t="str">
        <f>_xlfn.IFNA(VLOOKUP(Table1[[#This Row],[Tên đối tượng]],'DANH MỤC ĐỐI TƯỢNG'!A:J,10,0),"")</f>
        <v/>
      </c>
    </row>
    <row r="1725" spans="1:9" x14ac:dyDescent="0.3">
      <c r="A1725" t="str">
        <f t="shared" si="53"/>
        <v/>
      </c>
      <c r="F1725" t="str">
        <f>IFERROR(VLOOKUP(Table1[[#This Row],[Tên đối tượng]],'DANH MỤC ĐỐI TƯỢNG'!A:E,5,0),"")</f>
        <v/>
      </c>
      <c r="G1725" t="str">
        <f>_xlfn.IFNA(VLOOKUP(Table1[[#This Row],[Tên đối tượng]],'DANH MỤC ĐỐI TƯỢNG'!A:F,6,0),"")</f>
        <v/>
      </c>
      <c r="H1725" t="str">
        <f>_xlfn.IFNA(VLOOKUP(Table1[[#This Row],[Tên đối tượng]],'DANH MỤC ĐỐI TƯỢNG'!A:I,9,0),"")</f>
        <v/>
      </c>
      <c r="I1725" t="str">
        <f>_xlfn.IFNA(VLOOKUP(Table1[[#This Row],[Tên đối tượng]],'DANH MỤC ĐỐI TƯỢNG'!A:J,10,0),"")</f>
        <v/>
      </c>
    </row>
    <row r="1726" spans="1:9" x14ac:dyDescent="0.3">
      <c r="A1726" t="str">
        <f t="shared" si="53"/>
        <v/>
      </c>
      <c r="F1726" t="str">
        <f>IFERROR(VLOOKUP(Table1[[#This Row],[Tên đối tượng]],'DANH MỤC ĐỐI TƯỢNG'!A:E,5,0),"")</f>
        <v/>
      </c>
      <c r="G1726" t="str">
        <f>_xlfn.IFNA(VLOOKUP(Table1[[#This Row],[Tên đối tượng]],'DANH MỤC ĐỐI TƯỢNG'!A:F,6,0),"")</f>
        <v/>
      </c>
      <c r="H1726" t="str">
        <f>_xlfn.IFNA(VLOOKUP(Table1[[#This Row],[Tên đối tượng]],'DANH MỤC ĐỐI TƯỢNG'!A:I,9,0),"")</f>
        <v/>
      </c>
      <c r="I1726" t="str">
        <f>_xlfn.IFNA(VLOOKUP(Table1[[#This Row],[Tên đối tượng]],'DANH MỤC ĐỐI TƯỢNG'!A:J,10,0),"")</f>
        <v/>
      </c>
    </row>
    <row r="1727" spans="1:9" x14ac:dyDescent="0.3">
      <c r="A1727" t="str">
        <f t="shared" si="53"/>
        <v/>
      </c>
      <c r="F1727" t="str">
        <f>IFERROR(VLOOKUP(Table1[[#This Row],[Tên đối tượng]],'DANH MỤC ĐỐI TƯỢNG'!A:E,5,0),"")</f>
        <v/>
      </c>
      <c r="G1727" t="str">
        <f>_xlfn.IFNA(VLOOKUP(Table1[[#This Row],[Tên đối tượng]],'DANH MỤC ĐỐI TƯỢNG'!A:F,6,0),"")</f>
        <v/>
      </c>
      <c r="H1727" t="str">
        <f>_xlfn.IFNA(VLOOKUP(Table1[[#This Row],[Tên đối tượng]],'DANH MỤC ĐỐI TƯỢNG'!A:I,9,0),"")</f>
        <v/>
      </c>
      <c r="I1727" t="str">
        <f>_xlfn.IFNA(VLOOKUP(Table1[[#This Row],[Tên đối tượng]],'DANH MỤC ĐỐI TƯỢNG'!A:J,10,0),"")</f>
        <v/>
      </c>
    </row>
    <row r="1728" spans="1:9" x14ac:dyDescent="0.3">
      <c r="A1728" t="str">
        <f t="shared" ref="A1728:A1791" si="54">IF(B1728&lt;&gt;0,ROW()-3,"")</f>
        <v/>
      </c>
      <c r="F1728" t="str">
        <f>IFERROR(VLOOKUP(Table1[[#This Row],[Tên đối tượng]],'DANH MỤC ĐỐI TƯỢNG'!A:E,5,0),"")</f>
        <v/>
      </c>
      <c r="G1728" t="str">
        <f>_xlfn.IFNA(VLOOKUP(Table1[[#This Row],[Tên đối tượng]],'DANH MỤC ĐỐI TƯỢNG'!A:F,6,0),"")</f>
        <v/>
      </c>
      <c r="H1728" t="str">
        <f>_xlfn.IFNA(VLOOKUP(Table1[[#This Row],[Tên đối tượng]],'DANH MỤC ĐỐI TƯỢNG'!A:I,9,0),"")</f>
        <v/>
      </c>
      <c r="I1728" t="str">
        <f>_xlfn.IFNA(VLOOKUP(Table1[[#This Row],[Tên đối tượng]],'DANH MỤC ĐỐI TƯỢNG'!A:J,10,0),"")</f>
        <v/>
      </c>
    </row>
    <row r="1729" spans="1:9" x14ac:dyDescent="0.3">
      <c r="A1729" t="str">
        <f t="shared" si="54"/>
        <v/>
      </c>
      <c r="F1729" t="str">
        <f>IFERROR(VLOOKUP(Table1[[#This Row],[Tên đối tượng]],'DANH MỤC ĐỐI TƯỢNG'!A:E,5,0),"")</f>
        <v/>
      </c>
      <c r="G1729" t="str">
        <f>_xlfn.IFNA(VLOOKUP(Table1[[#This Row],[Tên đối tượng]],'DANH MỤC ĐỐI TƯỢNG'!A:F,6,0),"")</f>
        <v/>
      </c>
      <c r="H1729" t="str">
        <f>_xlfn.IFNA(VLOOKUP(Table1[[#This Row],[Tên đối tượng]],'DANH MỤC ĐỐI TƯỢNG'!A:I,9,0),"")</f>
        <v/>
      </c>
      <c r="I1729" t="str">
        <f>_xlfn.IFNA(VLOOKUP(Table1[[#This Row],[Tên đối tượng]],'DANH MỤC ĐỐI TƯỢNG'!A:J,10,0),"")</f>
        <v/>
      </c>
    </row>
    <row r="1730" spans="1:9" x14ac:dyDescent="0.3">
      <c r="A1730" t="str">
        <f t="shared" si="54"/>
        <v/>
      </c>
      <c r="F1730" t="str">
        <f>IFERROR(VLOOKUP(Table1[[#This Row],[Tên đối tượng]],'DANH MỤC ĐỐI TƯỢNG'!A:E,5,0),"")</f>
        <v/>
      </c>
      <c r="G1730" t="str">
        <f>_xlfn.IFNA(VLOOKUP(Table1[[#This Row],[Tên đối tượng]],'DANH MỤC ĐỐI TƯỢNG'!A:F,6,0),"")</f>
        <v/>
      </c>
      <c r="H1730" t="str">
        <f>_xlfn.IFNA(VLOOKUP(Table1[[#This Row],[Tên đối tượng]],'DANH MỤC ĐỐI TƯỢNG'!A:I,9,0),"")</f>
        <v/>
      </c>
      <c r="I1730" t="str">
        <f>_xlfn.IFNA(VLOOKUP(Table1[[#This Row],[Tên đối tượng]],'DANH MỤC ĐỐI TƯỢNG'!A:J,10,0),"")</f>
        <v/>
      </c>
    </row>
    <row r="1731" spans="1:9" x14ac:dyDescent="0.3">
      <c r="A1731" t="str">
        <f t="shared" si="54"/>
        <v/>
      </c>
      <c r="F1731" t="str">
        <f>IFERROR(VLOOKUP(Table1[[#This Row],[Tên đối tượng]],'DANH MỤC ĐỐI TƯỢNG'!A:E,5,0),"")</f>
        <v/>
      </c>
      <c r="G1731" t="str">
        <f>_xlfn.IFNA(VLOOKUP(Table1[[#This Row],[Tên đối tượng]],'DANH MỤC ĐỐI TƯỢNG'!A:F,6,0),"")</f>
        <v/>
      </c>
      <c r="H1731" t="str">
        <f>_xlfn.IFNA(VLOOKUP(Table1[[#This Row],[Tên đối tượng]],'DANH MỤC ĐỐI TƯỢNG'!A:I,9,0),"")</f>
        <v/>
      </c>
      <c r="I1731" t="str">
        <f>_xlfn.IFNA(VLOOKUP(Table1[[#This Row],[Tên đối tượng]],'DANH MỤC ĐỐI TƯỢNG'!A:J,10,0),"")</f>
        <v/>
      </c>
    </row>
    <row r="1732" spans="1:9" x14ac:dyDescent="0.3">
      <c r="A1732" t="str">
        <f t="shared" si="54"/>
        <v/>
      </c>
      <c r="F1732" t="str">
        <f>IFERROR(VLOOKUP(Table1[[#This Row],[Tên đối tượng]],'DANH MỤC ĐỐI TƯỢNG'!A:E,5,0),"")</f>
        <v/>
      </c>
      <c r="G1732" t="str">
        <f>_xlfn.IFNA(VLOOKUP(Table1[[#This Row],[Tên đối tượng]],'DANH MỤC ĐỐI TƯỢNG'!A:F,6,0),"")</f>
        <v/>
      </c>
      <c r="H1732" t="str">
        <f>_xlfn.IFNA(VLOOKUP(Table1[[#This Row],[Tên đối tượng]],'DANH MỤC ĐỐI TƯỢNG'!A:I,9,0),"")</f>
        <v/>
      </c>
      <c r="I1732" t="str">
        <f>_xlfn.IFNA(VLOOKUP(Table1[[#This Row],[Tên đối tượng]],'DANH MỤC ĐỐI TƯỢNG'!A:J,10,0),"")</f>
        <v/>
      </c>
    </row>
    <row r="1733" spans="1:9" x14ac:dyDescent="0.3">
      <c r="A1733" t="str">
        <f t="shared" si="54"/>
        <v/>
      </c>
      <c r="F1733" t="str">
        <f>IFERROR(VLOOKUP(Table1[[#This Row],[Tên đối tượng]],'DANH MỤC ĐỐI TƯỢNG'!A:E,5,0),"")</f>
        <v/>
      </c>
      <c r="G1733" t="str">
        <f>_xlfn.IFNA(VLOOKUP(Table1[[#This Row],[Tên đối tượng]],'DANH MỤC ĐỐI TƯỢNG'!A:F,6,0),"")</f>
        <v/>
      </c>
      <c r="H1733" t="str">
        <f>_xlfn.IFNA(VLOOKUP(Table1[[#This Row],[Tên đối tượng]],'DANH MỤC ĐỐI TƯỢNG'!A:I,9,0),"")</f>
        <v/>
      </c>
      <c r="I1733" t="str">
        <f>_xlfn.IFNA(VLOOKUP(Table1[[#This Row],[Tên đối tượng]],'DANH MỤC ĐỐI TƯỢNG'!A:J,10,0),"")</f>
        <v/>
      </c>
    </row>
    <row r="1734" spans="1:9" x14ac:dyDescent="0.3">
      <c r="A1734" t="str">
        <f t="shared" si="54"/>
        <v/>
      </c>
      <c r="F1734" t="str">
        <f>IFERROR(VLOOKUP(Table1[[#This Row],[Tên đối tượng]],'DANH MỤC ĐỐI TƯỢNG'!A:E,5,0),"")</f>
        <v/>
      </c>
      <c r="G1734" t="str">
        <f>_xlfn.IFNA(VLOOKUP(Table1[[#This Row],[Tên đối tượng]],'DANH MỤC ĐỐI TƯỢNG'!A:F,6,0),"")</f>
        <v/>
      </c>
      <c r="H1734" t="str">
        <f>_xlfn.IFNA(VLOOKUP(Table1[[#This Row],[Tên đối tượng]],'DANH MỤC ĐỐI TƯỢNG'!A:I,9,0),"")</f>
        <v/>
      </c>
      <c r="I1734" t="str">
        <f>_xlfn.IFNA(VLOOKUP(Table1[[#This Row],[Tên đối tượng]],'DANH MỤC ĐỐI TƯỢNG'!A:J,10,0),"")</f>
        <v/>
      </c>
    </row>
    <row r="1735" spans="1:9" x14ac:dyDescent="0.3">
      <c r="A1735" t="str">
        <f t="shared" si="54"/>
        <v/>
      </c>
      <c r="F1735" t="str">
        <f>IFERROR(VLOOKUP(Table1[[#This Row],[Tên đối tượng]],'DANH MỤC ĐỐI TƯỢNG'!A:E,5,0),"")</f>
        <v/>
      </c>
      <c r="G1735" t="str">
        <f>_xlfn.IFNA(VLOOKUP(Table1[[#This Row],[Tên đối tượng]],'DANH MỤC ĐỐI TƯỢNG'!A:F,6,0),"")</f>
        <v/>
      </c>
      <c r="H1735" t="str">
        <f>_xlfn.IFNA(VLOOKUP(Table1[[#This Row],[Tên đối tượng]],'DANH MỤC ĐỐI TƯỢNG'!A:I,9,0),"")</f>
        <v/>
      </c>
      <c r="I1735" t="str">
        <f>_xlfn.IFNA(VLOOKUP(Table1[[#This Row],[Tên đối tượng]],'DANH MỤC ĐỐI TƯỢNG'!A:J,10,0),"")</f>
        <v/>
      </c>
    </row>
    <row r="1736" spans="1:9" x14ac:dyDescent="0.3">
      <c r="A1736" t="str">
        <f t="shared" si="54"/>
        <v/>
      </c>
      <c r="F1736" t="str">
        <f>IFERROR(VLOOKUP(Table1[[#This Row],[Tên đối tượng]],'DANH MỤC ĐỐI TƯỢNG'!A:E,5,0),"")</f>
        <v/>
      </c>
      <c r="G1736" t="str">
        <f>_xlfn.IFNA(VLOOKUP(Table1[[#This Row],[Tên đối tượng]],'DANH MỤC ĐỐI TƯỢNG'!A:F,6,0),"")</f>
        <v/>
      </c>
      <c r="H1736" t="str">
        <f>_xlfn.IFNA(VLOOKUP(Table1[[#This Row],[Tên đối tượng]],'DANH MỤC ĐỐI TƯỢNG'!A:I,9,0),"")</f>
        <v/>
      </c>
      <c r="I1736" t="str">
        <f>_xlfn.IFNA(VLOOKUP(Table1[[#This Row],[Tên đối tượng]],'DANH MỤC ĐỐI TƯỢNG'!A:J,10,0),"")</f>
        <v/>
      </c>
    </row>
    <row r="1737" spans="1:9" x14ac:dyDescent="0.3">
      <c r="A1737" t="str">
        <f t="shared" si="54"/>
        <v/>
      </c>
      <c r="F1737" t="str">
        <f>IFERROR(VLOOKUP(Table1[[#This Row],[Tên đối tượng]],'DANH MỤC ĐỐI TƯỢNG'!A:E,5,0),"")</f>
        <v/>
      </c>
      <c r="G1737" t="str">
        <f>_xlfn.IFNA(VLOOKUP(Table1[[#This Row],[Tên đối tượng]],'DANH MỤC ĐỐI TƯỢNG'!A:F,6,0),"")</f>
        <v/>
      </c>
      <c r="H1737" t="str">
        <f>_xlfn.IFNA(VLOOKUP(Table1[[#This Row],[Tên đối tượng]],'DANH MỤC ĐỐI TƯỢNG'!A:I,9,0),"")</f>
        <v/>
      </c>
      <c r="I1737" t="str">
        <f>_xlfn.IFNA(VLOOKUP(Table1[[#This Row],[Tên đối tượng]],'DANH MỤC ĐỐI TƯỢNG'!A:J,10,0),"")</f>
        <v/>
      </c>
    </row>
    <row r="1738" spans="1:9" x14ac:dyDescent="0.3">
      <c r="A1738" t="str">
        <f t="shared" si="54"/>
        <v/>
      </c>
      <c r="F1738" t="str">
        <f>IFERROR(VLOOKUP(Table1[[#This Row],[Tên đối tượng]],'DANH MỤC ĐỐI TƯỢNG'!A:E,5,0),"")</f>
        <v/>
      </c>
      <c r="G1738" t="str">
        <f>_xlfn.IFNA(VLOOKUP(Table1[[#This Row],[Tên đối tượng]],'DANH MỤC ĐỐI TƯỢNG'!A:F,6,0),"")</f>
        <v/>
      </c>
      <c r="H1738" t="str">
        <f>_xlfn.IFNA(VLOOKUP(Table1[[#This Row],[Tên đối tượng]],'DANH MỤC ĐỐI TƯỢNG'!A:I,9,0),"")</f>
        <v/>
      </c>
      <c r="I1738" t="str">
        <f>_xlfn.IFNA(VLOOKUP(Table1[[#This Row],[Tên đối tượng]],'DANH MỤC ĐỐI TƯỢNG'!A:J,10,0),"")</f>
        <v/>
      </c>
    </row>
    <row r="1739" spans="1:9" x14ac:dyDescent="0.3">
      <c r="A1739" t="str">
        <f t="shared" si="54"/>
        <v/>
      </c>
      <c r="F1739" t="str">
        <f>IFERROR(VLOOKUP(Table1[[#This Row],[Tên đối tượng]],'DANH MỤC ĐỐI TƯỢNG'!A:E,5,0),"")</f>
        <v/>
      </c>
      <c r="G1739" t="str">
        <f>_xlfn.IFNA(VLOOKUP(Table1[[#This Row],[Tên đối tượng]],'DANH MỤC ĐỐI TƯỢNG'!A:F,6,0),"")</f>
        <v/>
      </c>
      <c r="H1739" t="str">
        <f>_xlfn.IFNA(VLOOKUP(Table1[[#This Row],[Tên đối tượng]],'DANH MỤC ĐỐI TƯỢNG'!A:I,9,0),"")</f>
        <v/>
      </c>
      <c r="I1739" t="str">
        <f>_xlfn.IFNA(VLOOKUP(Table1[[#This Row],[Tên đối tượng]],'DANH MỤC ĐỐI TƯỢNG'!A:J,10,0),"")</f>
        <v/>
      </c>
    </row>
    <row r="1740" spans="1:9" x14ac:dyDescent="0.3">
      <c r="A1740" t="str">
        <f t="shared" si="54"/>
        <v/>
      </c>
      <c r="F1740" t="str">
        <f>IFERROR(VLOOKUP(Table1[[#This Row],[Tên đối tượng]],'DANH MỤC ĐỐI TƯỢNG'!A:E,5,0),"")</f>
        <v/>
      </c>
      <c r="G1740" t="str">
        <f>_xlfn.IFNA(VLOOKUP(Table1[[#This Row],[Tên đối tượng]],'DANH MỤC ĐỐI TƯỢNG'!A:F,6,0),"")</f>
        <v/>
      </c>
      <c r="H1740" t="str">
        <f>_xlfn.IFNA(VLOOKUP(Table1[[#This Row],[Tên đối tượng]],'DANH MỤC ĐỐI TƯỢNG'!A:I,9,0),"")</f>
        <v/>
      </c>
      <c r="I1740" t="str">
        <f>_xlfn.IFNA(VLOOKUP(Table1[[#This Row],[Tên đối tượng]],'DANH MỤC ĐỐI TƯỢNG'!A:J,10,0),"")</f>
        <v/>
      </c>
    </row>
    <row r="1741" spans="1:9" x14ac:dyDescent="0.3">
      <c r="A1741" t="str">
        <f t="shared" si="54"/>
        <v/>
      </c>
      <c r="F1741" t="str">
        <f>IFERROR(VLOOKUP(Table1[[#This Row],[Tên đối tượng]],'DANH MỤC ĐỐI TƯỢNG'!A:E,5,0),"")</f>
        <v/>
      </c>
      <c r="G1741" t="str">
        <f>_xlfn.IFNA(VLOOKUP(Table1[[#This Row],[Tên đối tượng]],'DANH MỤC ĐỐI TƯỢNG'!A:F,6,0),"")</f>
        <v/>
      </c>
      <c r="H1741" t="str">
        <f>_xlfn.IFNA(VLOOKUP(Table1[[#This Row],[Tên đối tượng]],'DANH MỤC ĐỐI TƯỢNG'!A:I,9,0),"")</f>
        <v/>
      </c>
      <c r="I1741" t="str">
        <f>_xlfn.IFNA(VLOOKUP(Table1[[#This Row],[Tên đối tượng]],'DANH MỤC ĐỐI TƯỢNG'!A:J,10,0),"")</f>
        <v/>
      </c>
    </row>
    <row r="1742" spans="1:9" x14ac:dyDescent="0.3">
      <c r="A1742" t="str">
        <f t="shared" si="54"/>
        <v/>
      </c>
      <c r="F1742" t="str">
        <f>IFERROR(VLOOKUP(Table1[[#This Row],[Tên đối tượng]],'DANH MỤC ĐỐI TƯỢNG'!A:E,5,0),"")</f>
        <v/>
      </c>
      <c r="G1742" t="str">
        <f>_xlfn.IFNA(VLOOKUP(Table1[[#This Row],[Tên đối tượng]],'DANH MỤC ĐỐI TƯỢNG'!A:F,6,0),"")</f>
        <v/>
      </c>
      <c r="H1742" t="str">
        <f>_xlfn.IFNA(VLOOKUP(Table1[[#This Row],[Tên đối tượng]],'DANH MỤC ĐỐI TƯỢNG'!A:I,9,0),"")</f>
        <v/>
      </c>
      <c r="I1742" t="str">
        <f>_xlfn.IFNA(VLOOKUP(Table1[[#This Row],[Tên đối tượng]],'DANH MỤC ĐỐI TƯỢNG'!A:J,10,0),"")</f>
        <v/>
      </c>
    </row>
    <row r="1743" spans="1:9" x14ac:dyDescent="0.3">
      <c r="A1743" t="str">
        <f t="shared" si="54"/>
        <v/>
      </c>
      <c r="F1743" t="str">
        <f>IFERROR(VLOOKUP(Table1[[#This Row],[Tên đối tượng]],'DANH MỤC ĐỐI TƯỢNG'!A:E,5,0),"")</f>
        <v/>
      </c>
      <c r="G1743" t="str">
        <f>_xlfn.IFNA(VLOOKUP(Table1[[#This Row],[Tên đối tượng]],'DANH MỤC ĐỐI TƯỢNG'!A:F,6,0),"")</f>
        <v/>
      </c>
      <c r="H1743" t="str">
        <f>_xlfn.IFNA(VLOOKUP(Table1[[#This Row],[Tên đối tượng]],'DANH MỤC ĐỐI TƯỢNG'!A:I,9,0),"")</f>
        <v/>
      </c>
      <c r="I1743" t="str">
        <f>_xlfn.IFNA(VLOOKUP(Table1[[#This Row],[Tên đối tượng]],'DANH MỤC ĐỐI TƯỢNG'!A:J,10,0),"")</f>
        <v/>
      </c>
    </row>
    <row r="1744" spans="1:9" x14ac:dyDescent="0.3">
      <c r="A1744" t="str">
        <f t="shared" si="54"/>
        <v/>
      </c>
      <c r="F1744" t="str">
        <f>IFERROR(VLOOKUP(Table1[[#This Row],[Tên đối tượng]],'DANH MỤC ĐỐI TƯỢNG'!A:E,5,0),"")</f>
        <v/>
      </c>
      <c r="G1744" t="str">
        <f>_xlfn.IFNA(VLOOKUP(Table1[[#This Row],[Tên đối tượng]],'DANH MỤC ĐỐI TƯỢNG'!A:F,6,0),"")</f>
        <v/>
      </c>
      <c r="H1744" t="str">
        <f>_xlfn.IFNA(VLOOKUP(Table1[[#This Row],[Tên đối tượng]],'DANH MỤC ĐỐI TƯỢNG'!A:I,9,0),"")</f>
        <v/>
      </c>
      <c r="I1744" t="str">
        <f>_xlfn.IFNA(VLOOKUP(Table1[[#This Row],[Tên đối tượng]],'DANH MỤC ĐỐI TƯỢNG'!A:J,10,0),"")</f>
        <v/>
      </c>
    </row>
    <row r="1745" spans="1:9" x14ac:dyDescent="0.3">
      <c r="A1745" t="str">
        <f t="shared" si="54"/>
        <v/>
      </c>
      <c r="F1745" t="str">
        <f>IFERROR(VLOOKUP(Table1[[#This Row],[Tên đối tượng]],'DANH MỤC ĐỐI TƯỢNG'!A:E,5,0),"")</f>
        <v/>
      </c>
      <c r="G1745" t="str">
        <f>_xlfn.IFNA(VLOOKUP(Table1[[#This Row],[Tên đối tượng]],'DANH MỤC ĐỐI TƯỢNG'!A:F,6,0),"")</f>
        <v/>
      </c>
      <c r="H1745" t="str">
        <f>_xlfn.IFNA(VLOOKUP(Table1[[#This Row],[Tên đối tượng]],'DANH MỤC ĐỐI TƯỢNG'!A:I,9,0),"")</f>
        <v/>
      </c>
      <c r="I1745" t="str">
        <f>_xlfn.IFNA(VLOOKUP(Table1[[#This Row],[Tên đối tượng]],'DANH MỤC ĐỐI TƯỢNG'!A:J,10,0),"")</f>
        <v/>
      </c>
    </row>
    <row r="1746" spans="1:9" x14ac:dyDescent="0.3">
      <c r="A1746" t="str">
        <f t="shared" si="54"/>
        <v/>
      </c>
      <c r="F1746" t="str">
        <f>IFERROR(VLOOKUP(Table1[[#This Row],[Tên đối tượng]],'DANH MỤC ĐỐI TƯỢNG'!A:E,5,0),"")</f>
        <v/>
      </c>
      <c r="G1746" t="str">
        <f>_xlfn.IFNA(VLOOKUP(Table1[[#This Row],[Tên đối tượng]],'DANH MỤC ĐỐI TƯỢNG'!A:F,6,0),"")</f>
        <v/>
      </c>
      <c r="H1746" t="str">
        <f>_xlfn.IFNA(VLOOKUP(Table1[[#This Row],[Tên đối tượng]],'DANH MỤC ĐỐI TƯỢNG'!A:I,9,0),"")</f>
        <v/>
      </c>
      <c r="I1746" t="str">
        <f>_xlfn.IFNA(VLOOKUP(Table1[[#This Row],[Tên đối tượng]],'DANH MỤC ĐỐI TƯỢNG'!A:J,10,0),"")</f>
        <v/>
      </c>
    </row>
    <row r="1747" spans="1:9" x14ac:dyDescent="0.3">
      <c r="A1747" t="str">
        <f t="shared" si="54"/>
        <v/>
      </c>
      <c r="F1747" t="str">
        <f>IFERROR(VLOOKUP(Table1[[#This Row],[Tên đối tượng]],'DANH MỤC ĐỐI TƯỢNG'!A:E,5,0),"")</f>
        <v/>
      </c>
      <c r="G1747" t="str">
        <f>_xlfn.IFNA(VLOOKUP(Table1[[#This Row],[Tên đối tượng]],'DANH MỤC ĐỐI TƯỢNG'!A:F,6,0),"")</f>
        <v/>
      </c>
      <c r="H1747" t="str">
        <f>_xlfn.IFNA(VLOOKUP(Table1[[#This Row],[Tên đối tượng]],'DANH MỤC ĐỐI TƯỢNG'!A:I,9,0),"")</f>
        <v/>
      </c>
      <c r="I1747" t="str">
        <f>_xlfn.IFNA(VLOOKUP(Table1[[#This Row],[Tên đối tượng]],'DANH MỤC ĐỐI TƯỢNG'!A:J,10,0),"")</f>
        <v/>
      </c>
    </row>
    <row r="1748" spans="1:9" x14ac:dyDescent="0.3">
      <c r="A1748" t="str">
        <f t="shared" si="54"/>
        <v/>
      </c>
      <c r="F1748" t="str">
        <f>IFERROR(VLOOKUP(Table1[[#This Row],[Tên đối tượng]],'DANH MỤC ĐỐI TƯỢNG'!A:E,5,0),"")</f>
        <v/>
      </c>
      <c r="G1748" t="str">
        <f>_xlfn.IFNA(VLOOKUP(Table1[[#This Row],[Tên đối tượng]],'DANH MỤC ĐỐI TƯỢNG'!A:F,6,0),"")</f>
        <v/>
      </c>
      <c r="H1748" t="str">
        <f>_xlfn.IFNA(VLOOKUP(Table1[[#This Row],[Tên đối tượng]],'DANH MỤC ĐỐI TƯỢNG'!A:I,9,0),"")</f>
        <v/>
      </c>
      <c r="I1748" t="str">
        <f>_xlfn.IFNA(VLOOKUP(Table1[[#This Row],[Tên đối tượng]],'DANH MỤC ĐỐI TƯỢNG'!A:J,10,0),"")</f>
        <v/>
      </c>
    </row>
    <row r="1749" spans="1:9" x14ac:dyDescent="0.3">
      <c r="A1749" t="str">
        <f t="shared" si="54"/>
        <v/>
      </c>
      <c r="F1749" t="str">
        <f>IFERROR(VLOOKUP(Table1[[#This Row],[Tên đối tượng]],'DANH MỤC ĐỐI TƯỢNG'!A:E,5,0),"")</f>
        <v/>
      </c>
      <c r="G1749" t="str">
        <f>_xlfn.IFNA(VLOOKUP(Table1[[#This Row],[Tên đối tượng]],'DANH MỤC ĐỐI TƯỢNG'!A:F,6,0),"")</f>
        <v/>
      </c>
      <c r="H1749" t="str">
        <f>_xlfn.IFNA(VLOOKUP(Table1[[#This Row],[Tên đối tượng]],'DANH MỤC ĐỐI TƯỢNG'!A:I,9,0),"")</f>
        <v/>
      </c>
      <c r="I1749" t="str">
        <f>_xlfn.IFNA(VLOOKUP(Table1[[#This Row],[Tên đối tượng]],'DANH MỤC ĐỐI TƯỢNG'!A:J,10,0),"")</f>
        <v/>
      </c>
    </row>
    <row r="1750" spans="1:9" x14ac:dyDescent="0.3">
      <c r="A1750" t="str">
        <f t="shared" si="54"/>
        <v/>
      </c>
      <c r="F1750" t="str">
        <f>IFERROR(VLOOKUP(Table1[[#This Row],[Tên đối tượng]],'DANH MỤC ĐỐI TƯỢNG'!A:E,5,0),"")</f>
        <v/>
      </c>
      <c r="G1750" t="str">
        <f>_xlfn.IFNA(VLOOKUP(Table1[[#This Row],[Tên đối tượng]],'DANH MỤC ĐỐI TƯỢNG'!A:F,6,0),"")</f>
        <v/>
      </c>
      <c r="H1750" t="str">
        <f>_xlfn.IFNA(VLOOKUP(Table1[[#This Row],[Tên đối tượng]],'DANH MỤC ĐỐI TƯỢNG'!A:I,9,0),"")</f>
        <v/>
      </c>
      <c r="I1750" t="str">
        <f>_xlfn.IFNA(VLOOKUP(Table1[[#This Row],[Tên đối tượng]],'DANH MỤC ĐỐI TƯỢNG'!A:J,10,0),"")</f>
        <v/>
      </c>
    </row>
    <row r="1751" spans="1:9" x14ac:dyDescent="0.3">
      <c r="A1751" t="str">
        <f t="shared" si="54"/>
        <v/>
      </c>
      <c r="F1751" t="str">
        <f>IFERROR(VLOOKUP(Table1[[#This Row],[Tên đối tượng]],'DANH MỤC ĐỐI TƯỢNG'!A:E,5,0),"")</f>
        <v/>
      </c>
      <c r="G1751" t="str">
        <f>_xlfn.IFNA(VLOOKUP(Table1[[#This Row],[Tên đối tượng]],'DANH MỤC ĐỐI TƯỢNG'!A:F,6,0),"")</f>
        <v/>
      </c>
      <c r="H1751" t="str">
        <f>_xlfn.IFNA(VLOOKUP(Table1[[#This Row],[Tên đối tượng]],'DANH MỤC ĐỐI TƯỢNG'!A:I,9,0),"")</f>
        <v/>
      </c>
      <c r="I1751" t="str">
        <f>_xlfn.IFNA(VLOOKUP(Table1[[#This Row],[Tên đối tượng]],'DANH MỤC ĐỐI TƯỢNG'!A:J,10,0),"")</f>
        <v/>
      </c>
    </row>
    <row r="1752" spans="1:9" x14ac:dyDescent="0.3">
      <c r="A1752" t="str">
        <f t="shared" si="54"/>
        <v/>
      </c>
      <c r="F1752" t="str">
        <f>IFERROR(VLOOKUP(Table1[[#This Row],[Tên đối tượng]],'DANH MỤC ĐỐI TƯỢNG'!A:E,5,0),"")</f>
        <v/>
      </c>
      <c r="G1752" t="str">
        <f>_xlfn.IFNA(VLOOKUP(Table1[[#This Row],[Tên đối tượng]],'DANH MỤC ĐỐI TƯỢNG'!A:F,6,0),"")</f>
        <v/>
      </c>
      <c r="H1752" t="str">
        <f>_xlfn.IFNA(VLOOKUP(Table1[[#This Row],[Tên đối tượng]],'DANH MỤC ĐỐI TƯỢNG'!A:I,9,0),"")</f>
        <v/>
      </c>
      <c r="I1752" t="str">
        <f>_xlfn.IFNA(VLOOKUP(Table1[[#This Row],[Tên đối tượng]],'DANH MỤC ĐỐI TƯỢNG'!A:J,10,0),"")</f>
        <v/>
      </c>
    </row>
    <row r="1753" spans="1:9" x14ac:dyDescent="0.3">
      <c r="A1753" t="str">
        <f t="shared" si="54"/>
        <v/>
      </c>
      <c r="F1753" t="str">
        <f>IFERROR(VLOOKUP(Table1[[#This Row],[Tên đối tượng]],'DANH MỤC ĐỐI TƯỢNG'!A:E,5,0),"")</f>
        <v/>
      </c>
      <c r="G1753" t="str">
        <f>_xlfn.IFNA(VLOOKUP(Table1[[#This Row],[Tên đối tượng]],'DANH MỤC ĐỐI TƯỢNG'!A:F,6,0),"")</f>
        <v/>
      </c>
      <c r="H1753" t="str">
        <f>_xlfn.IFNA(VLOOKUP(Table1[[#This Row],[Tên đối tượng]],'DANH MỤC ĐỐI TƯỢNG'!A:I,9,0),"")</f>
        <v/>
      </c>
      <c r="I1753" t="str">
        <f>_xlfn.IFNA(VLOOKUP(Table1[[#This Row],[Tên đối tượng]],'DANH MỤC ĐỐI TƯỢNG'!A:J,10,0),"")</f>
        <v/>
      </c>
    </row>
    <row r="1754" spans="1:9" x14ac:dyDescent="0.3">
      <c r="A1754" t="str">
        <f t="shared" si="54"/>
        <v/>
      </c>
      <c r="F1754" t="str">
        <f>IFERROR(VLOOKUP(Table1[[#This Row],[Tên đối tượng]],'DANH MỤC ĐỐI TƯỢNG'!A:E,5,0),"")</f>
        <v/>
      </c>
      <c r="G1754" t="str">
        <f>_xlfn.IFNA(VLOOKUP(Table1[[#This Row],[Tên đối tượng]],'DANH MỤC ĐỐI TƯỢNG'!A:F,6,0),"")</f>
        <v/>
      </c>
      <c r="H1754" t="str">
        <f>_xlfn.IFNA(VLOOKUP(Table1[[#This Row],[Tên đối tượng]],'DANH MỤC ĐỐI TƯỢNG'!A:I,9,0),"")</f>
        <v/>
      </c>
      <c r="I1754" t="str">
        <f>_xlfn.IFNA(VLOOKUP(Table1[[#This Row],[Tên đối tượng]],'DANH MỤC ĐỐI TƯỢNG'!A:J,10,0),"")</f>
        <v/>
      </c>
    </row>
    <row r="1755" spans="1:9" x14ac:dyDescent="0.3">
      <c r="A1755" t="str">
        <f t="shared" si="54"/>
        <v/>
      </c>
      <c r="F1755" t="str">
        <f>IFERROR(VLOOKUP(Table1[[#This Row],[Tên đối tượng]],'DANH MỤC ĐỐI TƯỢNG'!A:E,5,0),"")</f>
        <v/>
      </c>
      <c r="G1755" t="str">
        <f>_xlfn.IFNA(VLOOKUP(Table1[[#This Row],[Tên đối tượng]],'DANH MỤC ĐỐI TƯỢNG'!A:F,6,0),"")</f>
        <v/>
      </c>
      <c r="H1755" t="str">
        <f>_xlfn.IFNA(VLOOKUP(Table1[[#This Row],[Tên đối tượng]],'DANH MỤC ĐỐI TƯỢNG'!A:I,9,0),"")</f>
        <v/>
      </c>
      <c r="I1755" t="str">
        <f>_xlfn.IFNA(VLOOKUP(Table1[[#This Row],[Tên đối tượng]],'DANH MỤC ĐỐI TƯỢNG'!A:J,10,0),"")</f>
        <v/>
      </c>
    </row>
    <row r="1756" spans="1:9" x14ac:dyDescent="0.3">
      <c r="A1756" t="str">
        <f t="shared" si="54"/>
        <v/>
      </c>
      <c r="F1756" t="str">
        <f>IFERROR(VLOOKUP(Table1[[#This Row],[Tên đối tượng]],'DANH MỤC ĐỐI TƯỢNG'!A:E,5,0),"")</f>
        <v/>
      </c>
      <c r="G1756" t="str">
        <f>_xlfn.IFNA(VLOOKUP(Table1[[#This Row],[Tên đối tượng]],'DANH MỤC ĐỐI TƯỢNG'!A:F,6,0),"")</f>
        <v/>
      </c>
      <c r="H1756" t="str">
        <f>_xlfn.IFNA(VLOOKUP(Table1[[#This Row],[Tên đối tượng]],'DANH MỤC ĐỐI TƯỢNG'!A:I,9,0),"")</f>
        <v/>
      </c>
      <c r="I1756" t="str">
        <f>_xlfn.IFNA(VLOOKUP(Table1[[#This Row],[Tên đối tượng]],'DANH MỤC ĐỐI TƯỢNG'!A:J,10,0),"")</f>
        <v/>
      </c>
    </row>
    <row r="1757" spans="1:9" x14ac:dyDescent="0.3">
      <c r="A1757" t="str">
        <f t="shared" si="54"/>
        <v/>
      </c>
      <c r="F1757" t="str">
        <f>IFERROR(VLOOKUP(Table1[[#This Row],[Tên đối tượng]],'DANH MỤC ĐỐI TƯỢNG'!A:E,5,0),"")</f>
        <v/>
      </c>
      <c r="G1757" t="str">
        <f>_xlfn.IFNA(VLOOKUP(Table1[[#This Row],[Tên đối tượng]],'DANH MỤC ĐỐI TƯỢNG'!A:F,6,0),"")</f>
        <v/>
      </c>
      <c r="H1757" t="str">
        <f>_xlfn.IFNA(VLOOKUP(Table1[[#This Row],[Tên đối tượng]],'DANH MỤC ĐỐI TƯỢNG'!A:I,9,0),"")</f>
        <v/>
      </c>
      <c r="I1757" t="str">
        <f>_xlfn.IFNA(VLOOKUP(Table1[[#This Row],[Tên đối tượng]],'DANH MỤC ĐỐI TƯỢNG'!A:J,10,0),"")</f>
        <v/>
      </c>
    </row>
    <row r="1758" spans="1:9" x14ac:dyDescent="0.3">
      <c r="A1758" t="str">
        <f t="shared" si="54"/>
        <v/>
      </c>
      <c r="F1758" t="str">
        <f>IFERROR(VLOOKUP(Table1[[#This Row],[Tên đối tượng]],'DANH MỤC ĐỐI TƯỢNG'!A:E,5,0),"")</f>
        <v/>
      </c>
      <c r="G1758" t="str">
        <f>_xlfn.IFNA(VLOOKUP(Table1[[#This Row],[Tên đối tượng]],'DANH MỤC ĐỐI TƯỢNG'!A:F,6,0),"")</f>
        <v/>
      </c>
      <c r="H1758" t="str">
        <f>_xlfn.IFNA(VLOOKUP(Table1[[#This Row],[Tên đối tượng]],'DANH MỤC ĐỐI TƯỢNG'!A:I,9,0),"")</f>
        <v/>
      </c>
      <c r="I1758" t="str">
        <f>_xlfn.IFNA(VLOOKUP(Table1[[#This Row],[Tên đối tượng]],'DANH MỤC ĐỐI TƯỢNG'!A:J,10,0),"")</f>
        <v/>
      </c>
    </row>
    <row r="1759" spans="1:9" x14ac:dyDescent="0.3">
      <c r="A1759" t="str">
        <f t="shared" si="54"/>
        <v/>
      </c>
      <c r="F1759" t="str">
        <f>IFERROR(VLOOKUP(Table1[[#This Row],[Tên đối tượng]],'DANH MỤC ĐỐI TƯỢNG'!A:E,5,0),"")</f>
        <v/>
      </c>
      <c r="G1759" t="str">
        <f>_xlfn.IFNA(VLOOKUP(Table1[[#This Row],[Tên đối tượng]],'DANH MỤC ĐỐI TƯỢNG'!A:F,6,0),"")</f>
        <v/>
      </c>
      <c r="H1759" t="str">
        <f>_xlfn.IFNA(VLOOKUP(Table1[[#This Row],[Tên đối tượng]],'DANH MỤC ĐỐI TƯỢNG'!A:I,9,0),"")</f>
        <v/>
      </c>
      <c r="I1759" t="str">
        <f>_xlfn.IFNA(VLOOKUP(Table1[[#This Row],[Tên đối tượng]],'DANH MỤC ĐỐI TƯỢNG'!A:J,10,0),"")</f>
        <v/>
      </c>
    </row>
    <row r="1760" spans="1:9" x14ac:dyDescent="0.3">
      <c r="A1760" t="str">
        <f t="shared" si="54"/>
        <v/>
      </c>
      <c r="F1760" t="str">
        <f>IFERROR(VLOOKUP(Table1[[#This Row],[Tên đối tượng]],'DANH MỤC ĐỐI TƯỢNG'!A:E,5,0),"")</f>
        <v/>
      </c>
      <c r="G1760" t="str">
        <f>_xlfn.IFNA(VLOOKUP(Table1[[#This Row],[Tên đối tượng]],'DANH MỤC ĐỐI TƯỢNG'!A:F,6,0),"")</f>
        <v/>
      </c>
      <c r="H1760" t="str">
        <f>_xlfn.IFNA(VLOOKUP(Table1[[#This Row],[Tên đối tượng]],'DANH MỤC ĐỐI TƯỢNG'!A:I,9,0),"")</f>
        <v/>
      </c>
      <c r="I1760" t="str">
        <f>_xlfn.IFNA(VLOOKUP(Table1[[#This Row],[Tên đối tượng]],'DANH MỤC ĐỐI TƯỢNG'!A:J,10,0),"")</f>
        <v/>
      </c>
    </row>
    <row r="1761" spans="1:9" x14ac:dyDescent="0.3">
      <c r="A1761" t="str">
        <f t="shared" si="54"/>
        <v/>
      </c>
      <c r="F1761" t="str">
        <f>IFERROR(VLOOKUP(Table1[[#This Row],[Tên đối tượng]],'DANH MỤC ĐỐI TƯỢNG'!A:E,5,0),"")</f>
        <v/>
      </c>
      <c r="G1761" t="str">
        <f>_xlfn.IFNA(VLOOKUP(Table1[[#This Row],[Tên đối tượng]],'DANH MỤC ĐỐI TƯỢNG'!A:F,6,0),"")</f>
        <v/>
      </c>
      <c r="H1761" t="str">
        <f>_xlfn.IFNA(VLOOKUP(Table1[[#This Row],[Tên đối tượng]],'DANH MỤC ĐỐI TƯỢNG'!A:I,9,0),"")</f>
        <v/>
      </c>
      <c r="I1761" t="str">
        <f>_xlfn.IFNA(VLOOKUP(Table1[[#This Row],[Tên đối tượng]],'DANH MỤC ĐỐI TƯỢNG'!A:J,10,0),"")</f>
        <v/>
      </c>
    </row>
    <row r="1762" spans="1:9" x14ac:dyDescent="0.3">
      <c r="A1762" t="str">
        <f t="shared" si="54"/>
        <v/>
      </c>
      <c r="F1762" t="str">
        <f>IFERROR(VLOOKUP(Table1[[#This Row],[Tên đối tượng]],'DANH MỤC ĐỐI TƯỢNG'!A:E,5,0),"")</f>
        <v/>
      </c>
      <c r="G1762" t="str">
        <f>_xlfn.IFNA(VLOOKUP(Table1[[#This Row],[Tên đối tượng]],'DANH MỤC ĐỐI TƯỢNG'!A:F,6,0),"")</f>
        <v/>
      </c>
      <c r="H1762" t="str">
        <f>_xlfn.IFNA(VLOOKUP(Table1[[#This Row],[Tên đối tượng]],'DANH MỤC ĐỐI TƯỢNG'!A:I,9,0),"")</f>
        <v/>
      </c>
      <c r="I1762" t="str">
        <f>_xlfn.IFNA(VLOOKUP(Table1[[#This Row],[Tên đối tượng]],'DANH MỤC ĐỐI TƯỢNG'!A:J,10,0),"")</f>
        <v/>
      </c>
    </row>
    <row r="1763" spans="1:9" x14ac:dyDescent="0.3">
      <c r="A1763" t="str">
        <f t="shared" si="54"/>
        <v/>
      </c>
      <c r="F1763" t="str">
        <f>IFERROR(VLOOKUP(Table1[[#This Row],[Tên đối tượng]],'DANH MỤC ĐỐI TƯỢNG'!A:E,5,0),"")</f>
        <v/>
      </c>
      <c r="G1763" t="str">
        <f>_xlfn.IFNA(VLOOKUP(Table1[[#This Row],[Tên đối tượng]],'DANH MỤC ĐỐI TƯỢNG'!A:F,6,0),"")</f>
        <v/>
      </c>
      <c r="H1763" t="str">
        <f>_xlfn.IFNA(VLOOKUP(Table1[[#This Row],[Tên đối tượng]],'DANH MỤC ĐỐI TƯỢNG'!A:I,9,0),"")</f>
        <v/>
      </c>
      <c r="I1763" t="str">
        <f>_xlfn.IFNA(VLOOKUP(Table1[[#This Row],[Tên đối tượng]],'DANH MỤC ĐỐI TƯỢNG'!A:J,10,0),"")</f>
        <v/>
      </c>
    </row>
    <row r="1764" spans="1:9" x14ac:dyDescent="0.3">
      <c r="A1764" t="str">
        <f t="shared" si="54"/>
        <v/>
      </c>
      <c r="F1764" t="str">
        <f>IFERROR(VLOOKUP(Table1[[#This Row],[Tên đối tượng]],'DANH MỤC ĐỐI TƯỢNG'!A:E,5,0),"")</f>
        <v/>
      </c>
      <c r="G1764" t="str">
        <f>_xlfn.IFNA(VLOOKUP(Table1[[#This Row],[Tên đối tượng]],'DANH MỤC ĐỐI TƯỢNG'!A:F,6,0),"")</f>
        <v/>
      </c>
      <c r="H1764" t="str">
        <f>_xlfn.IFNA(VLOOKUP(Table1[[#This Row],[Tên đối tượng]],'DANH MỤC ĐỐI TƯỢNG'!A:I,9,0),"")</f>
        <v/>
      </c>
      <c r="I1764" t="str">
        <f>_xlfn.IFNA(VLOOKUP(Table1[[#This Row],[Tên đối tượng]],'DANH MỤC ĐỐI TƯỢNG'!A:J,10,0),"")</f>
        <v/>
      </c>
    </row>
    <row r="1765" spans="1:9" x14ac:dyDescent="0.3">
      <c r="A1765" t="str">
        <f t="shared" si="54"/>
        <v/>
      </c>
      <c r="F1765" t="str">
        <f>IFERROR(VLOOKUP(Table1[[#This Row],[Tên đối tượng]],'DANH MỤC ĐỐI TƯỢNG'!A:E,5,0),"")</f>
        <v/>
      </c>
      <c r="G1765" t="str">
        <f>_xlfn.IFNA(VLOOKUP(Table1[[#This Row],[Tên đối tượng]],'DANH MỤC ĐỐI TƯỢNG'!A:F,6,0),"")</f>
        <v/>
      </c>
      <c r="H1765" t="str">
        <f>_xlfn.IFNA(VLOOKUP(Table1[[#This Row],[Tên đối tượng]],'DANH MỤC ĐỐI TƯỢNG'!A:I,9,0),"")</f>
        <v/>
      </c>
      <c r="I1765" t="str">
        <f>_xlfn.IFNA(VLOOKUP(Table1[[#This Row],[Tên đối tượng]],'DANH MỤC ĐỐI TƯỢNG'!A:J,10,0),"")</f>
        <v/>
      </c>
    </row>
    <row r="1766" spans="1:9" x14ac:dyDescent="0.3">
      <c r="A1766" t="str">
        <f t="shared" si="54"/>
        <v/>
      </c>
      <c r="F1766" t="str">
        <f>IFERROR(VLOOKUP(Table1[[#This Row],[Tên đối tượng]],'DANH MỤC ĐỐI TƯỢNG'!A:E,5,0),"")</f>
        <v/>
      </c>
      <c r="G1766" t="str">
        <f>_xlfn.IFNA(VLOOKUP(Table1[[#This Row],[Tên đối tượng]],'DANH MỤC ĐỐI TƯỢNG'!A:F,6,0),"")</f>
        <v/>
      </c>
      <c r="H1766" t="str">
        <f>_xlfn.IFNA(VLOOKUP(Table1[[#This Row],[Tên đối tượng]],'DANH MỤC ĐỐI TƯỢNG'!A:I,9,0),"")</f>
        <v/>
      </c>
      <c r="I1766" t="str">
        <f>_xlfn.IFNA(VLOOKUP(Table1[[#This Row],[Tên đối tượng]],'DANH MỤC ĐỐI TƯỢNG'!A:J,10,0),"")</f>
        <v/>
      </c>
    </row>
    <row r="1767" spans="1:9" x14ac:dyDescent="0.3">
      <c r="A1767" t="str">
        <f t="shared" si="54"/>
        <v/>
      </c>
      <c r="F1767" t="str">
        <f>IFERROR(VLOOKUP(Table1[[#This Row],[Tên đối tượng]],'DANH MỤC ĐỐI TƯỢNG'!A:E,5,0),"")</f>
        <v/>
      </c>
      <c r="G1767" t="str">
        <f>_xlfn.IFNA(VLOOKUP(Table1[[#This Row],[Tên đối tượng]],'DANH MỤC ĐỐI TƯỢNG'!A:F,6,0),"")</f>
        <v/>
      </c>
      <c r="H1767" t="str">
        <f>_xlfn.IFNA(VLOOKUP(Table1[[#This Row],[Tên đối tượng]],'DANH MỤC ĐỐI TƯỢNG'!A:I,9,0),"")</f>
        <v/>
      </c>
      <c r="I1767" t="str">
        <f>_xlfn.IFNA(VLOOKUP(Table1[[#This Row],[Tên đối tượng]],'DANH MỤC ĐỐI TƯỢNG'!A:J,10,0),"")</f>
        <v/>
      </c>
    </row>
    <row r="1768" spans="1:9" x14ac:dyDescent="0.3">
      <c r="A1768" t="str">
        <f t="shared" si="54"/>
        <v/>
      </c>
      <c r="F1768" t="str">
        <f>IFERROR(VLOOKUP(Table1[[#This Row],[Tên đối tượng]],'DANH MỤC ĐỐI TƯỢNG'!A:E,5,0),"")</f>
        <v/>
      </c>
      <c r="G1768" t="str">
        <f>_xlfn.IFNA(VLOOKUP(Table1[[#This Row],[Tên đối tượng]],'DANH MỤC ĐỐI TƯỢNG'!A:F,6,0),"")</f>
        <v/>
      </c>
      <c r="H1768" t="str">
        <f>_xlfn.IFNA(VLOOKUP(Table1[[#This Row],[Tên đối tượng]],'DANH MỤC ĐỐI TƯỢNG'!A:I,9,0),"")</f>
        <v/>
      </c>
      <c r="I1768" t="str">
        <f>_xlfn.IFNA(VLOOKUP(Table1[[#This Row],[Tên đối tượng]],'DANH MỤC ĐỐI TƯỢNG'!A:J,10,0),"")</f>
        <v/>
      </c>
    </row>
    <row r="1769" spans="1:9" x14ac:dyDescent="0.3">
      <c r="A1769" t="str">
        <f t="shared" si="54"/>
        <v/>
      </c>
      <c r="F1769" t="str">
        <f>IFERROR(VLOOKUP(Table1[[#This Row],[Tên đối tượng]],'DANH MỤC ĐỐI TƯỢNG'!A:E,5,0),"")</f>
        <v/>
      </c>
      <c r="G1769" t="str">
        <f>_xlfn.IFNA(VLOOKUP(Table1[[#This Row],[Tên đối tượng]],'DANH MỤC ĐỐI TƯỢNG'!A:F,6,0),"")</f>
        <v/>
      </c>
      <c r="H1769" t="str">
        <f>_xlfn.IFNA(VLOOKUP(Table1[[#This Row],[Tên đối tượng]],'DANH MỤC ĐỐI TƯỢNG'!A:I,9,0),"")</f>
        <v/>
      </c>
      <c r="I1769" t="str">
        <f>_xlfn.IFNA(VLOOKUP(Table1[[#This Row],[Tên đối tượng]],'DANH MỤC ĐỐI TƯỢNG'!A:J,10,0),"")</f>
        <v/>
      </c>
    </row>
    <row r="1770" spans="1:9" x14ac:dyDescent="0.3">
      <c r="A1770" t="str">
        <f t="shared" si="54"/>
        <v/>
      </c>
      <c r="F1770" t="str">
        <f>IFERROR(VLOOKUP(Table1[[#This Row],[Tên đối tượng]],'DANH MỤC ĐỐI TƯỢNG'!A:E,5,0),"")</f>
        <v/>
      </c>
      <c r="G1770" t="str">
        <f>_xlfn.IFNA(VLOOKUP(Table1[[#This Row],[Tên đối tượng]],'DANH MỤC ĐỐI TƯỢNG'!A:F,6,0),"")</f>
        <v/>
      </c>
      <c r="H1770" t="str">
        <f>_xlfn.IFNA(VLOOKUP(Table1[[#This Row],[Tên đối tượng]],'DANH MỤC ĐỐI TƯỢNG'!A:I,9,0),"")</f>
        <v/>
      </c>
      <c r="I1770" t="str">
        <f>_xlfn.IFNA(VLOOKUP(Table1[[#This Row],[Tên đối tượng]],'DANH MỤC ĐỐI TƯỢNG'!A:J,10,0),"")</f>
        <v/>
      </c>
    </row>
    <row r="1771" spans="1:9" x14ac:dyDescent="0.3">
      <c r="A1771" t="str">
        <f t="shared" si="54"/>
        <v/>
      </c>
      <c r="F1771" t="str">
        <f>IFERROR(VLOOKUP(Table1[[#This Row],[Tên đối tượng]],'DANH MỤC ĐỐI TƯỢNG'!A:E,5,0),"")</f>
        <v/>
      </c>
      <c r="G1771" t="str">
        <f>_xlfn.IFNA(VLOOKUP(Table1[[#This Row],[Tên đối tượng]],'DANH MỤC ĐỐI TƯỢNG'!A:F,6,0),"")</f>
        <v/>
      </c>
      <c r="H1771" t="str">
        <f>_xlfn.IFNA(VLOOKUP(Table1[[#This Row],[Tên đối tượng]],'DANH MỤC ĐỐI TƯỢNG'!A:I,9,0),"")</f>
        <v/>
      </c>
      <c r="I1771" t="str">
        <f>_xlfn.IFNA(VLOOKUP(Table1[[#This Row],[Tên đối tượng]],'DANH MỤC ĐỐI TƯỢNG'!A:J,10,0),"")</f>
        <v/>
      </c>
    </row>
    <row r="1772" spans="1:9" x14ac:dyDescent="0.3">
      <c r="A1772" t="str">
        <f t="shared" si="54"/>
        <v/>
      </c>
      <c r="F1772" t="str">
        <f>IFERROR(VLOOKUP(Table1[[#This Row],[Tên đối tượng]],'DANH MỤC ĐỐI TƯỢNG'!A:E,5,0),"")</f>
        <v/>
      </c>
      <c r="G1772" t="str">
        <f>_xlfn.IFNA(VLOOKUP(Table1[[#This Row],[Tên đối tượng]],'DANH MỤC ĐỐI TƯỢNG'!A:F,6,0),"")</f>
        <v/>
      </c>
      <c r="H1772" t="str">
        <f>_xlfn.IFNA(VLOOKUP(Table1[[#This Row],[Tên đối tượng]],'DANH MỤC ĐỐI TƯỢNG'!A:I,9,0),"")</f>
        <v/>
      </c>
      <c r="I1772" t="str">
        <f>_xlfn.IFNA(VLOOKUP(Table1[[#This Row],[Tên đối tượng]],'DANH MỤC ĐỐI TƯỢNG'!A:J,10,0),"")</f>
        <v/>
      </c>
    </row>
    <row r="1773" spans="1:9" x14ac:dyDescent="0.3">
      <c r="A1773" t="str">
        <f t="shared" si="54"/>
        <v/>
      </c>
      <c r="F1773" t="str">
        <f>IFERROR(VLOOKUP(Table1[[#This Row],[Tên đối tượng]],'DANH MỤC ĐỐI TƯỢNG'!A:E,5,0),"")</f>
        <v/>
      </c>
      <c r="G1773" t="str">
        <f>_xlfn.IFNA(VLOOKUP(Table1[[#This Row],[Tên đối tượng]],'DANH MỤC ĐỐI TƯỢNG'!A:F,6,0),"")</f>
        <v/>
      </c>
      <c r="H1773" t="str">
        <f>_xlfn.IFNA(VLOOKUP(Table1[[#This Row],[Tên đối tượng]],'DANH MỤC ĐỐI TƯỢNG'!A:I,9,0),"")</f>
        <v/>
      </c>
      <c r="I1773" t="str">
        <f>_xlfn.IFNA(VLOOKUP(Table1[[#This Row],[Tên đối tượng]],'DANH MỤC ĐỐI TƯỢNG'!A:J,10,0),"")</f>
        <v/>
      </c>
    </row>
    <row r="1774" spans="1:9" x14ac:dyDescent="0.3">
      <c r="A1774" t="str">
        <f t="shared" si="54"/>
        <v/>
      </c>
      <c r="F1774" t="str">
        <f>IFERROR(VLOOKUP(Table1[[#This Row],[Tên đối tượng]],'DANH MỤC ĐỐI TƯỢNG'!A:E,5,0),"")</f>
        <v/>
      </c>
      <c r="G1774" t="str">
        <f>_xlfn.IFNA(VLOOKUP(Table1[[#This Row],[Tên đối tượng]],'DANH MỤC ĐỐI TƯỢNG'!A:F,6,0),"")</f>
        <v/>
      </c>
      <c r="H1774" t="str">
        <f>_xlfn.IFNA(VLOOKUP(Table1[[#This Row],[Tên đối tượng]],'DANH MỤC ĐỐI TƯỢNG'!A:I,9,0),"")</f>
        <v/>
      </c>
      <c r="I1774" t="str">
        <f>_xlfn.IFNA(VLOOKUP(Table1[[#This Row],[Tên đối tượng]],'DANH MỤC ĐỐI TƯỢNG'!A:J,10,0),"")</f>
        <v/>
      </c>
    </row>
    <row r="1775" spans="1:9" x14ac:dyDescent="0.3">
      <c r="A1775" t="str">
        <f t="shared" si="54"/>
        <v/>
      </c>
      <c r="F1775" t="str">
        <f>IFERROR(VLOOKUP(Table1[[#This Row],[Tên đối tượng]],'DANH MỤC ĐỐI TƯỢNG'!A:E,5,0),"")</f>
        <v/>
      </c>
      <c r="G1775" t="str">
        <f>_xlfn.IFNA(VLOOKUP(Table1[[#This Row],[Tên đối tượng]],'DANH MỤC ĐỐI TƯỢNG'!A:F,6,0),"")</f>
        <v/>
      </c>
      <c r="H1775" t="str">
        <f>_xlfn.IFNA(VLOOKUP(Table1[[#This Row],[Tên đối tượng]],'DANH MỤC ĐỐI TƯỢNG'!A:I,9,0),"")</f>
        <v/>
      </c>
      <c r="I1775" t="str">
        <f>_xlfn.IFNA(VLOOKUP(Table1[[#This Row],[Tên đối tượng]],'DANH MỤC ĐỐI TƯỢNG'!A:J,10,0),"")</f>
        <v/>
      </c>
    </row>
    <row r="1776" spans="1:9" x14ac:dyDescent="0.3">
      <c r="A1776" t="str">
        <f t="shared" si="54"/>
        <v/>
      </c>
      <c r="F1776" t="str">
        <f>IFERROR(VLOOKUP(Table1[[#This Row],[Tên đối tượng]],'DANH MỤC ĐỐI TƯỢNG'!A:E,5,0),"")</f>
        <v/>
      </c>
      <c r="G1776" t="str">
        <f>_xlfn.IFNA(VLOOKUP(Table1[[#This Row],[Tên đối tượng]],'DANH MỤC ĐỐI TƯỢNG'!A:F,6,0),"")</f>
        <v/>
      </c>
      <c r="H1776" t="str">
        <f>_xlfn.IFNA(VLOOKUP(Table1[[#This Row],[Tên đối tượng]],'DANH MỤC ĐỐI TƯỢNG'!A:I,9,0),"")</f>
        <v/>
      </c>
      <c r="I1776" t="str">
        <f>_xlfn.IFNA(VLOOKUP(Table1[[#This Row],[Tên đối tượng]],'DANH MỤC ĐỐI TƯỢNG'!A:J,10,0),"")</f>
        <v/>
      </c>
    </row>
    <row r="1777" spans="1:9" x14ac:dyDescent="0.3">
      <c r="A1777" t="str">
        <f t="shared" si="54"/>
        <v/>
      </c>
      <c r="F1777" t="str">
        <f>IFERROR(VLOOKUP(Table1[[#This Row],[Tên đối tượng]],'DANH MỤC ĐỐI TƯỢNG'!A:E,5,0),"")</f>
        <v/>
      </c>
      <c r="G1777" t="str">
        <f>_xlfn.IFNA(VLOOKUP(Table1[[#This Row],[Tên đối tượng]],'DANH MỤC ĐỐI TƯỢNG'!A:F,6,0),"")</f>
        <v/>
      </c>
      <c r="H1777" t="str">
        <f>_xlfn.IFNA(VLOOKUP(Table1[[#This Row],[Tên đối tượng]],'DANH MỤC ĐỐI TƯỢNG'!A:I,9,0),"")</f>
        <v/>
      </c>
      <c r="I1777" t="str">
        <f>_xlfn.IFNA(VLOOKUP(Table1[[#This Row],[Tên đối tượng]],'DANH MỤC ĐỐI TƯỢNG'!A:J,10,0),"")</f>
        <v/>
      </c>
    </row>
    <row r="1778" spans="1:9" x14ac:dyDescent="0.3">
      <c r="A1778" t="str">
        <f t="shared" si="54"/>
        <v/>
      </c>
      <c r="F1778" t="str">
        <f>IFERROR(VLOOKUP(Table1[[#This Row],[Tên đối tượng]],'DANH MỤC ĐỐI TƯỢNG'!A:E,5,0),"")</f>
        <v/>
      </c>
      <c r="G1778" t="str">
        <f>_xlfn.IFNA(VLOOKUP(Table1[[#This Row],[Tên đối tượng]],'DANH MỤC ĐỐI TƯỢNG'!A:F,6,0),"")</f>
        <v/>
      </c>
      <c r="H1778" t="str">
        <f>_xlfn.IFNA(VLOOKUP(Table1[[#This Row],[Tên đối tượng]],'DANH MỤC ĐỐI TƯỢNG'!A:I,9,0),"")</f>
        <v/>
      </c>
      <c r="I1778" t="str">
        <f>_xlfn.IFNA(VLOOKUP(Table1[[#This Row],[Tên đối tượng]],'DANH MỤC ĐỐI TƯỢNG'!A:J,10,0),"")</f>
        <v/>
      </c>
    </row>
    <row r="1779" spans="1:9" x14ac:dyDescent="0.3">
      <c r="A1779" t="str">
        <f t="shared" si="54"/>
        <v/>
      </c>
      <c r="F1779" t="str">
        <f>IFERROR(VLOOKUP(Table1[[#This Row],[Tên đối tượng]],'DANH MỤC ĐỐI TƯỢNG'!A:E,5,0),"")</f>
        <v/>
      </c>
      <c r="G1779" t="str">
        <f>_xlfn.IFNA(VLOOKUP(Table1[[#This Row],[Tên đối tượng]],'DANH MỤC ĐỐI TƯỢNG'!A:F,6,0),"")</f>
        <v/>
      </c>
      <c r="H1779" t="str">
        <f>_xlfn.IFNA(VLOOKUP(Table1[[#This Row],[Tên đối tượng]],'DANH MỤC ĐỐI TƯỢNG'!A:I,9,0),"")</f>
        <v/>
      </c>
      <c r="I1779" t="str">
        <f>_xlfn.IFNA(VLOOKUP(Table1[[#This Row],[Tên đối tượng]],'DANH MỤC ĐỐI TƯỢNG'!A:J,10,0),"")</f>
        <v/>
      </c>
    </row>
    <row r="1780" spans="1:9" x14ac:dyDescent="0.3">
      <c r="A1780" t="str">
        <f t="shared" si="54"/>
        <v/>
      </c>
      <c r="F1780" t="str">
        <f>IFERROR(VLOOKUP(Table1[[#This Row],[Tên đối tượng]],'DANH MỤC ĐỐI TƯỢNG'!A:E,5,0),"")</f>
        <v/>
      </c>
      <c r="G1780" t="str">
        <f>_xlfn.IFNA(VLOOKUP(Table1[[#This Row],[Tên đối tượng]],'DANH MỤC ĐỐI TƯỢNG'!A:F,6,0),"")</f>
        <v/>
      </c>
      <c r="H1780" t="str">
        <f>_xlfn.IFNA(VLOOKUP(Table1[[#This Row],[Tên đối tượng]],'DANH MỤC ĐỐI TƯỢNG'!A:I,9,0),"")</f>
        <v/>
      </c>
      <c r="I1780" t="str">
        <f>_xlfn.IFNA(VLOOKUP(Table1[[#This Row],[Tên đối tượng]],'DANH MỤC ĐỐI TƯỢNG'!A:J,10,0),"")</f>
        <v/>
      </c>
    </row>
    <row r="1781" spans="1:9" x14ac:dyDescent="0.3">
      <c r="A1781" t="str">
        <f t="shared" si="54"/>
        <v/>
      </c>
      <c r="F1781" t="str">
        <f>IFERROR(VLOOKUP(Table1[[#This Row],[Tên đối tượng]],'DANH MỤC ĐỐI TƯỢNG'!A:E,5,0),"")</f>
        <v/>
      </c>
      <c r="G1781" t="str">
        <f>_xlfn.IFNA(VLOOKUP(Table1[[#This Row],[Tên đối tượng]],'DANH MỤC ĐỐI TƯỢNG'!A:F,6,0),"")</f>
        <v/>
      </c>
      <c r="H1781" t="str">
        <f>_xlfn.IFNA(VLOOKUP(Table1[[#This Row],[Tên đối tượng]],'DANH MỤC ĐỐI TƯỢNG'!A:I,9,0),"")</f>
        <v/>
      </c>
      <c r="I1781" t="str">
        <f>_xlfn.IFNA(VLOOKUP(Table1[[#This Row],[Tên đối tượng]],'DANH MỤC ĐỐI TƯỢNG'!A:J,10,0),"")</f>
        <v/>
      </c>
    </row>
    <row r="1782" spans="1:9" x14ac:dyDescent="0.3">
      <c r="A1782" t="str">
        <f t="shared" si="54"/>
        <v/>
      </c>
      <c r="F1782" t="str">
        <f>IFERROR(VLOOKUP(Table1[[#This Row],[Tên đối tượng]],'DANH MỤC ĐỐI TƯỢNG'!A:E,5,0),"")</f>
        <v/>
      </c>
      <c r="G1782" t="str">
        <f>_xlfn.IFNA(VLOOKUP(Table1[[#This Row],[Tên đối tượng]],'DANH MỤC ĐỐI TƯỢNG'!A:F,6,0),"")</f>
        <v/>
      </c>
      <c r="H1782" t="str">
        <f>_xlfn.IFNA(VLOOKUP(Table1[[#This Row],[Tên đối tượng]],'DANH MỤC ĐỐI TƯỢNG'!A:I,9,0),"")</f>
        <v/>
      </c>
      <c r="I1782" t="str">
        <f>_xlfn.IFNA(VLOOKUP(Table1[[#This Row],[Tên đối tượng]],'DANH MỤC ĐỐI TƯỢNG'!A:J,10,0),"")</f>
        <v/>
      </c>
    </row>
    <row r="1783" spans="1:9" x14ac:dyDescent="0.3">
      <c r="A1783" t="str">
        <f t="shared" si="54"/>
        <v/>
      </c>
      <c r="F1783" t="str">
        <f>IFERROR(VLOOKUP(Table1[[#This Row],[Tên đối tượng]],'DANH MỤC ĐỐI TƯỢNG'!A:E,5,0),"")</f>
        <v/>
      </c>
      <c r="G1783" t="str">
        <f>_xlfn.IFNA(VLOOKUP(Table1[[#This Row],[Tên đối tượng]],'DANH MỤC ĐỐI TƯỢNG'!A:F,6,0),"")</f>
        <v/>
      </c>
      <c r="H1783" t="str">
        <f>_xlfn.IFNA(VLOOKUP(Table1[[#This Row],[Tên đối tượng]],'DANH MỤC ĐỐI TƯỢNG'!A:I,9,0),"")</f>
        <v/>
      </c>
      <c r="I1783" t="str">
        <f>_xlfn.IFNA(VLOOKUP(Table1[[#This Row],[Tên đối tượng]],'DANH MỤC ĐỐI TƯỢNG'!A:J,10,0),"")</f>
        <v/>
      </c>
    </row>
    <row r="1784" spans="1:9" x14ac:dyDescent="0.3">
      <c r="A1784" t="str">
        <f t="shared" si="54"/>
        <v/>
      </c>
      <c r="F1784" t="str">
        <f>IFERROR(VLOOKUP(Table1[[#This Row],[Tên đối tượng]],'DANH MỤC ĐỐI TƯỢNG'!A:E,5,0),"")</f>
        <v/>
      </c>
      <c r="G1784" t="str">
        <f>_xlfn.IFNA(VLOOKUP(Table1[[#This Row],[Tên đối tượng]],'DANH MỤC ĐỐI TƯỢNG'!A:F,6,0),"")</f>
        <v/>
      </c>
      <c r="H1784" t="str">
        <f>_xlfn.IFNA(VLOOKUP(Table1[[#This Row],[Tên đối tượng]],'DANH MỤC ĐỐI TƯỢNG'!A:I,9,0),"")</f>
        <v/>
      </c>
      <c r="I1784" t="str">
        <f>_xlfn.IFNA(VLOOKUP(Table1[[#This Row],[Tên đối tượng]],'DANH MỤC ĐỐI TƯỢNG'!A:J,10,0),"")</f>
        <v/>
      </c>
    </row>
    <row r="1785" spans="1:9" x14ac:dyDescent="0.3">
      <c r="A1785" t="str">
        <f t="shared" si="54"/>
        <v/>
      </c>
      <c r="F1785" t="str">
        <f>IFERROR(VLOOKUP(Table1[[#This Row],[Tên đối tượng]],'DANH MỤC ĐỐI TƯỢNG'!A:E,5,0),"")</f>
        <v/>
      </c>
      <c r="G1785" t="str">
        <f>_xlfn.IFNA(VLOOKUP(Table1[[#This Row],[Tên đối tượng]],'DANH MỤC ĐỐI TƯỢNG'!A:F,6,0),"")</f>
        <v/>
      </c>
      <c r="H1785" t="str">
        <f>_xlfn.IFNA(VLOOKUP(Table1[[#This Row],[Tên đối tượng]],'DANH MỤC ĐỐI TƯỢNG'!A:I,9,0),"")</f>
        <v/>
      </c>
      <c r="I1785" t="str">
        <f>_xlfn.IFNA(VLOOKUP(Table1[[#This Row],[Tên đối tượng]],'DANH MỤC ĐỐI TƯỢNG'!A:J,10,0),"")</f>
        <v/>
      </c>
    </row>
    <row r="1786" spans="1:9" x14ac:dyDescent="0.3">
      <c r="A1786" t="str">
        <f t="shared" si="54"/>
        <v/>
      </c>
      <c r="F1786" t="str">
        <f>IFERROR(VLOOKUP(Table1[[#This Row],[Tên đối tượng]],'DANH MỤC ĐỐI TƯỢNG'!A:E,5,0),"")</f>
        <v/>
      </c>
      <c r="G1786" t="str">
        <f>_xlfn.IFNA(VLOOKUP(Table1[[#This Row],[Tên đối tượng]],'DANH MỤC ĐỐI TƯỢNG'!A:F,6,0),"")</f>
        <v/>
      </c>
      <c r="H1786" t="str">
        <f>_xlfn.IFNA(VLOOKUP(Table1[[#This Row],[Tên đối tượng]],'DANH MỤC ĐỐI TƯỢNG'!A:I,9,0),"")</f>
        <v/>
      </c>
      <c r="I1786" t="str">
        <f>_xlfn.IFNA(VLOOKUP(Table1[[#This Row],[Tên đối tượng]],'DANH MỤC ĐỐI TƯỢNG'!A:J,10,0),"")</f>
        <v/>
      </c>
    </row>
    <row r="1787" spans="1:9" x14ac:dyDescent="0.3">
      <c r="A1787" t="str">
        <f t="shared" si="54"/>
        <v/>
      </c>
      <c r="F1787" t="str">
        <f>IFERROR(VLOOKUP(Table1[[#This Row],[Tên đối tượng]],'DANH MỤC ĐỐI TƯỢNG'!A:E,5,0),"")</f>
        <v/>
      </c>
      <c r="G1787" t="str">
        <f>_xlfn.IFNA(VLOOKUP(Table1[[#This Row],[Tên đối tượng]],'DANH MỤC ĐỐI TƯỢNG'!A:F,6,0),"")</f>
        <v/>
      </c>
      <c r="H1787" t="str">
        <f>_xlfn.IFNA(VLOOKUP(Table1[[#This Row],[Tên đối tượng]],'DANH MỤC ĐỐI TƯỢNG'!A:I,9,0),"")</f>
        <v/>
      </c>
      <c r="I1787" t="str">
        <f>_xlfn.IFNA(VLOOKUP(Table1[[#This Row],[Tên đối tượng]],'DANH MỤC ĐỐI TƯỢNG'!A:J,10,0),"")</f>
        <v/>
      </c>
    </row>
    <row r="1788" spans="1:9" x14ac:dyDescent="0.3">
      <c r="A1788" t="str">
        <f t="shared" si="54"/>
        <v/>
      </c>
      <c r="F1788" t="str">
        <f>IFERROR(VLOOKUP(Table1[[#This Row],[Tên đối tượng]],'DANH MỤC ĐỐI TƯỢNG'!A:E,5,0),"")</f>
        <v/>
      </c>
      <c r="G1788" t="str">
        <f>_xlfn.IFNA(VLOOKUP(Table1[[#This Row],[Tên đối tượng]],'DANH MỤC ĐỐI TƯỢNG'!A:F,6,0),"")</f>
        <v/>
      </c>
      <c r="H1788" t="str">
        <f>_xlfn.IFNA(VLOOKUP(Table1[[#This Row],[Tên đối tượng]],'DANH MỤC ĐỐI TƯỢNG'!A:I,9,0),"")</f>
        <v/>
      </c>
      <c r="I1788" t="str">
        <f>_xlfn.IFNA(VLOOKUP(Table1[[#This Row],[Tên đối tượng]],'DANH MỤC ĐỐI TƯỢNG'!A:J,10,0),"")</f>
        <v/>
      </c>
    </row>
    <row r="1789" spans="1:9" x14ac:dyDescent="0.3">
      <c r="A1789" t="str">
        <f t="shared" si="54"/>
        <v/>
      </c>
      <c r="F1789" t="str">
        <f>IFERROR(VLOOKUP(Table1[[#This Row],[Tên đối tượng]],'DANH MỤC ĐỐI TƯỢNG'!A:E,5,0),"")</f>
        <v/>
      </c>
      <c r="G1789" t="str">
        <f>_xlfn.IFNA(VLOOKUP(Table1[[#This Row],[Tên đối tượng]],'DANH MỤC ĐỐI TƯỢNG'!A:F,6,0),"")</f>
        <v/>
      </c>
      <c r="H1789" t="str">
        <f>_xlfn.IFNA(VLOOKUP(Table1[[#This Row],[Tên đối tượng]],'DANH MỤC ĐỐI TƯỢNG'!A:I,9,0),"")</f>
        <v/>
      </c>
      <c r="I1789" t="str">
        <f>_xlfn.IFNA(VLOOKUP(Table1[[#This Row],[Tên đối tượng]],'DANH MỤC ĐỐI TƯỢNG'!A:J,10,0),"")</f>
        <v/>
      </c>
    </row>
    <row r="1790" spans="1:9" x14ac:dyDescent="0.3">
      <c r="A1790" t="str">
        <f t="shared" si="54"/>
        <v/>
      </c>
      <c r="F1790" t="str">
        <f>IFERROR(VLOOKUP(Table1[[#This Row],[Tên đối tượng]],'DANH MỤC ĐỐI TƯỢNG'!A:E,5,0),"")</f>
        <v/>
      </c>
      <c r="G1790" t="str">
        <f>_xlfn.IFNA(VLOOKUP(Table1[[#This Row],[Tên đối tượng]],'DANH MỤC ĐỐI TƯỢNG'!A:F,6,0),"")</f>
        <v/>
      </c>
      <c r="H1790" t="str">
        <f>_xlfn.IFNA(VLOOKUP(Table1[[#This Row],[Tên đối tượng]],'DANH MỤC ĐỐI TƯỢNG'!A:I,9,0),"")</f>
        <v/>
      </c>
      <c r="I1790" t="str">
        <f>_xlfn.IFNA(VLOOKUP(Table1[[#This Row],[Tên đối tượng]],'DANH MỤC ĐỐI TƯỢNG'!A:J,10,0),"")</f>
        <v/>
      </c>
    </row>
    <row r="1791" spans="1:9" x14ac:dyDescent="0.3">
      <c r="A1791" t="str">
        <f t="shared" si="54"/>
        <v/>
      </c>
      <c r="F1791" t="str">
        <f>IFERROR(VLOOKUP(Table1[[#This Row],[Tên đối tượng]],'DANH MỤC ĐỐI TƯỢNG'!A:E,5,0),"")</f>
        <v/>
      </c>
      <c r="G1791" t="str">
        <f>_xlfn.IFNA(VLOOKUP(Table1[[#This Row],[Tên đối tượng]],'DANH MỤC ĐỐI TƯỢNG'!A:F,6,0),"")</f>
        <v/>
      </c>
      <c r="H1791" t="str">
        <f>_xlfn.IFNA(VLOOKUP(Table1[[#This Row],[Tên đối tượng]],'DANH MỤC ĐỐI TƯỢNG'!A:I,9,0),"")</f>
        <v/>
      </c>
      <c r="I1791" t="str">
        <f>_xlfn.IFNA(VLOOKUP(Table1[[#This Row],[Tên đối tượng]],'DANH MỤC ĐỐI TƯỢNG'!A:J,10,0),"")</f>
        <v/>
      </c>
    </row>
    <row r="1792" spans="1:9" x14ac:dyDescent="0.3">
      <c r="A1792" t="str">
        <f t="shared" ref="A1792:A1855" si="55">IF(B1792&lt;&gt;0,ROW()-3,"")</f>
        <v/>
      </c>
      <c r="F1792" t="str">
        <f>IFERROR(VLOOKUP(Table1[[#This Row],[Tên đối tượng]],'DANH MỤC ĐỐI TƯỢNG'!A:E,5,0),"")</f>
        <v/>
      </c>
      <c r="G1792" t="str">
        <f>_xlfn.IFNA(VLOOKUP(Table1[[#This Row],[Tên đối tượng]],'DANH MỤC ĐỐI TƯỢNG'!A:F,6,0),"")</f>
        <v/>
      </c>
      <c r="H1792" t="str">
        <f>_xlfn.IFNA(VLOOKUP(Table1[[#This Row],[Tên đối tượng]],'DANH MỤC ĐỐI TƯỢNG'!A:I,9,0),"")</f>
        <v/>
      </c>
      <c r="I1792" t="str">
        <f>_xlfn.IFNA(VLOOKUP(Table1[[#This Row],[Tên đối tượng]],'DANH MỤC ĐỐI TƯỢNG'!A:J,10,0),"")</f>
        <v/>
      </c>
    </row>
    <row r="1793" spans="1:9" x14ac:dyDescent="0.3">
      <c r="A1793" t="str">
        <f t="shared" si="55"/>
        <v/>
      </c>
      <c r="F1793" t="str">
        <f>IFERROR(VLOOKUP(Table1[[#This Row],[Tên đối tượng]],'DANH MỤC ĐỐI TƯỢNG'!A:E,5,0),"")</f>
        <v/>
      </c>
      <c r="G1793" t="str">
        <f>_xlfn.IFNA(VLOOKUP(Table1[[#This Row],[Tên đối tượng]],'DANH MỤC ĐỐI TƯỢNG'!A:F,6,0),"")</f>
        <v/>
      </c>
      <c r="H1793" t="str">
        <f>_xlfn.IFNA(VLOOKUP(Table1[[#This Row],[Tên đối tượng]],'DANH MỤC ĐỐI TƯỢNG'!A:I,9,0),"")</f>
        <v/>
      </c>
      <c r="I1793" t="str">
        <f>_xlfn.IFNA(VLOOKUP(Table1[[#This Row],[Tên đối tượng]],'DANH MỤC ĐỐI TƯỢNG'!A:J,10,0),"")</f>
        <v/>
      </c>
    </row>
    <row r="1794" spans="1:9" x14ac:dyDescent="0.3">
      <c r="A1794" t="str">
        <f t="shared" si="55"/>
        <v/>
      </c>
      <c r="F1794" t="str">
        <f>IFERROR(VLOOKUP(Table1[[#This Row],[Tên đối tượng]],'DANH MỤC ĐỐI TƯỢNG'!A:E,5,0),"")</f>
        <v/>
      </c>
      <c r="G1794" t="str">
        <f>_xlfn.IFNA(VLOOKUP(Table1[[#This Row],[Tên đối tượng]],'DANH MỤC ĐỐI TƯỢNG'!A:F,6,0),"")</f>
        <v/>
      </c>
      <c r="H1794" t="str">
        <f>_xlfn.IFNA(VLOOKUP(Table1[[#This Row],[Tên đối tượng]],'DANH MỤC ĐỐI TƯỢNG'!A:I,9,0),"")</f>
        <v/>
      </c>
      <c r="I1794" t="str">
        <f>_xlfn.IFNA(VLOOKUP(Table1[[#This Row],[Tên đối tượng]],'DANH MỤC ĐỐI TƯỢNG'!A:J,10,0),"")</f>
        <v/>
      </c>
    </row>
    <row r="1795" spans="1:9" x14ac:dyDescent="0.3">
      <c r="A1795" t="str">
        <f t="shared" si="55"/>
        <v/>
      </c>
      <c r="F1795" t="str">
        <f>IFERROR(VLOOKUP(Table1[[#This Row],[Tên đối tượng]],'DANH MỤC ĐỐI TƯỢNG'!A:E,5,0),"")</f>
        <v/>
      </c>
      <c r="G1795" t="str">
        <f>_xlfn.IFNA(VLOOKUP(Table1[[#This Row],[Tên đối tượng]],'DANH MỤC ĐỐI TƯỢNG'!A:F,6,0),"")</f>
        <v/>
      </c>
      <c r="H1795" t="str">
        <f>_xlfn.IFNA(VLOOKUP(Table1[[#This Row],[Tên đối tượng]],'DANH MỤC ĐỐI TƯỢNG'!A:I,9,0),"")</f>
        <v/>
      </c>
      <c r="I1795" t="str">
        <f>_xlfn.IFNA(VLOOKUP(Table1[[#This Row],[Tên đối tượng]],'DANH MỤC ĐỐI TƯỢNG'!A:J,10,0),"")</f>
        <v/>
      </c>
    </row>
    <row r="1796" spans="1:9" x14ac:dyDescent="0.3">
      <c r="A1796" t="str">
        <f t="shared" si="55"/>
        <v/>
      </c>
      <c r="F1796" t="str">
        <f>IFERROR(VLOOKUP(Table1[[#This Row],[Tên đối tượng]],'DANH MỤC ĐỐI TƯỢNG'!A:E,5,0),"")</f>
        <v/>
      </c>
      <c r="G1796" t="str">
        <f>_xlfn.IFNA(VLOOKUP(Table1[[#This Row],[Tên đối tượng]],'DANH MỤC ĐỐI TƯỢNG'!A:F,6,0),"")</f>
        <v/>
      </c>
      <c r="H1796" t="str">
        <f>_xlfn.IFNA(VLOOKUP(Table1[[#This Row],[Tên đối tượng]],'DANH MỤC ĐỐI TƯỢNG'!A:I,9,0),"")</f>
        <v/>
      </c>
      <c r="I1796" t="str">
        <f>_xlfn.IFNA(VLOOKUP(Table1[[#This Row],[Tên đối tượng]],'DANH MỤC ĐỐI TƯỢNG'!A:J,10,0),"")</f>
        <v/>
      </c>
    </row>
    <row r="1797" spans="1:9" x14ac:dyDescent="0.3">
      <c r="A1797" t="str">
        <f t="shared" si="55"/>
        <v/>
      </c>
      <c r="F1797" t="str">
        <f>IFERROR(VLOOKUP(Table1[[#This Row],[Tên đối tượng]],'DANH MỤC ĐỐI TƯỢNG'!A:E,5,0),"")</f>
        <v/>
      </c>
      <c r="G1797" t="str">
        <f>_xlfn.IFNA(VLOOKUP(Table1[[#This Row],[Tên đối tượng]],'DANH MỤC ĐỐI TƯỢNG'!A:F,6,0),"")</f>
        <v/>
      </c>
      <c r="H1797" t="str">
        <f>_xlfn.IFNA(VLOOKUP(Table1[[#This Row],[Tên đối tượng]],'DANH MỤC ĐỐI TƯỢNG'!A:I,9,0),"")</f>
        <v/>
      </c>
      <c r="I1797" t="str">
        <f>_xlfn.IFNA(VLOOKUP(Table1[[#This Row],[Tên đối tượng]],'DANH MỤC ĐỐI TƯỢNG'!A:J,10,0),"")</f>
        <v/>
      </c>
    </row>
    <row r="1798" spans="1:9" x14ac:dyDescent="0.3">
      <c r="A1798" t="str">
        <f t="shared" si="55"/>
        <v/>
      </c>
      <c r="F1798" t="str">
        <f>IFERROR(VLOOKUP(Table1[[#This Row],[Tên đối tượng]],'DANH MỤC ĐỐI TƯỢNG'!A:E,5,0),"")</f>
        <v/>
      </c>
      <c r="G1798" t="str">
        <f>_xlfn.IFNA(VLOOKUP(Table1[[#This Row],[Tên đối tượng]],'DANH MỤC ĐỐI TƯỢNG'!A:F,6,0),"")</f>
        <v/>
      </c>
      <c r="H1798" t="str">
        <f>_xlfn.IFNA(VLOOKUP(Table1[[#This Row],[Tên đối tượng]],'DANH MỤC ĐỐI TƯỢNG'!A:I,9,0),"")</f>
        <v/>
      </c>
      <c r="I1798" t="str">
        <f>_xlfn.IFNA(VLOOKUP(Table1[[#This Row],[Tên đối tượng]],'DANH MỤC ĐỐI TƯỢNG'!A:J,10,0),"")</f>
        <v/>
      </c>
    </row>
    <row r="1799" spans="1:9" x14ac:dyDescent="0.3">
      <c r="A1799" t="str">
        <f t="shared" si="55"/>
        <v/>
      </c>
      <c r="F1799" t="str">
        <f>IFERROR(VLOOKUP(Table1[[#This Row],[Tên đối tượng]],'DANH MỤC ĐỐI TƯỢNG'!A:E,5,0),"")</f>
        <v/>
      </c>
      <c r="G1799" t="str">
        <f>_xlfn.IFNA(VLOOKUP(Table1[[#This Row],[Tên đối tượng]],'DANH MỤC ĐỐI TƯỢNG'!A:F,6,0),"")</f>
        <v/>
      </c>
      <c r="H1799" t="str">
        <f>_xlfn.IFNA(VLOOKUP(Table1[[#This Row],[Tên đối tượng]],'DANH MỤC ĐỐI TƯỢNG'!A:I,9,0),"")</f>
        <v/>
      </c>
      <c r="I1799" t="str">
        <f>_xlfn.IFNA(VLOOKUP(Table1[[#This Row],[Tên đối tượng]],'DANH MỤC ĐỐI TƯỢNG'!A:J,10,0),"")</f>
        <v/>
      </c>
    </row>
    <row r="1800" spans="1:9" x14ac:dyDescent="0.3">
      <c r="A1800" t="str">
        <f t="shared" si="55"/>
        <v/>
      </c>
      <c r="F1800" t="str">
        <f>IFERROR(VLOOKUP(Table1[[#This Row],[Tên đối tượng]],'DANH MỤC ĐỐI TƯỢNG'!A:E,5,0),"")</f>
        <v/>
      </c>
      <c r="G1800" t="str">
        <f>_xlfn.IFNA(VLOOKUP(Table1[[#This Row],[Tên đối tượng]],'DANH MỤC ĐỐI TƯỢNG'!A:F,6,0),"")</f>
        <v/>
      </c>
      <c r="H1800" t="str">
        <f>_xlfn.IFNA(VLOOKUP(Table1[[#This Row],[Tên đối tượng]],'DANH MỤC ĐỐI TƯỢNG'!A:I,9,0),"")</f>
        <v/>
      </c>
      <c r="I1800" t="str">
        <f>_xlfn.IFNA(VLOOKUP(Table1[[#This Row],[Tên đối tượng]],'DANH MỤC ĐỐI TƯỢNG'!A:J,10,0),"")</f>
        <v/>
      </c>
    </row>
    <row r="1801" spans="1:9" x14ac:dyDescent="0.3">
      <c r="A1801" t="str">
        <f t="shared" si="55"/>
        <v/>
      </c>
      <c r="F1801" t="str">
        <f>IFERROR(VLOOKUP(Table1[[#This Row],[Tên đối tượng]],'DANH MỤC ĐỐI TƯỢNG'!A:E,5,0),"")</f>
        <v/>
      </c>
      <c r="G1801" t="str">
        <f>_xlfn.IFNA(VLOOKUP(Table1[[#This Row],[Tên đối tượng]],'DANH MỤC ĐỐI TƯỢNG'!A:F,6,0),"")</f>
        <v/>
      </c>
      <c r="H1801" t="str">
        <f>_xlfn.IFNA(VLOOKUP(Table1[[#This Row],[Tên đối tượng]],'DANH MỤC ĐỐI TƯỢNG'!A:I,9,0),"")</f>
        <v/>
      </c>
      <c r="I1801" t="str">
        <f>_xlfn.IFNA(VLOOKUP(Table1[[#This Row],[Tên đối tượng]],'DANH MỤC ĐỐI TƯỢNG'!A:J,10,0),"")</f>
        <v/>
      </c>
    </row>
    <row r="1802" spans="1:9" x14ac:dyDescent="0.3">
      <c r="A1802" t="str">
        <f t="shared" si="55"/>
        <v/>
      </c>
      <c r="F1802" t="str">
        <f>IFERROR(VLOOKUP(Table1[[#This Row],[Tên đối tượng]],'DANH MỤC ĐỐI TƯỢNG'!A:E,5,0),"")</f>
        <v/>
      </c>
      <c r="G1802" t="str">
        <f>_xlfn.IFNA(VLOOKUP(Table1[[#This Row],[Tên đối tượng]],'DANH MỤC ĐỐI TƯỢNG'!A:F,6,0),"")</f>
        <v/>
      </c>
      <c r="H1802" t="str">
        <f>_xlfn.IFNA(VLOOKUP(Table1[[#This Row],[Tên đối tượng]],'DANH MỤC ĐỐI TƯỢNG'!A:I,9,0),"")</f>
        <v/>
      </c>
      <c r="I1802" t="str">
        <f>_xlfn.IFNA(VLOOKUP(Table1[[#This Row],[Tên đối tượng]],'DANH MỤC ĐỐI TƯỢNG'!A:J,10,0),"")</f>
        <v/>
      </c>
    </row>
    <row r="1803" spans="1:9" x14ac:dyDescent="0.3">
      <c r="A1803" t="str">
        <f t="shared" si="55"/>
        <v/>
      </c>
      <c r="F1803" t="str">
        <f>IFERROR(VLOOKUP(Table1[[#This Row],[Tên đối tượng]],'DANH MỤC ĐỐI TƯỢNG'!A:E,5,0),"")</f>
        <v/>
      </c>
      <c r="G1803" t="str">
        <f>_xlfn.IFNA(VLOOKUP(Table1[[#This Row],[Tên đối tượng]],'DANH MỤC ĐỐI TƯỢNG'!A:F,6,0),"")</f>
        <v/>
      </c>
      <c r="H1803" t="str">
        <f>_xlfn.IFNA(VLOOKUP(Table1[[#This Row],[Tên đối tượng]],'DANH MỤC ĐỐI TƯỢNG'!A:I,9,0),"")</f>
        <v/>
      </c>
      <c r="I1803" t="str">
        <f>_xlfn.IFNA(VLOOKUP(Table1[[#This Row],[Tên đối tượng]],'DANH MỤC ĐỐI TƯỢNG'!A:J,10,0),"")</f>
        <v/>
      </c>
    </row>
    <row r="1804" spans="1:9" x14ac:dyDescent="0.3">
      <c r="A1804" t="str">
        <f t="shared" si="55"/>
        <v/>
      </c>
      <c r="F1804" t="str">
        <f>IFERROR(VLOOKUP(Table1[[#This Row],[Tên đối tượng]],'DANH MỤC ĐỐI TƯỢNG'!A:E,5,0),"")</f>
        <v/>
      </c>
      <c r="G1804" t="str">
        <f>_xlfn.IFNA(VLOOKUP(Table1[[#This Row],[Tên đối tượng]],'DANH MỤC ĐỐI TƯỢNG'!A:F,6,0),"")</f>
        <v/>
      </c>
      <c r="H1804" t="str">
        <f>_xlfn.IFNA(VLOOKUP(Table1[[#This Row],[Tên đối tượng]],'DANH MỤC ĐỐI TƯỢNG'!A:I,9,0),"")</f>
        <v/>
      </c>
      <c r="I1804" t="str">
        <f>_xlfn.IFNA(VLOOKUP(Table1[[#This Row],[Tên đối tượng]],'DANH MỤC ĐỐI TƯỢNG'!A:J,10,0),"")</f>
        <v/>
      </c>
    </row>
    <row r="1805" spans="1:9" x14ac:dyDescent="0.3">
      <c r="A1805" t="str">
        <f t="shared" si="55"/>
        <v/>
      </c>
      <c r="F1805" t="str">
        <f>IFERROR(VLOOKUP(Table1[[#This Row],[Tên đối tượng]],'DANH MỤC ĐỐI TƯỢNG'!A:E,5,0),"")</f>
        <v/>
      </c>
      <c r="G1805" t="str">
        <f>_xlfn.IFNA(VLOOKUP(Table1[[#This Row],[Tên đối tượng]],'DANH MỤC ĐỐI TƯỢNG'!A:F,6,0),"")</f>
        <v/>
      </c>
      <c r="H1805" t="str">
        <f>_xlfn.IFNA(VLOOKUP(Table1[[#This Row],[Tên đối tượng]],'DANH MỤC ĐỐI TƯỢNG'!A:I,9,0),"")</f>
        <v/>
      </c>
      <c r="I1805" t="str">
        <f>_xlfn.IFNA(VLOOKUP(Table1[[#This Row],[Tên đối tượng]],'DANH MỤC ĐỐI TƯỢNG'!A:J,10,0),"")</f>
        <v/>
      </c>
    </row>
    <row r="1806" spans="1:9" x14ac:dyDescent="0.3">
      <c r="A1806" t="str">
        <f t="shared" si="55"/>
        <v/>
      </c>
      <c r="F1806" t="str">
        <f>IFERROR(VLOOKUP(Table1[[#This Row],[Tên đối tượng]],'DANH MỤC ĐỐI TƯỢNG'!A:E,5,0),"")</f>
        <v/>
      </c>
      <c r="G1806" t="str">
        <f>_xlfn.IFNA(VLOOKUP(Table1[[#This Row],[Tên đối tượng]],'DANH MỤC ĐỐI TƯỢNG'!A:F,6,0),"")</f>
        <v/>
      </c>
      <c r="H1806" t="str">
        <f>_xlfn.IFNA(VLOOKUP(Table1[[#This Row],[Tên đối tượng]],'DANH MỤC ĐỐI TƯỢNG'!A:I,9,0),"")</f>
        <v/>
      </c>
      <c r="I1806" t="str">
        <f>_xlfn.IFNA(VLOOKUP(Table1[[#This Row],[Tên đối tượng]],'DANH MỤC ĐỐI TƯỢNG'!A:J,10,0),"")</f>
        <v/>
      </c>
    </row>
    <row r="1807" spans="1:9" x14ac:dyDescent="0.3">
      <c r="A1807" t="str">
        <f t="shared" si="55"/>
        <v/>
      </c>
      <c r="F1807" t="str">
        <f>IFERROR(VLOOKUP(Table1[[#This Row],[Tên đối tượng]],'DANH MỤC ĐỐI TƯỢNG'!A:E,5,0),"")</f>
        <v/>
      </c>
      <c r="G1807" t="str">
        <f>_xlfn.IFNA(VLOOKUP(Table1[[#This Row],[Tên đối tượng]],'DANH MỤC ĐỐI TƯỢNG'!A:F,6,0),"")</f>
        <v/>
      </c>
      <c r="H1807" t="str">
        <f>_xlfn.IFNA(VLOOKUP(Table1[[#This Row],[Tên đối tượng]],'DANH MỤC ĐỐI TƯỢNG'!A:I,9,0),"")</f>
        <v/>
      </c>
      <c r="I1807" t="str">
        <f>_xlfn.IFNA(VLOOKUP(Table1[[#This Row],[Tên đối tượng]],'DANH MỤC ĐỐI TƯỢNG'!A:J,10,0),"")</f>
        <v/>
      </c>
    </row>
    <row r="1808" spans="1:9" x14ac:dyDescent="0.3">
      <c r="A1808" t="str">
        <f t="shared" si="55"/>
        <v/>
      </c>
      <c r="F1808" t="str">
        <f>IFERROR(VLOOKUP(Table1[[#This Row],[Tên đối tượng]],'DANH MỤC ĐỐI TƯỢNG'!A:E,5,0),"")</f>
        <v/>
      </c>
      <c r="G1808" t="str">
        <f>_xlfn.IFNA(VLOOKUP(Table1[[#This Row],[Tên đối tượng]],'DANH MỤC ĐỐI TƯỢNG'!A:F,6,0),"")</f>
        <v/>
      </c>
      <c r="H1808" t="str">
        <f>_xlfn.IFNA(VLOOKUP(Table1[[#This Row],[Tên đối tượng]],'DANH MỤC ĐỐI TƯỢNG'!A:I,9,0),"")</f>
        <v/>
      </c>
      <c r="I1808" t="str">
        <f>_xlfn.IFNA(VLOOKUP(Table1[[#This Row],[Tên đối tượng]],'DANH MỤC ĐỐI TƯỢNG'!A:J,10,0),"")</f>
        <v/>
      </c>
    </row>
    <row r="1809" spans="1:9" x14ac:dyDescent="0.3">
      <c r="A1809" t="str">
        <f t="shared" si="55"/>
        <v/>
      </c>
      <c r="F1809" t="str">
        <f>IFERROR(VLOOKUP(Table1[[#This Row],[Tên đối tượng]],'DANH MỤC ĐỐI TƯỢNG'!A:E,5,0),"")</f>
        <v/>
      </c>
      <c r="G1809" t="str">
        <f>_xlfn.IFNA(VLOOKUP(Table1[[#This Row],[Tên đối tượng]],'DANH MỤC ĐỐI TƯỢNG'!A:F,6,0),"")</f>
        <v/>
      </c>
      <c r="H1809" t="str">
        <f>_xlfn.IFNA(VLOOKUP(Table1[[#This Row],[Tên đối tượng]],'DANH MỤC ĐỐI TƯỢNG'!A:I,9,0),"")</f>
        <v/>
      </c>
      <c r="I1809" t="str">
        <f>_xlfn.IFNA(VLOOKUP(Table1[[#This Row],[Tên đối tượng]],'DANH MỤC ĐỐI TƯỢNG'!A:J,10,0),"")</f>
        <v/>
      </c>
    </row>
    <row r="1810" spans="1:9" x14ac:dyDescent="0.3">
      <c r="A1810" t="str">
        <f t="shared" si="55"/>
        <v/>
      </c>
      <c r="F1810" t="str">
        <f>IFERROR(VLOOKUP(Table1[[#This Row],[Tên đối tượng]],'DANH MỤC ĐỐI TƯỢNG'!A:E,5,0),"")</f>
        <v/>
      </c>
      <c r="G1810" t="str">
        <f>_xlfn.IFNA(VLOOKUP(Table1[[#This Row],[Tên đối tượng]],'DANH MỤC ĐỐI TƯỢNG'!A:F,6,0),"")</f>
        <v/>
      </c>
      <c r="H1810" t="str">
        <f>_xlfn.IFNA(VLOOKUP(Table1[[#This Row],[Tên đối tượng]],'DANH MỤC ĐỐI TƯỢNG'!A:I,9,0),"")</f>
        <v/>
      </c>
      <c r="I1810" t="str">
        <f>_xlfn.IFNA(VLOOKUP(Table1[[#This Row],[Tên đối tượng]],'DANH MỤC ĐỐI TƯỢNG'!A:J,10,0),"")</f>
        <v/>
      </c>
    </row>
    <row r="1811" spans="1:9" x14ac:dyDescent="0.3">
      <c r="A1811" t="str">
        <f t="shared" si="55"/>
        <v/>
      </c>
      <c r="F1811" t="str">
        <f>IFERROR(VLOOKUP(Table1[[#This Row],[Tên đối tượng]],'DANH MỤC ĐỐI TƯỢNG'!A:E,5,0),"")</f>
        <v/>
      </c>
      <c r="G1811" t="str">
        <f>_xlfn.IFNA(VLOOKUP(Table1[[#This Row],[Tên đối tượng]],'DANH MỤC ĐỐI TƯỢNG'!A:F,6,0),"")</f>
        <v/>
      </c>
      <c r="H1811" t="str">
        <f>_xlfn.IFNA(VLOOKUP(Table1[[#This Row],[Tên đối tượng]],'DANH MỤC ĐỐI TƯỢNG'!A:I,9,0),"")</f>
        <v/>
      </c>
      <c r="I1811" t="str">
        <f>_xlfn.IFNA(VLOOKUP(Table1[[#This Row],[Tên đối tượng]],'DANH MỤC ĐỐI TƯỢNG'!A:J,10,0),"")</f>
        <v/>
      </c>
    </row>
    <row r="1812" spans="1:9" x14ac:dyDescent="0.3">
      <c r="A1812" t="str">
        <f t="shared" si="55"/>
        <v/>
      </c>
      <c r="F1812" t="str">
        <f>IFERROR(VLOOKUP(Table1[[#This Row],[Tên đối tượng]],'DANH MỤC ĐỐI TƯỢNG'!A:E,5,0),"")</f>
        <v/>
      </c>
      <c r="G1812" t="str">
        <f>_xlfn.IFNA(VLOOKUP(Table1[[#This Row],[Tên đối tượng]],'DANH MỤC ĐỐI TƯỢNG'!A:F,6,0),"")</f>
        <v/>
      </c>
      <c r="H1812" t="str">
        <f>_xlfn.IFNA(VLOOKUP(Table1[[#This Row],[Tên đối tượng]],'DANH MỤC ĐỐI TƯỢNG'!A:I,9,0),"")</f>
        <v/>
      </c>
      <c r="I1812" t="str">
        <f>_xlfn.IFNA(VLOOKUP(Table1[[#This Row],[Tên đối tượng]],'DANH MỤC ĐỐI TƯỢNG'!A:J,10,0),"")</f>
        <v/>
      </c>
    </row>
    <row r="1813" spans="1:9" x14ac:dyDescent="0.3">
      <c r="A1813" t="str">
        <f t="shared" si="55"/>
        <v/>
      </c>
      <c r="F1813" t="str">
        <f>IFERROR(VLOOKUP(Table1[[#This Row],[Tên đối tượng]],'DANH MỤC ĐỐI TƯỢNG'!A:E,5,0),"")</f>
        <v/>
      </c>
      <c r="G1813" t="str">
        <f>_xlfn.IFNA(VLOOKUP(Table1[[#This Row],[Tên đối tượng]],'DANH MỤC ĐỐI TƯỢNG'!A:F,6,0),"")</f>
        <v/>
      </c>
      <c r="H1813" t="str">
        <f>_xlfn.IFNA(VLOOKUP(Table1[[#This Row],[Tên đối tượng]],'DANH MỤC ĐỐI TƯỢNG'!A:I,9,0),"")</f>
        <v/>
      </c>
      <c r="I1813" t="str">
        <f>_xlfn.IFNA(VLOOKUP(Table1[[#This Row],[Tên đối tượng]],'DANH MỤC ĐỐI TƯỢNG'!A:J,10,0),"")</f>
        <v/>
      </c>
    </row>
    <row r="1814" spans="1:9" x14ac:dyDescent="0.3">
      <c r="A1814" t="str">
        <f t="shared" si="55"/>
        <v/>
      </c>
      <c r="F1814" t="str">
        <f>IFERROR(VLOOKUP(Table1[[#This Row],[Tên đối tượng]],'DANH MỤC ĐỐI TƯỢNG'!A:E,5,0),"")</f>
        <v/>
      </c>
      <c r="G1814" t="str">
        <f>_xlfn.IFNA(VLOOKUP(Table1[[#This Row],[Tên đối tượng]],'DANH MỤC ĐỐI TƯỢNG'!A:F,6,0),"")</f>
        <v/>
      </c>
      <c r="H1814" t="str">
        <f>_xlfn.IFNA(VLOOKUP(Table1[[#This Row],[Tên đối tượng]],'DANH MỤC ĐỐI TƯỢNG'!A:I,9,0),"")</f>
        <v/>
      </c>
      <c r="I1814" t="str">
        <f>_xlfn.IFNA(VLOOKUP(Table1[[#This Row],[Tên đối tượng]],'DANH MỤC ĐỐI TƯỢNG'!A:J,10,0),"")</f>
        <v/>
      </c>
    </row>
    <row r="1815" spans="1:9" x14ac:dyDescent="0.3">
      <c r="A1815" t="str">
        <f t="shared" si="55"/>
        <v/>
      </c>
      <c r="F1815" t="str">
        <f>IFERROR(VLOOKUP(Table1[[#This Row],[Tên đối tượng]],'DANH MỤC ĐỐI TƯỢNG'!A:E,5,0),"")</f>
        <v/>
      </c>
      <c r="G1815" t="str">
        <f>_xlfn.IFNA(VLOOKUP(Table1[[#This Row],[Tên đối tượng]],'DANH MỤC ĐỐI TƯỢNG'!A:F,6,0),"")</f>
        <v/>
      </c>
      <c r="H1815" t="str">
        <f>_xlfn.IFNA(VLOOKUP(Table1[[#This Row],[Tên đối tượng]],'DANH MỤC ĐỐI TƯỢNG'!A:I,9,0),"")</f>
        <v/>
      </c>
      <c r="I1815" t="str">
        <f>_xlfn.IFNA(VLOOKUP(Table1[[#This Row],[Tên đối tượng]],'DANH MỤC ĐỐI TƯỢNG'!A:J,10,0),"")</f>
        <v/>
      </c>
    </row>
    <row r="1816" spans="1:9" x14ac:dyDescent="0.3">
      <c r="A1816" t="str">
        <f t="shared" si="55"/>
        <v/>
      </c>
      <c r="F1816" t="str">
        <f>IFERROR(VLOOKUP(Table1[[#This Row],[Tên đối tượng]],'DANH MỤC ĐỐI TƯỢNG'!A:E,5,0),"")</f>
        <v/>
      </c>
      <c r="G1816" t="str">
        <f>_xlfn.IFNA(VLOOKUP(Table1[[#This Row],[Tên đối tượng]],'DANH MỤC ĐỐI TƯỢNG'!A:F,6,0),"")</f>
        <v/>
      </c>
      <c r="H1816" t="str">
        <f>_xlfn.IFNA(VLOOKUP(Table1[[#This Row],[Tên đối tượng]],'DANH MỤC ĐỐI TƯỢNG'!A:I,9,0),"")</f>
        <v/>
      </c>
      <c r="I1816" t="str">
        <f>_xlfn.IFNA(VLOOKUP(Table1[[#This Row],[Tên đối tượng]],'DANH MỤC ĐỐI TƯỢNG'!A:J,10,0),"")</f>
        <v/>
      </c>
    </row>
    <row r="1817" spans="1:9" x14ac:dyDescent="0.3">
      <c r="A1817" t="str">
        <f t="shared" si="55"/>
        <v/>
      </c>
      <c r="F1817" t="str">
        <f>IFERROR(VLOOKUP(Table1[[#This Row],[Tên đối tượng]],'DANH MỤC ĐỐI TƯỢNG'!A:E,5,0),"")</f>
        <v/>
      </c>
      <c r="G1817" t="str">
        <f>_xlfn.IFNA(VLOOKUP(Table1[[#This Row],[Tên đối tượng]],'DANH MỤC ĐỐI TƯỢNG'!A:F,6,0),"")</f>
        <v/>
      </c>
      <c r="H1817" t="str">
        <f>_xlfn.IFNA(VLOOKUP(Table1[[#This Row],[Tên đối tượng]],'DANH MỤC ĐỐI TƯỢNG'!A:I,9,0),"")</f>
        <v/>
      </c>
      <c r="I1817" t="str">
        <f>_xlfn.IFNA(VLOOKUP(Table1[[#This Row],[Tên đối tượng]],'DANH MỤC ĐỐI TƯỢNG'!A:J,10,0),"")</f>
        <v/>
      </c>
    </row>
    <row r="1818" spans="1:9" x14ac:dyDescent="0.3">
      <c r="A1818" t="str">
        <f t="shared" si="55"/>
        <v/>
      </c>
      <c r="F1818" t="str">
        <f>IFERROR(VLOOKUP(Table1[[#This Row],[Tên đối tượng]],'DANH MỤC ĐỐI TƯỢNG'!A:E,5,0),"")</f>
        <v/>
      </c>
      <c r="G1818" t="str">
        <f>_xlfn.IFNA(VLOOKUP(Table1[[#This Row],[Tên đối tượng]],'DANH MỤC ĐỐI TƯỢNG'!A:F,6,0),"")</f>
        <v/>
      </c>
      <c r="H1818" t="str">
        <f>_xlfn.IFNA(VLOOKUP(Table1[[#This Row],[Tên đối tượng]],'DANH MỤC ĐỐI TƯỢNG'!A:I,9,0),"")</f>
        <v/>
      </c>
      <c r="I1818" t="str">
        <f>_xlfn.IFNA(VLOOKUP(Table1[[#This Row],[Tên đối tượng]],'DANH MỤC ĐỐI TƯỢNG'!A:J,10,0),"")</f>
        <v/>
      </c>
    </row>
    <row r="1819" spans="1:9" x14ac:dyDescent="0.3">
      <c r="A1819" t="str">
        <f t="shared" si="55"/>
        <v/>
      </c>
      <c r="F1819" t="str">
        <f>IFERROR(VLOOKUP(Table1[[#This Row],[Tên đối tượng]],'DANH MỤC ĐỐI TƯỢNG'!A:E,5,0),"")</f>
        <v/>
      </c>
      <c r="G1819" t="str">
        <f>_xlfn.IFNA(VLOOKUP(Table1[[#This Row],[Tên đối tượng]],'DANH MỤC ĐỐI TƯỢNG'!A:F,6,0),"")</f>
        <v/>
      </c>
      <c r="H1819" t="str">
        <f>_xlfn.IFNA(VLOOKUP(Table1[[#This Row],[Tên đối tượng]],'DANH MỤC ĐỐI TƯỢNG'!A:I,9,0),"")</f>
        <v/>
      </c>
      <c r="I1819" t="str">
        <f>_xlfn.IFNA(VLOOKUP(Table1[[#This Row],[Tên đối tượng]],'DANH MỤC ĐỐI TƯỢNG'!A:J,10,0),"")</f>
        <v/>
      </c>
    </row>
    <row r="1820" spans="1:9" x14ac:dyDescent="0.3">
      <c r="A1820" t="str">
        <f t="shared" si="55"/>
        <v/>
      </c>
      <c r="F1820" t="str">
        <f>IFERROR(VLOOKUP(Table1[[#This Row],[Tên đối tượng]],'DANH MỤC ĐỐI TƯỢNG'!A:E,5,0),"")</f>
        <v/>
      </c>
      <c r="G1820" t="str">
        <f>_xlfn.IFNA(VLOOKUP(Table1[[#This Row],[Tên đối tượng]],'DANH MỤC ĐỐI TƯỢNG'!A:F,6,0),"")</f>
        <v/>
      </c>
      <c r="H1820" t="str">
        <f>_xlfn.IFNA(VLOOKUP(Table1[[#This Row],[Tên đối tượng]],'DANH MỤC ĐỐI TƯỢNG'!A:I,9,0),"")</f>
        <v/>
      </c>
      <c r="I1820" t="str">
        <f>_xlfn.IFNA(VLOOKUP(Table1[[#This Row],[Tên đối tượng]],'DANH MỤC ĐỐI TƯỢNG'!A:J,10,0),"")</f>
        <v/>
      </c>
    </row>
    <row r="1821" spans="1:9" x14ac:dyDescent="0.3">
      <c r="A1821" t="str">
        <f t="shared" si="55"/>
        <v/>
      </c>
      <c r="F1821" t="str">
        <f>IFERROR(VLOOKUP(Table1[[#This Row],[Tên đối tượng]],'DANH MỤC ĐỐI TƯỢNG'!A:E,5,0),"")</f>
        <v/>
      </c>
      <c r="G1821" t="str">
        <f>_xlfn.IFNA(VLOOKUP(Table1[[#This Row],[Tên đối tượng]],'DANH MỤC ĐỐI TƯỢNG'!A:F,6,0),"")</f>
        <v/>
      </c>
      <c r="H1821" t="str">
        <f>_xlfn.IFNA(VLOOKUP(Table1[[#This Row],[Tên đối tượng]],'DANH MỤC ĐỐI TƯỢNG'!A:I,9,0),"")</f>
        <v/>
      </c>
      <c r="I1821" t="str">
        <f>_xlfn.IFNA(VLOOKUP(Table1[[#This Row],[Tên đối tượng]],'DANH MỤC ĐỐI TƯỢNG'!A:J,10,0),"")</f>
        <v/>
      </c>
    </row>
    <row r="1822" spans="1:9" x14ac:dyDescent="0.3">
      <c r="A1822" t="str">
        <f t="shared" si="55"/>
        <v/>
      </c>
      <c r="F1822" t="str">
        <f>IFERROR(VLOOKUP(Table1[[#This Row],[Tên đối tượng]],'DANH MỤC ĐỐI TƯỢNG'!A:E,5,0),"")</f>
        <v/>
      </c>
      <c r="G1822" t="str">
        <f>_xlfn.IFNA(VLOOKUP(Table1[[#This Row],[Tên đối tượng]],'DANH MỤC ĐỐI TƯỢNG'!A:F,6,0),"")</f>
        <v/>
      </c>
      <c r="H1822" t="str">
        <f>_xlfn.IFNA(VLOOKUP(Table1[[#This Row],[Tên đối tượng]],'DANH MỤC ĐỐI TƯỢNG'!A:I,9,0),"")</f>
        <v/>
      </c>
      <c r="I1822" t="str">
        <f>_xlfn.IFNA(VLOOKUP(Table1[[#This Row],[Tên đối tượng]],'DANH MỤC ĐỐI TƯỢNG'!A:J,10,0),"")</f>
        <v/>
      </c>
    </row>
    <row r="1823" spans="1:9" x14ac:dyDescent="0.3">
      <c r="A1823" t="str">
        <f t="shared" si="55"/>
        <v/>
      </c>
      <c r="F1823" t="str">
        <f>IFERROR(VLOOKUP(Table1[[#This Row],[Tên đối tượng]],'DANH MỤC ĐỐI TƯỢNG'!A:E,5,0),"")</f>
        <v/>
      </c>
      <c r="G1823" t="str">
        <f>_xlfn.IFNA(VLOOKUP(Table1[[#This Row],[Tên đối tượng]],'DANH MỤC ĐỐI TƯỢNG'!A:F,6,0),"")</f>
        <v/>
      </c>
      <c r="H1823" t="str">
        <f>_xlfn.IFNA(VLOOKUP(Table1[[#This Row],[Tên đối tượng]],'DANH MỤC ĐỐI TƯỢNG'!A:I,9,0),"")</f>
        <v/>
      </c>
      <c r="I1823" t="str">
        <f>_xlfn.IFNA(VLOOKUP(Table1[[#This Row],[Tên đối tượng]],'DANH MỤC ĐỐI TƯỢNG'!A:J,10,0),"")</f>
        <v/>
      </c>
    </row>
    <row r="1824" spans="1:9" x14ac:dyDescent="0.3">
      <c r="A1824" t="str">
        <f t="shared" si="55"/>
        <v/>
      </c>
      <c r="F1824" t="str">
        <f>IFERROR(VLOOKUP(Table1[[#This Row],[Tên đối tượng]],'DANH MỤC ĐỐI TƯỢNG'!A:E,5,0),"")</f>
        <v/>
      </c>
      <c r="G1824" t="str">
        <f>_xlfn.IFNA(VLOOKUP(Table1[[#This Row],[Tên đối tượng]],'DANH MỤC ĐỐI TƯỢNG'!A:F,6,0),"")</f>
        <v/>
      </c>
      <c r="H1824" t="str">
        <f>_xlfn.IFNA(VLOOKUP(Table1[[#This Row],[Tên đối tượng]],'DANH MỤC ĐỐI TƯỢNG'!A:I,9,0),"")</f>
        <v/>
      </c>
      <c r="I1824" t="str">
        <f>_xlfn.IFNA(VLOOKUP(Table1[[#This Row],[Tên đối tượng]],'DANH MỤC ĐỐI TƯỢNG'!A:J,10,0),"")</f>
        <v/>
      </c>
    </row>
    <row r="1825" spans="1:9" x14ac:dyDescent="0.3">
      <c r="A1825" t="str">
        <f t="shared" si="55"/>
        <v/>
      </c>
      <c r="F1825" t="str">
        <f>IFERROR(VLOOKUP(Table1[[#This Row],[Tên đối tượng]],'DANH MỤC ĐỐI TƯỢNG'!A:E,5,0),"")</f>
        <v/>
      </c>
      <c r="G1825" t="str">
        <f>_xlfn.IFNA(VLOOKUP(Table1[[#This Row],[Tên đối tượng]],'DANH MỤC ĐỐI TƯỢNG'!A:F,6,0),"")</f>
        <v/>
      </c>
      <c r="H1825" t="str">
        <f>_xlfn.IFNA(VLOOKUP(Table1[[#This Row],[Tên đối tượng]],'DANH MỤC ĐỐI TƯỢNG'!A:I,9,0),"")</f>
        <v/>
      </c>
      <c r="I1825" t="str">
        <f>_xlfn.IFNA(VLOOKUP(Table1[[#This Row],[Tên đối tượng]],'DANH MỤC ĐỐI TƯỢNG'!A:J,10,0),"")</f>
        <v/>
      </c>
    </row>
    <row r="1826" spans="1:9" x14ac:dyDescent="0.3">
      <c r="A1826" t="str">
        <f t="shared" si="55"/>
        <v/>
      </c>
      <c r="F1826" t="str">
        <f>IFERROR(VLOOKUP(Table1[[#This Row],[Tên đối tượng]],'DANH MỤC ĐỐI TƯỢNG'!A:E,5,0),"")</f>
        <v/>
      </c>
      <c r="G1826" t="str">
        <f>_xlfn.IFNA(VLOOKUP(Table1[[#This Row],[Tên đối tượng]],'DANH MỤC ĐỐI TƯỢNG'!A:F,6,0),"")</f>
        <v/>
      </c>
      <c r="H1826" t="str">
        <f>_xlfn.IFNA(VLOOKUP(Table1[[#This Row],[Tên đối tượng]],'DANH MỤC ĐỐI TƯỢNG'!A:I,9,0),"")</f>
        <v/>
      </c>
      <c r="I1826" t="str">
        <f>_xlfn.IFNA(VLOOKUP(Table1[[#This Row],[Tên đối tượng]],'DANH MỤC ĐỐI TƯỢNG'!A:J,10,0),"")</f>
        <v/>
      </c>
    </row>
    <row r="1827" spans="1:9" x14ac:dyDescent="0.3">
      <c r="A1827" t="str">
        <f t="shared" si="55"/>
        <v/>
      </c>
      <c r="F1827" t="str">
        <f>IFERROR(VLOOKUP(Table1[[#This Row],[Tên đối tượng]],'DANH MỤC ĐỐI TƯỢNG'!A:E,5,0),"")</f>
        <v/>
      </c>
      <c r="G1827" t="str">
        <f>_xlfn.IFNA(VLOOKUP(Table1[[#This Row],[Tên đối tượng]],'DANH MỤC ĐỐI TƯỢNG'!A:F,6,0),"")</f>
        <v/>
      </c>
      <c r="H1827" t="str">
        <f>_xlfn.IFNA(VLOOKUP(Table1[[#This Row],[Tên đối tượng]],'DANH MỤC ĐỐI TƯỢNG'!A:I,9,0),"")</f>
        <v/>
      </c>
      <c r="I1827" t="str">
        <f>_xlfn.IFNA(VLOOKUP(Table1[[#This Row],[Tên đối tượng]],'DANH MỤC ĐỐI TƯỢNG'!A:J,10,0),"")</f>
        <v/>
      </c>
    </row>
    <row r="1828" spans="1:9" x14ac:dyDescent="0.3">
      <c r="A1828" t="str">
        <f t="shared" si="55"/>
        <v/>
      </c>
      <c r="F1828" t="str">
        <f>IFERROR(VLOOKUP(Table1[[#This Row],[Tên đối tượng]],'DANH MỤC ĐỐI TƯỢNG'!A:E,5,0),"")</f>
        <v/>
      </c>
      <c r="G1828" t="str">
        <f>_xlfn.IFNA(VLOOKUP(Table1[[#This Row],[Tên đối tượng]],'DANH MỤC ĐỐI TƯỢNG'!A:F,6,0),"")</f>
        <v/>
      </c>
      <c r="H1828" t="str">
        <f>_xlfn.IFNA(VLOOKUP(Table1[[#This Row],[Tên đối tượng]],'DANH MỤC ĐỐI TƯỢNG'!A:I,9,0),"")</f>
        <v/>
      </c>
      <c r="I1828" t="str">
        <f>_xlfn.IFNA(VLOOKUP(Table1[[#This Row],[Tên đối tượng]],'DANH MỤC ĐỐI TƯỢNG'!A:J,10,0),"")</f>
        <v/>
      </c>
    </row>
    <row r="1829" spans="1:9" x14ac:dyDescent="0.3">
      <c r="A1829" t="str">
        <f t="shared" si="55"/>
        <v/>
      </c>
      <c r="F1829" t="str">
        <f>IFERROR(VLOOKUP(Table1[[#This Row],[Tên đối tượng]],'DANH MỤC ĐỐI TƯỢNG'!A:E,5,0),"")</f>
        <v/>
      </c>
      <c r="G1829" t="str">
        <f>_xlfn.IFNA(VLOOKUP(Table1[[#This Row],[Tên đối tượng]],'DANH MỤC ĐỐI TƯỢNG'!A:F,6,0),"")</f>
        <v/>
      </c>
      <c r="H1829" t="str">
        <f>_xlfn.IFNA(VLOOKUP(Table1[[#This Row],[Tên đối tượng]],'DANH MỤC ĐỐI TƯỢNG'!A:I,9,0),"")</f>
        <v/>
      </c>
      <c r="I1829" t="str">
        <f>_xlfn.IFNA(VLOOKUP(Table1[[#This Row],[Tên đối tượng]],'DANH MỤC ĐỐI TƯỢNG'!A:J,10,0),"")</f>
        <v/>
      </c>
    </row>
    <row r="1830" spans="1:9" x14ac:dyDescent="0.3">
      <c r="A1830" t="str">
        <f t="shared" si="55"/>
        <v/>
      </c>
      <c r="F1830" t="str">
        <f>IFERROR(VLOOKUP(Table1[[#This Row],[Tên đối tượng]],'DANH MỤC ĐỐI TƯỢNG'!A:E,5,0),"")</f>
        <v/>
      </c>
      <c r="G1830" t="str">
        <f>_xlfn.IFNA(VLOOKUP(Table1[[#This Row],[Tên đối tượng]],'DANH MỤC ĐỐI TƯỢNG'!A:F,6,0),"")</f>
        <v/>
      </c>
      <c r="H1830" t="str">
        <f>_xlfn.IFNA(VLOOKUP(Table1[[#This Row],[Tên đối tượng]],'DANH MỤC ĐỐI TƯỢNG'!A:I,9,0),"")</f>
        <v/>
      </c>
      <c r="I1830" t="str">
        <f>_xlfn.IFNA(VLOOKUP(Table1[[#This Row],[Tên đối tượng]],'DANH MỤC ĐỐI TƯỢNG'!A:J,10,0),"")</f>
        <v/>
      </c>
    </row>
    <row r="1831" spans="1:9" x14ac:dyDescent="0.3">
      <c r="A1831" t="str">
        <f t="shared" si="55"/>
        <v/>
      </c>
      <c r="F1831" t="str">
        <f>IFERROR(VLOOKUP(Table1[[#This Row],[Tên đối tượng]],'DANH MỤC ĐỐI TƯỢNG'!A:E,5,0),"")</f>
        <v/>
      </c>
      <c r="G1831" t="str">
        <f>_xlfn.IFNA(VLOOKUP(Table1[[#This Row],[Tên đối tượng]],'DANH MỤC ĐỐI TƯỢNG'!A:F,6,0),"")</f>
        <v/>
      </c>
      <c r="H1831" t="str">
        <f>_xlfn.IFNA(VLOOKUP(Table1[[#This Row],[Tên đối tượng]],'DANH MỤC ĐỐI TƯỢNG'!A:I,9,0),"")</f>
        <v/>
      </c>
      <c r="I1831" t="str">
        <f>_xlfn.IFNA(VLOOKUP(Table1[[#This Row],[Tên đối tượng]],'DANH MỤC ĐỐI TƯỢNG'!A:J,10,0),"")</f>
        <v/>
      </c>
    </row>
    <row r="1832" spans="1:9" x14ac:dyDescent="0.3">
      <c r="A1832" t="str">
        <f t="shared" si="55"/>
        <v/>
      </c>
      <c r="F1832" t="str">
        <f>IFERROR(VLOOKUP(Table1[[#This Row],[Tên đối tượng]],'DANH MỤC ĐỐI TƯỢNG'!A:E,5,0),"")</f>
        <v/>
      </c>
      <c r="G1832" t="str">
        <f>_xlfn.IFNA(VLOOKUP(Table1[[#This Row],[Tên đối tượng]],'DANH MỤC ĐỐI TƯỢNG'!A:F,6,0),"")</f>
        <v/>
      </c>
      <c r="H1832" t="str">
        <f>_xlfn.IFNA(VLOOKUP(Table1[[#This Row],[Tên đối tượng]],'DANH MỤC ĐỐI TƯỢNG'!A:I,9,0),"")</f>
        <v/>
      </c>
      <c r="I1832" t="str">
        <f>_xlfn.IFNA(VLOOKUP(Table1[[#This Row],[Tên đối tượng]],'DANH MỤC ĐỐI TƯỢNG'!A:J,10,0),"")</f>
        <v/>
      </c>
    </row>
    <row r="1833" spans="1:9" x14ac:dyDescent="0.3">
      <c r="A1833" t="str">
        <f t="shared" si="55"/>
        <v/>
      </c>
      <c r="F1833" t="str">
        <f>IFERROR(VLOOKUP(Table1[[#This Row],[Tên đối tượng]],'DANH MỤC ĐỐI TƯỢNG'!A:E,5,0),"")</f>
        <v/>
      </c>
      <c r="G1833" t="str">
        <f>_xlfn.IFNA(VLOOKUP(Table1[[#This Row],[Tên đối tượng]],'DANH MỤC ĐỐI TƯỢNG'!A:F,6,0),"")</f>
        <v/>
      </c>
      <c r="H1833" t="str">
        <f>_xlfn.IFNA(VLOOKUP(Table1[[#This Row],[Tên đối tượng]],'DANH MỤC ĐỐI TƯỢNG'!A:I,9,0),"")</f>
        <v/>
      </c>
      <c r="I1833" t="str">
        <f>_xlfn.IFNA(VLOOKUP(Table1[[#This Row],[Tên đối tượng]],'DANH MỤC ĐỐI TƯỢNG'!A:J,10,0),"")</f>
        <v/>
      </c>
    </row>
    <row r="1834" spans="1:9" x14ac:dyDescent="0.3">
      <c r="A1834" t="str">
        <f t="shared" si="55"/>
        <v/>
      </c>
      <c r="F1834" t="str">
        <f>IFERROR(VLOOKUP(Table1[[#This Row],[Tên đối tượng]],'DANH MỤC ĐỐI TƯỢNG'!A:E,5,0),"")</f>
        <v/>
      </c>
      <c r="G1834" t="str">
        <f>_xlfn.IFNA(VLOOKUP(Table1[[#This Row],[Tên đối tượng]],'DANH MỤC ĐỐI TƯỢNG'!A:F,6,0),"")</f>
        <v/>
      </c>
      <c r="H1834" t="str">
        <f>_xlfn.IFNA(VLOOKUP(Table1[[#This Row],[Tên đối tượng]],'DANH MỤC ĐỐI TƯỢNG'!A:I,9,0),"")</f>
        <v/>
      </c>
      <c r="I1834" t="str">
        <f>_xlfn.IFNA(VLOOKUP(Table1[[#This Row],[Tên đối tượng]],'DANH MỤC ĐỐI TƯỢNG'!A:J,10,0),"")</f>
        <v/>
      </c>
    </row>
    <row r="1835" spans="1:9" x14ac:dyDescent="0.3">
      <c r="A1835" t="str">
        <f t="shared" si="55"/>
        <v/>
      </c>
      <c r="F1835" t="str">
        <f>IFERROR(VLOOKUP(Table1[[#This Row],[Tên đối tượng]],'DANH MỤC ĐỐI TƯỢNG'!A:E,5,0),"")</f>
        <v/>
      </c>
      <c r="G1835" t="str">
        <f>_xlfn.IFNA(VLOOKUP(Table1[[#This Row],[Tên đối tượng]],'DANH MỤC ĐỐI TƯỢNG'!A:F,6,0),"")</f>
        <v/>
      </c>
      <c r="H1835" t="str">
        <f>_xlfn.IFNA(VLOOKUP(Table1[[#This Row],[Tên đối tượng]],'DANH MỤC ĐỐI TƯỢNG'!A:I,9,0),"")</f>
        <v/>
      </c>
      <c r="I1835" t="str">
        <f>_xlfn.IFNA(VLOOKUP(Table1[[#This Row],[Tên đối tượng]],'DANH MỤC ĐỐI TƯỢNG'!A:J,10,0),"")</f>
        <v/>
      </c>
    </row>
    <row r="1836" spans="1:9" x14ac:dyDescent="0.3">
      <c r="A1836" t="str">
        <f t="shared" si="55"/>
        <v/>
      </c>
      <c r="F1836" t="str">
        <f>IFERROR(VLOOKUP(Table1[[#This Row],[Tên đối tượng]],'DANH MỤC ĐỐI TƯỢNG'!A:E,5,0),"")</f>
        <v/>
      </c>
      <c r="G1836" t="str">
        <f>_xlfn.IFNA(VLOOKUP(Table1[[#This Row],[Tên đối tượng]],'DANH MỤC ĐỐI TƯỢNG'!A:F,6,0),"")</f>
        <v/>
      </c>
      <c r="H1836" t="str">
        <f>_xlfn.IFNA(VLOOKUP(Table1[[#This Row],[Tên đối tượng]],'DANH MỤC ĐỐI TƯỢNG'!A:I,9,0),"")</f>
        <v/>
      </c>
      <c r="I1836" t="str">
        <f>_xlfn.IFNA(VLOOKUP(Table1[[#This Row],[Tên đối tượng]],'DANH MỤC ĐỐI TƯỢNG'!A:J,10,0),"")</f>
        <v/>
      </c>
    </row>
    <row r="1837" spans="1:9" x14ac:dyDescent="0.3">
      <c r="A1837" t="str">
        <f t="shared" si="55"/>
        <v/>
      </c>
      <c r="F1837" t="str">
        <f>IFERROR(VLOOKUP(Table1[[#This Row],[Tên đối tượng]],'DANH MỤC ĐỐI TƯỢNG'!A:E,5,0),"")</f>
        <v/>
      </c>
      <c r="G1837" t="str">
        <f>_xlfn.IFNA(VLOOKUP(Table1[[#This Row],[Tên đối tượng]],'DANH MỤC ĐỐI TƯỢNG'!A:F,6,0),"")</f>
        <v/>
      </c>
      <c r="H1837" t="str">
        <f>_xlfn.IFNA(VLOOKUP(Table1[[#This Row],[Tên đối tượng]],'DANH MỤC ĐỐI TƯỢNG'!A:I,9,0),"")</f>
        <v/>
      </c>
      <c r="I1837" t="str">
        <f>_xlfn.IFNA(VLOOKUP(Table1[[#This Row],[Tên đối tượng]],'DANH MỤC ĐỐI TƯỢNG'!A:J,10,0),"")</f>
        <v/>
      </c>
    </row>
    <row r="1838" spans="1:9" x14ac:dyDescent="0.3">
      <c r="A1838" t="str">
        <f t="shared" si="55"/>
        <v/>
      </c>
      <c r="F1838" t="str">
        <f>IFERROR(VLOOKUP(Table1[[#This Row],[Tên đối tượng]],'DANH MỤC ĐỐI TƯỢNG'!A:E,5,0),"")</f>
        <v/>
      </c>
      <c r="G1838" t="str">
        <f>_xlfn.IFNA(VLOOKUP(Table1[[#This Row],[Tên đối tượng]],'DANH MỤC ĐỐI TƯỢNG'!A:F,6,0),"")</f>
        <v/>
      </c>
      <c r="H1838" t="str">
        <f>_xlfn.IFNA(VLOOKUP(Table1[[#This Row],[Tên đối tượng]],'DANH MỤC ĐỐI TƯỢNG'!A:I,9,0),"")</f>
        <v/>
      </c>
      <c r="I1838" t="str">
        <f>_xlfn.IFNA(VLOOKUP(Table1[[#This Row],[Tên đối tượng]],'DANH MỤC ĐỐI TƯỢNG'!A:J,10,0),"")</f>
        <v/>
      </c>
    </row>
    <row r="1839" spans="1:9" x14ac:dyDescent="0.3">
      <c r="A1839" t="str">
        <f t="shared" si="55"/>
        <v/>
      </c>
      <c r="F1839" t="str">
        <f>IFERROR(VLOOKUP(Table1[[#This Row],[Tên đối tượng]],'DANH MỤC ĐỐI TƯỢNG'!A:E,5,0),"")</f>
        <v/>
      </c>
      <c r="G1839" t="str">
        <f>_xlfn.IFNA(VLOOKUP(Table1[[#This Row],[Tên đối tượng]],'DANH MỤC ĐỐI TƯỢNG'!A:F,6,0),"")</f>
        <v/>
      </c>
      <c r="H1839" t="str">
        <f>_xlfn.IFNA(VLOOKUP(Table1[[#This Row],[Tên đối tượng]],'DANH MỤC ĐỐI TƯỢNG'!A:I,9,0),"")</f>
        <v/>
      </c>
      <c r="I1839" t="str">
        <f>_xlfn.IFNA(VLOOKUP(Table1[[#This Row],[Tên đối tượng]],'DANH MỤC ĐỐI TƯỢNG'!A:J,10,0),"")</f>
        <v/>
      </c>
    </row>
    <row r="1840" spans="1:9" x14ac:dyDescent="0.3">
      <c r="A1840" t="str">
        <f t="shared" si="55"/>
        <v/>
      </c>
      <c r="F1840" t="str">
        <f>IFERROR(VLOOKUP(Table1[[#This Row],[Tên đối tượng]],'DANH MỤC ĐỐI TƯỢNG'!A:E,5,0),"")</f>
        <v/>
      </c>
      <c r="G1840" t="str">
        <f>_xlfn.IFNA(VLOOKUP(Table1[[#This Row],[Tên đối tượng]],'DANH MỤC ĐỐI TƯỢNG'!A:F,6,0),"")</f>
        <v/>
      </c>
      <c r="H1840" t="str">
        <f>_xlfn.IFNA(VLOOKUP(Table1[[#This Row],[Tên đối tượng]],'DANH MỤC ĐỐI TƯỢNG'!A:I,9,0),"")</f>
        <v/>
      </c>
      <c r="I1840" t="str">
        <f>_xlfn.IFNA(VLOOKUP(Table1[[#This Row],[Tên đối tượng]],'DANH MỤC ĐỐI TƯỢNG'!A:J,10,0),"")</f>
        <v/>
      </c>
    </row>
    <row r="1841" spans="1:9" x14ac:dyDescent="0.3">
      <c r="A1841" t="str">
        <f t="shared" si="55"/>
        <v/>
      </c>
      <c r="F1841" t="str">
        <f>IFERROR(VLOOKUP(Table1[[#This Row],[Tên đối tượng]],'DANH MỤC ĐỐI TƯỢNG'!A:E,5,0),"")</f>
        <v/>
      </c>
      <c r="G1841" t="str">
        <f>_xlfn.IFNA(VLOOKUP(Table1[[#This Row],[Tên đối tượng]],'DANH MỤC ĐỐI TƯỢNG'!A:F,6,0),"")</f>
        <v/>
      </c>
      <c r="H1841" t="str">
        <f>_xlfn.IFNA(VLOOKUP(Table1[[#This Row],[Tên đối tượng]],'DANH MỤC ĐỐI TƯỢNG'!A:I,9,0),"")</f>
        <v/>
      </c>
      <c r="I1841" t="str">
        <f>_xlfn.IFNA(VLOOKUP(Table1[[#This Row],[Tên đối tượng]],'DANH MỤC ĐỐI TƯỢNG'!A:J,10,0),"")</f>
        <v/>
      </c>
    </row>
    <row r="1842" spans="1:9" x14ac:dyDescent="0.3">
      <c r="A1842" t="str">
        <f t="shared" si="55"/>
        <v/>
      </c>
      <c r="F1842" t="str">
        <f>IFERROR(VLOOKUP(Table1[[#This Row],[Tên đối tượng]],'DANH MỤC ĐỐI TƯỢNG'!A:E,5,0),"")</f>
        <v/>
      </c>
      <c r="G1842" t="str">
        <f>_xlfn.IFNA(VLOOKUP(Table1[[#This Row],[Tên đối tượng]],'DANH MỤC ĐỐI TƯỢNG'!A:F,6,0),"")</f>
        <v/>
      </c>
      <c r="H1842" t="str">
        <f>_xlfn.IFNA(VLOOKUP(Table1[[#This Row],[Tên đối tượng]],'DANH MỤC ĐỐI TƯỢNG'!A:I,9,0),"")</f>
        <v/>
      </c>
      <c r="I1842" t="str">
        <f>_xlfn.IFNA(VLOOKUP(Table1[[#This Row],[Tên đối tượng]],'DANH MỤC ĐỐI TƯỢNG'!A:J,10,0),"")</f>
        <v/>
      </c>
    </row>
    <row r="1843" spans="1:9" x14ac:dyDescent="0.3">
      <c r="A1843" t="str">
        <f t="shared" si="55"/>
        <v/>
      </c>
      <c r="F1843" t="str">
        <f>IFERROR(VLOOKUP(Table1[[#This Row],[Tên đối tượng]],'DANH MỤC ĐỐI TƯỢNG'!A:E,5,0),"")</f>
        <v/>
      </c>
      <c r="G1843" t="str">
        <f>_xlfn.IFNA(VLOOKUP(Table1[[#This Row],[Tên đối tượng]],'DANH MỤC ĐỐI TƯỢNG'!A:F,6,0),"")</f>
        <v/>
      </c>
      <c r="H1843" t="str">
        <f>_xlfn.IFNA(VLOOKUP(Table1[[#This Row],[Tên đối tượng]],'DANH MỤC ĐỐI TƯỢNG'!A:I,9,0),"")</f>
        <v/>
      </c>
      <c r="I1843" t="str">
        <f>_xlfn.IFNA(VLOOKUP(Table1[[#This Row],[Tên đối tượng]],'DANH MỤC ĐỐI TƯỢNG'!A:J,10,0),"")</f>
        <v/>
      </c>
    </row>
    <row r="1844" spans="1:9" x14ac:dyDescent="0.3">
      <c r="A1844" t="str">
        <f t="shared" si="55"/>
        <v/>
      </c>
      <c r="F1844" t="str">
        <f>IFERROR(VLOOKUP(Table1[[#This Row],[Tên đối tượng]],'DANH MỤC ĐỐI TƯỢNG'!A:E,5,0),"")</f>
        <v/>
      </c>
      <c r="G1844" t="str">
        <f>_xlfn.IFNA(VLOOKUP(Table1[[#This Row],[Tên đối tượng]],'DANH MỤC ĐỐI TƯỢNG'!A:F,6,0),"")</f>
        <v/>
      </c>
      <c r="H1844" t="str">
        <f>_xlfn.IFNA(VLOOKUP(Table1[[#This Row],[Tên đối tượng]],'DANH MỤC ĐỐI TƯỢNG'!A:I,9,0),"")</f>
        <v/>
      </c>
      <c r="I1844" t="str">
        <f>_xlfn.IFNA(VLOOKUP(Table1[[#This Row],[Tên đối tượng]],'DANH MỤC ĐỐI TƯỢNG'!A:J,10,0),"")</f>
        <v/>
      </c>
    </row>
    <row r="1845" spans="1:9" x14ac:dyDescent="0.3">
      <c r="A1845" t="str">
        <f t="shared" si="55"/>
        <v/>
      </c>
      <c r="F1845" t="str">
        <f>IFERROR(VLOOKUP(Table1[[#This Row],[Tên đối tượng]],'DANH MỤC ĐỐI TƯỢNG'!A:E,5,0),"")</f>
        <v/>
      </c>
      <c r="G1845" t="str">
        <f>_xlfn.IFNA(VLOOKUP(Table1[[#This Row],[Tên đối tượng]],'DANH MỤC ĐỐI TƯỢNG'!A:F,6,0),"")</f>
        <v/>
      </c>
      <c r="H1845" t="str">
        <f>_xlfn.IFNA(VLOOKUP(Table1[[#This Row],[Tên đối tượng]],'DANH MỤC ĐỐI TƯỢNG'!A:I,9,0),"")</f>
        <v/>
      </c>
      <c r="I1845" t="str">
        <f>_xlfn.IFNA(VLOOKUP(Table1[[#This Row],[Tên đối tượng]],'DANH MỤC ĐỐI TƯỢNG'!A:J,10,0),"")</f>
        <v/>
      </c>
    </row>
    <row r="1846" spans="1:9" x14ac:dyDescent="0.3">
      <c r="A1846" t="str">
        <f t="shared" si="55"/>
        <v/>
      </c>
      <c r="F1846" t="str">
        <f>IFERROR(VLOOKUP(Table1[[#This Row],[Tên đối tượng]],'DANH MỤC ĐỐI TƯỢNG'!A:E,5,0),"")</f>
        <v/>
      </c>
      <c r="G1846" t="str">
        <f>_xlfn.IFNA(VLOOKUP(Table1[[#This Row],[Tên đối tượng]],'DANH MỤC ĐỐI TƯỢNG'!A:F,6,0),"")</f>
        <v/>
      </c>
      <c r="H1846" t="str">
        <f>_xlfn.IFNA(VLOOKUP(Table1[[#This Row],[Tên đối tượng]],'DANH MỤC ĐỐI TƯỢNG'!A:I,9,0),"")</f>
        <v/>
      </c>
      <c r="I1846" t="str">
        <f>_xlfn.IFNA(VLOOKUP(Table1[[#This Row],[Tên đối tượng]],'DANH MỤC ĐỐI TƯỢNG'!A:J,10,0),"")</f>
        <v/>
      </c>
    </row>
    <row r="1847" spans="1:9" x14ac:dyDescent="0.3">
      <c r="A1847" t="str">
        <f t="shared" si="55"/>
        <v/>
      </c>
      <c r="F1847" t="str">
        <f>IFERROR(VLOOKUP(Table1[[#This Row],[Tên đối tượng]],'DANH MỤC ĐỐI TƯỢNG'!A:E,5,0),"")</f>
        <v/>
      </c>
      <c r="G1847" t="str">
        <f>_xlfn.IFNA(VLOOKUP(Table1[[#This Row],[Tên đối tượng]],'DANH MỤC ĐỐI TƯỢNG'!A:F,6,0),"")</f>
        <v/>
      </c>
      <c r="H1847" t="str">
        <f>_xlfn.IFNA(VLOOKUP(Table1[[#This Row],[Tên đối tượng]],'DANH MỤC ĐỐI TƯỢNG'!A:I,9,0),"")</f>
        <v/>
      </c>
      <c r="I1847" t="str">
        <f>_xlfn.IFNA(VLOOKUP(Table1[[#This Row],[Tên đối tượng]],'DANH MỤC ĐỐI TƯỢNG'!A:J,10,0),"")</f>
        <v/>
      </c>
    </row>
    <row r="1848" spans="1:9" x14ac:dyDescent="0.3">
      <c r="A1848" t="str">
        <f t="shared" si="55"/>
        <v/>
      </c>
      <c r="F1848" t="str">
        <f>IFERROR(VLOOKUP(Table1[[#This Row],[Tên đối tượng]],'DANH MỤC ĐỐI TƯỢNG'!A:E,5,0),"")</f>
        <v/>
      </c>
      <c r="G1848" t="str">
        <f>_xlfn.IFNA(VLOOKUP(Table1[[#This Row],[Tên đối tượng]],'DANH MỤC ĐỐI TƯỢNG'!A:F,6,0),"")</f>
        <v/>
      </c>
      <c r="H1848" t="str">
        <f>_xlfn.IFNA(VLOOKUP(Table1[[#This Row],[Tên đối tượng]],'DANH MỤC ĐỐI TƯỢNG'!A:I,9,0),"")</f>
        <v/>
      </c>
      <c r="I1848" t="str">
        <f>_xlfn.IFNA(VLOOKUP(Table1[[#This Row],[Tên đối tượng]],'DANH MỤC ĐỐI TƯỢNG'!A:J,10,0),"")</f>
        <v/>
      </c>
    </row>
    <row r="1849" spans="1:9" x14ac:dyDescent="0.3">
      <c r="A1849" t="str">
        <f t="shared" si="55"/>
        <v/>
      </c>
      <c r="F1849" t="str">
        <f>IFERROR(VLOOKUP(Table1[[#This Row],[Tên đối tượng]],'DANH MỤC ĐỐI TƯỢNG'!A:E,5,0),"")</f>
        <v/>
      </c>
      <c r="G1849" t="str">
        <f>_xlfn.IFNA(VLOOKUP(Table1[[#This Row],[Tên đối tượng]],'DANH MỤC ĐỐI TƯỢNG'!A:F,6,0),"")</f>
        <v/>
      </c>
      <c r="H1849" t="str">
        <f>_xlfn.IFNA(VLOOKUP(Table1[[#This Row],[Tên đối tượng]],'DANH MỤC ĐỐI TƯỢNG'!A:I,9,0),"")</f>
        <v/>
      </c>
      <c r="I1849" t="str">
        <f>_xlfn.IFNA(VLOOKUP(Table1[[#This Row],[Tên đối tượng]],'DANH MỤC ĐỐI TƯỢNG'!A:J,10,0),"")</f>
        <v/>
      </c>
    </row>
    <row r="1850" spans="1:9" x14ac:dyDescent="0.3">
      <c r="A1850" t="str">
        <f t="shared" si="55"/>
        <v/>
      </c>
      <c r="F1850" t="str">
        <f>IFERROR(VLOOKUP(Table1[[#This Row],[Tên đối tượng]],'DANH MỤC ĐỐI TƯỢNG'!A:E,5,0),"")</f>
        <v/>
      </c>
      <c r="G1850" t="str">
        <f>_xlfn.IFNA(VLOOKUP(Table1[[#This Row],[Tên đối tượng]],'DANH MỤC ĐỐI TƯỢNG'!A:F,6,0),"")</f>
        <v/>
      </c>
      <c r="H1850" t="str">
        <f>_xlfn.IFNA(VLOOKUP(Table1[[#This Row],[Tên đối tượng]],'DANH MỤC ĐỐI TƯỢNG'!A:I,9,0),"")</f>
        <v/>
      </c>
      <c r="I1850" t="str">
        <f>_xlfn.IFNA(VLOOKUP(Table1[[#This Row],[Tên đối tượng]],'DANH MỤC ĐỐI TƯỢNG'!A:J,10,0),"")</f>
        <v/>
      </c>
    </row>
    <row r="1851" spans="1:9" x14ac:dyDescent="0.3">
      <c r="A1851" t="str">
        <f t="shared" si="55"/>
        <v/>
      </c>
      <c r="F1851" t="str">
        <f>IFERROR(VLOOKUP(Table1[[#This Row],[Tên đối tượng]],'DANH MỤC ĐỐI TƯỢNG'!A:E,5,0),"")</f>
        <v/>
      </c>
      <c r="G1851" t="str">
        <f>_xlfn.IFNA(VLOOKUP(Table1[[#This Row],[Tên đối tượng]],'DANH MỤC ĐỐI TƯỢNG'!A:F,6,0),"")</f>
        <v/>
      </c>
      <c r="H1851" t="str">
        <f>_xlfn.IFNA(VLOOKUP(Table1[[#This Row],[Tên đối tượng]],'DANH MỤC ĐỐI TƯỢNG'!A:I,9,0),"")</f>
        <v/>
      </c>
      <c r="I1851" t="str">
        <f>_xlfn.IFNA(VLOOKUP(Table1[[#This Row],[Tên đối tượng]],'DANH MỤC ĐỐI TƯỢNG'!A:J,10,0),"")</f>
        <v/>
      </c>
    </row>
    <row r="1852" spans="1:9" x14ac:dyDescent="0.3">
      <c r="A1852" t="str">
        <f t="shared" si="55"/>
        <v/>
      </c>
      <c r="F1852" t="str">
        <f>IFERROR(VLOOKUP(Table1[[#This Row],[Tên đối tượng]],'DANH MỤC ĐỐI TƯỢNG'!A:E,5,0),"")</f>
        <v/>
      </c>
      <c r="G1852" t="str">
        <f>_xlfn.IFNA(VLOOKUP(Table1[[#This Row],[Tên đối tượng]],'DANH MỤC ĐỐI TƯỢNG'!A:F,6,0),"")</f>
        <v/>
      </c>
      <c r="H1852" t="str">
        <f>_xlfn.IFNA(VLOOKUP(Table1[[#This Row],[Tên đối tượng]],'DANH MỤC ĐỐI TƯỢNG'!A:I,9,0),"")</f>
        <v/>
      </c>
      <c r="I1852" t="str">
        <f>_xlfn.IFNA(VLOOKUP(Table1[[#This Row],[Tên đối tượng]],'DANH MỤC ĐỐI TƯỢNG'!A:J,10,0),"")</f>
        <v/>
      </c>
    </row>
    <row r="1853" spans="1:9" x14ac:dyDescent="0.3">
      <c r="A1853" t="str">
        <f t="shared" si="55"/>
        <v/>
      </c>
      <c r="F1853" t="str">
        <f>IFERROR(VLOOKUP(Table1[[#This Row],[Tên đối tượng]],'DANH MỤC ĐỐI TƯỢNG'!A:E,5,0),"")</f>
        <v/>
      </c>
      <c r="G1853" t="str">
        <f>_xlfn.IFNA(VLOOKUP(Table1[[#This Row],[Tên đối tượng]],'DANH MỤC ĐỐI TƯỢNG'!A:F,6,0),"")</f>
        <v/>
      </c>
      <c r="H1853" t="str">
        <f>_xlfn.IFNA(VLOOKUP(Table1[[#This Row],[Tên đối tượng]],'DANH MỤC ĐỐI TƯỢNG'!A:I,9,0),"")</f>
        <v/>
      </c>
      <c r="I1853" t="str">
        <f>_xlfn.IFNA(VLOOKUP(Table1[[#This Row],[Tên đối tượng]],'DANH MỤC ĐỐI TƯỢNG'!A:J,10,0),"")</f>
        <v/>
      </c>
    </row>
    <row r="1854" spans="1:9" x14ac:dyDescent="0.3">
      <c r="A1854" t="str">
        <f t="shared" si="55"/>
        <v/>
      </c>
      <c r="F1854" t="str">
        <f>IFERROR(VLOOKUP(Table1[[#This Row],[Tên đối tượng]],'DANH MỤC ĐỐI TƯỢNG'!A:E,5,0),"")</f>
        <v/>
      </c>
      <c r="G1854" t="str">
        <f>_xlfn.IFNA(VLOOKUP(Table1[[#This Row],[Tên đối tượng]],'DANH MỤC ĐỐI TƯỢNG'!A:F,6,0),"")</f>
        <v/>
      </c>
      <c r="H1854" t="str">
        <f>_xlfn.IFNA(VLOOKUP(Table1[[#This Row],[Tên đối tượng]],'DANH MỤC ĐỐI TƯỢNG'!A:I,9,0),"")</f>
        <v/>
      </c>
      <c r="I1854" t="str">
        <f>_xlfn.IFNA(VLOOKUP(Table1[[#This Row],[Tên đối tượng]],'DANH MỤC ĐỐI TƯỢNG'!A:J,10,0),"")</f>
        <v/>
      </c>
    </row>
    <row r="1855" spans="1:9" x14ac:dyDescent="0.3">
      <c r="A1855" t="str">
        <f t="shared" si="55"/>
        <v/>
      </c>
      <c r="F1855" t="str">
        <f>IFERROR(VLOOKUP(Table1[[#This Row],[Tên đối tượng]],'DANH MỤC ĐỐI TƯỢNG'!A:E,5,0),"")</f>
        <v/>
      </c>
      <c r="G1855" t="str">
        <f>_xlfn.IFNA(VLOOKUP(Table1[[#This Row],[Tên đối tượng]],'DANH MỤC ĐỐI TƯỢNG'!A:F,6,0),"")</f>
        <v/>
      </c>
      <c r="H1855" t="str">
        <f>_xlfn.IFNA(VLOOKUP(Table1[[#This Row],[Tên đối tượng]],'DANH MỤC ĐỐI TƯỢNG'!A:I,9,0),"")</f>
        <v/>
      </c>
      <c r="I1855" t="str">
        <f>_xlfn.IFNA(VLOOKUP(Table1[[#This Row],[Tên đối tượng]],'DANH MỤC ĐỐI TƯỢNG'!A:J,10,0),"")</f>
        <v/>
      </c>
    </row>
    <row r="1856" spans="1:9" x14ac:dyDescent="0.3">
      <c r="A1856" t="str">
        <f t="shared" ref="A1856:A1919" si="56">IF(B1856&lt;&gt;0,ROW()-3,"")</f>
        <v/>
      </c>
      <c r="F1856" t="str">
        <f>IFERROR(VLOOKUP(Table1[[#This Row],[Tên đối tượng]],'DANH MỤC ĐỐI TƯỢNG'!A:E,5,0),"")</f>
        <v/>
      </c>
      <c r="G1856" t="str">
        <f>_xlfn.IFNA(VLOOKUP(Table1[[#This Row],[Tên đối tượng]],'DANH MỤC ĐỐI TƯỢNG'!A:F,6,0),"")</f>
        <v/>
      </c>
      <c r="H1856" t="str">
        <f>_xlfn.IFNA(VLOOKUP(Table1[[#This Row],[Tên đối tượng]],'DANH MỤC ĐỐI TƯỢNG'!A:I,9,0),"")</f>
        <v/>
      </c>
      <c r="I1856" t="str">
        <f>_xlfn.IFNA(VLOOKUP(Table1[[#This Row],[Tên đối tượng]],'DANH MỤC ĐỐI TƯỢNG'!A:J,10,0),"")</f>
        <v/>
      </c>
    </row>
    <row r="1857" spans="1:9" x14ac:dyDescent="0.3">
      <c r="A1857" t="str">
        <f t="shared" si="56"/>
        <v/>
      </c>
      <c r="F1857" t="str">
        <f>IFERROR(VLOOKUP(Table1[[#This Row],[Tên đối tượng]],'DANH MỤC ĐỐI TƯỢNG'!A:E,5,0),"")</f>
        <v/>
      </c>
      <c r="G1857" t="str">
        <f>_xlfn.IFNA(VLOOKUP(Table1[[#This Row],[Tên đối tượng]],'DANH MỤC ĐỐI TƯỢNG'!A:F,6,0),"")</f>
        <v/>
      </c>
      <c r="H1857" t="str">
        <f>_xlfn.IFNA(VLOOKUP(Table1[[#This Row],[Tên đối tượng]],'DANH MỤC ĐỐI TƯỢNG'!A:I,9,0),"")</f>
        <v/>
      </c>
      <c r="I1857" t="str">
        <f>_xlfn.IFNA(VLOOKUP(Table1[[#This Row],[Tên đối tượng]],'DANH MỤC ĐỐI TƯỢNG'!A:J,10,0),"")</f>
        <v/>
      </c>
    </row>
    <row r="1858" spans="1:9" x14ac:dyDescent="0.3">
      <c r="A1858" t="str">
        <f t="shared" si="56"/>
        <v/>
      </c>
      <c r="F1858" t="str">
        <f>IFERROR(VLOOKUP(Table1[[#This Row],[Tên đối tượng]],'DANH MỤC ĐỐI TƯỢNG'!A:E,5,0),"")</f>
        <v/>
      </c>
      <c r="G1858" t="str">
        <f>_xlfn.IFNA(VLOOKUP(Table1[[#This Row],[Tên đối tượng]],'DANH MỤC ĐỐI TƯỢNG'!A:F,6,0),"")</f>
        <v/>
      </c>
      <c r="H1858" t="str">
        <f>_xlfn.IFNA(VLOOKUP(Table1[[#This Row],[Tên đối tượng]],'DANH MỤC ĐỐI TƯỢNG'!A:I,9,0),"")</f>
        <v/>
      </c>
      <c r="I1858" t="str">
        <f>_xlfn.IFNA(VLOOKUP(Table1[[#This Row],[Tên đối tượng]],'DANH MỤC ĐỐI TƯỢNG'!A:J,10,0),"")</f>
        <v/>
      </c>
    </row>
    <row r="1859" spans="1:9" x14ac:dyDescent="0.3">
      <c r="A1859" t="str">
        <f t="shared" si="56"/>
        <v/>
      </c>
      <c r="F1859" t="str">
        <f>IFERROR(VLOOKUP(Table1[[#This Row],[Tên đối tượng]],'DANH MỤC ĐỐI TƯỢNG'!A:E,5,0),"")</f>
        <v/>
      </c>
      <c r="G1859" t="str">
        <f>_xlfn.IFNA(VLOOKUP(Table1[[#This Row],[Tên đối tượng]],'DANH MỤC ĐỐI TƯỢNG'!A:F,6,0),"")</f>
        <v/>
      </c>
      <c r="H1859" t="str">
        <f>_xlfn.IFNA(VLOOKUP(Table1[[#This Row],[Tên đối tượng]],'DANH MỤC ĐỐI TƯỢNG'!A:I,9,0),"")</f>
        <v/>
      </c>
      <c r="I1859" t="str">
        <f>_xlfn.IFNA(VLOOKUP(Table1[[#This Row],[Tên đối tượng]],'DANH MỤC ĐỐI TƯỢNG'!A:J,10,0),"")</f>
        <v/>
      </c>
    </row>
    <row r="1860" spans="1:9" x14ac:dyDescent="0.3">
      <c r="A1860" t="str">
        <f t="shared" si="56"/>
        <v/>
      </c>
      <c r="F1860" t="str">
        <f>IFERROR(VLOOKUP(Table1[[#This Row],[Tên đối tượng]],'DANH MỤC ĐỐI TƯỢNG'!A:E,5,0),"")</f>
        <v/>
      </c>
      <c r="G1860" t="str">
        <f>_xlfn.IFNA(VLOOKUP(Table1[[#This Row],[Tên đối tượng]],'DANH MỤC ĐỐI TƯỢNG'!A:F,6,0),"")</f>
        <v/>
      </c>
      <c r="H1860" t="str">
        <f>_xlfn.IFNA(VLOOKUP(Table1[[#This Row],[Tên đối tượng]],'DANH MỤC ĐỐI TƯỢNG'!A:I,9,0),"")</f>
        <v/>
      </c>
      <c r="I1860" t="str">
        <f>_xlfn.IFNA(VLOOKUP(Table1[[#This Row],[Tên đối tượng]],'DANH MỤC ĐỐI TƯỢNG'!A:J,10,0),"")</f>
        <v/>
      </c>
    </row>
    <row r="1861" spans="1:9" x14ac:dyDescent="0.3">
      <c r="A1861" t="str">
        <f t="shared" si="56"/>
        <v/>
      </c>
      <c r="F1861" t="str">
        <f>IFERROR(VLOOKUP(Table1[[#This Row],[Tên đối tượng]],'DANH MỤC ĐỐI TƯỢNG'!A:E,5,0),"")</f>
        <v/>
      </c>
      <c r="G1861" t="str">
        <f>_xlfn.IFNA(VLOOKUP(Table1[[#This Row],[Tên đối tượng]],'DANH MỤC ĐỐI TƯỢNG'!A:F,6,0),"")</f>
        <v/>
      </c>
      <c r="H1861" t="str">
        <f>_xlfn.IFNA(VLOOKUP(Table1[[#This Row],[Tên đối tượng]],'DANH MỤC ĐỐI TƯỢNG'!A:I,9,0),"")</f>
        <v/>
      </c>
      <c r="I1861" t="str">
        <f>_xlfn.IFNA(VLOOKUP(Table1[[#This Row],[Tên đối tượng]],'DANH MỤC ĐỐI TƯỢNG'!A:J,10,0),"")</f>
        <v/>
      </c>
    </row>
    <row r="1862" spans="1:9" x14ac:dyDescent="0.3">
      <c r="A1862" t="str">
        <f t="shared" si="56"/>
        <v/>
      </c>
      <c r="F1862" t="str">
        <f>IFERROR(VLOOKUP(Table1[[#This Row],[Tên đối tượng]],'DANH MỤC ĐỐI TƯỢNG'!A:E,5,0),"")</f>
        <v/>
      </c>
      <c r="G1862" t="str">
        <f>_xlfn.IFNA(VLOOKUP(Table1[[#This Row],[Tên đối tượng]],'DANH MỤC ĐỐI TƯỢNG'!A:F,6,0),"")</f>
        <v/>
      </c>
      <c r="H1862" t="str">
        <f>_xlfn.IFNA(VLOOKUP(Table1[[#This Row],[Tên đối tượng]],'DANH MỤC ĐỐI TƯỢNG'!A:I,9,0),"")</f>
        <v/>
      </c>
      <c r="I1862" t="str">
        <f>_xlfn.IFNA(VLOOKUP(Table1[[#This Row],[Tên đối tượng]],'DANH MỤC ĐỐI TƯỢNG'!A:J,10,0),"")</f>
        <v/>
      </c>
    </row>
    <row r="1863" spans="1:9" x14ac:dyDescent="0.3">
      <c r="A1863" t="str">
        <f t="shared" si="56"/>
        <v/>
      </c>
      <c r="F1863" t="str">
        <f>IFERROR(VLOOKUP(Table1[[#This Row],[Tên đối tượng]],'DANH MỤC ĐỐI TƯỢNG'!A:E,5,0),"")</f>
        <v/>
      </c>
      <c r="G1863" t="str">
        <f>_xlfn.IFNA(VLOOKUP(Table1[[#This Row],[Tên đối tượng]],'DANH MỤC ĐỐI TƯỢNG'!A:F,6,0),"")</f>
        <v/>
      </c>
      <c r="H1863" t="str">
        <f>_xlfn.IFNA(VLOOKUP(Table1[[#This Row],[Tên đối tượng]],'DANH MỤC ĐỐI TƯỢNG'!A:I,9,0),"")</f>
        <v/>
      </c>
      <c r="I1863" t="str">
        <f>_xlfn.IFNA(VLOOKUP(Table1[[#This Row],[Tên đối tượng]],'DANH MỤC ĐỐI TƯỢNG'!A:J,10,0),"")</f>
        <v/>
      </c>
    </row>
    <row r="1864" spans="1:9" x14ac:dyDescent="0.3">
      <c r="A1864" t="str">
        <f t="shared" si="56"/>
        <v/>
      </c>
      <c r="F1864" t="str">
        <f>IFERROR(VLOOKUP(Table1[[#This Row],[Tên đối tượng]],'DANH MỤC ĐỐI TƯỢNG'!A:E,5,0),"")</f>
        <v/>
      </c>
      <c r="G1864" t="str">
        <f>_xlfn.IFNA(VLOOKUP(Table1[[#This Row],[Tên đối tượng]],'DANH MỤC ĐỐI TƯỢNG'!A:F,6,0),"")</f>
        <v/>
      </c>
      <c r="H1864" t="str">
        <f>_xlfn.IFNA(VLOOKUP(Table1[[#This Row],[Tên đối tượng]],'DANH MỤC ĐỐI TƯỢNG'!A:I,9,0),"")</f>
        <v/>
      </c>
      <c r="I1864" t="str">
        <f>_xlfn.IFNA(VLOOKUP(Table1[[#This Row],[Tên đối tượng]],'DANH MỤC ĐỐI TƯỢNG'!A:J,10,0),"")</f>
        <v/>
      </c>
    </row>
    <row r="1865" spans="1:9" x14ac:dyDescent="0.3">
      <c r="A1865" t="str">
        <f t="shared" si="56"/>
        <v/>
      </c>
      <c r="F1865" t="str">
        <f>IFERROR(VLOOKUP(Table1[[#This Row],[Tên đối tượng]],'DANH MỤC ĐỐI TƯỢNG'!A:E,5,0),"")</f>
        <v/>
      </c>
      <c r="G1865" t="str">
        <f>_xlfn.IFNA(VLOOKUP(Table1[[#This Row],[Tên đối tượng]],'DANH MỤC ĐỐI TƯỢNG'!A:F,6,0),"")</f>
        <v/>
      </c>
      <c r="H1865" t="str">
        <f>_xlfn.IFNA(VLOOKUP(Table1[[#This Row],[Tên đối tượng]],'DANH MỤC ĐỐI TƯỢNG'!A:I,9,0),"")</f>
        <v/>
      </c>
      <c r="I1865" t="str">
        <f>_xlfn.IFNA(VLOOKUP(Table1[[#This Row],[Tên đối tượng]],'DANH MỤC ĐỐI TƯỢNG'!A:J,10,0),"")</f>
        <v/>
      </c>
    </row>
    <row r="1866" spans="1:9" x14ac:dyDescent="0.3">
      <c r="A1866" t="str">
        <f t="shared" si="56"/>
        <v/>
      </c>
      <c r="F1866" t="str">
        <f>IFERROR(VLOOKUP(Table1[[#This Row],[Tên đối tượng]],'DANH MỤC ĐỐI TƯỢNG'!A:E,5,0),"")</f>
        <v/>
      </c>
      <c r="G1866" t="str">
        <f>_xlfn.IFNA(VLOOKUP(Table1[[#This Row],[Tên đối tượng]],'DANH MỤC ĐỐI TƯỢNG'!A:F,6,0),"")</f>
        <v/>
      </c>
      <c r="H1866" t="str">
        <f>_xlfn.IFNA(VLOOKUP(Table1[[#This Row],[Tên đối tượng]],'DANH MỤC ĐỐI TƯỢNG'!A:I,9,0),"")</f>
        <v/>
      </c>
      <c r="I1866" t="str">
        <f>_xlfn.IFNA(VLOOKUP(Table1[[#This Row],[Tên đối tượng]],'DANH MỤC ĐỐI TƯỢNG'!A:J,10,0),"")</f>
        <v/>
      </c>
    </row>
    <row r="1867" spans="1:9" x14ac:dyDescent="0.3">
      <c r="A1867" t="str">
        <f t="shared" si="56"/>
        <v/>
      </c>
      <c r="F1867" t="str">
        <f>IFERROR(VLOOKUP(Table1[[#This Row],[Tên đối tượng]],'DANH MỤC ĐỐI TƯỢNG'!A:E,5,0),"")</f>
        <v/>
      </c>
      <c r="G1867" t="str">
        <f>_xlfn.IFNA(VLOOKUP(Table1[[#This Row],[Tên đối tượng]],'DANH MỤC ĐỐI TƯỢNG'!A:F,6,0),"")</f>
        <v/>
      </c>
      <c r="H1867" t="str">
        <f>_xlfn.IFNA(VLOOKUP(Table1[[#This Row],[Tên đối tượng]],'DANH MỤC ĐỐI TƯỢNG'!A:I,9,0),"")</f>
        <v/>
      </c>
      <c r="I1867" t="str">
        <f>_xlfn.IFNA(VLOOKUP(Table1[[#This Row],[Tên đối tượng]],'DANH MỤC ĐỐI TƯỢNG'!A:J,10,0),"")</f>
        <v/>
      </c>
    </row>
    <row r="1868" spans="1:9" x14ac:dyDescent="0.3">
      <c r="A1868" t="str">
        <f t="shared" si="56"/>
        <v/>
      </c>
      <c r="F1868" t="str">
        <f>IFERROR(VLOOKUP(Table1[[#This Row],[Tên đối tượng]],'DANH MỤC ĐỐI TƯỢNG'!A:E,5,0),"")</f>
        <v/>
      </c>
      <c r="G1868" t="str">
        <f>_xlfn.IFNA(VLOOKUP(Table1[[#This Row],[Tên đối tượng]],'DANH MỤC ĐỐI TƯỢNG'!A:F,6,0),"")</f>
        <v/>
      </c>
      <c r="H1868" t="str">
        <f>_xlfn.IFNA(VLOOKUP(Table1[[#This Row],[Tên đối tượng]],'DANH MỤC ĐỐI TƯỢNG'!A:I,9,0),"")</f>
        <v/>
      </c>
      <c r="I1868" t="str">
        <f>_xlfn.IFNA(VLOOKUP(Table1[[#This Row],[Tên đối tượng]],'DANH MỤC ĐỐI TƯỢNG'!A:J,10,0),"")</f>
        <v/>
      </c>
    </row>
    <row r="1869" spans="1:9" x14ac:dyDescent="0.3">
      <c r="A1869" t="str">
        <f t="shared" si="56"/>
        <v/>
      </c>
      <c r="F1869" t="str">
        <f>IFERROR(VLOOKUP(Table1[[#This Row],[Tên đối tượng]],'DANH MỤC ĐỐI TƯỢNG'!A:E,5,0),"")</f>
        <v/>
      </c>
      <c r="G1869" t="str">
        <f>_xlfn.IFNA(VLOOKUP(Table1[[#This Row],[Tên đối tượng]],'DANH MỤC ĐỐI TƯỢNG'!A:F,6,0),"")</f>
        <v/>
      </c>
      <c r="H1869" t="str">
        <f>_xlfn.IFNA(VLOOKUP(Table1[[#This Row],[Tên đối tượng]],'DANH MỤC ĐỐI TƯỢNG'!A:I,9,0),"")</f>
        <v/>
      </c>
      <c r="I1869" t="str">
        <f>_xlfn.IFNA(VLOOKUP(Table1[[#This Row],[Tên đối tượng]],'DANH MỤC ĐỐI TƯỢNG'!A:J,10,0),"")</f>
        <v/>
      </c>
    </row>
    <row r="1870" spans="1:9" x14ac:dyDescent="0.3">
      <c r="A1870" t="str">
        <f t="shared" si="56"/>
        <v/>
      </c>
      <c r="F1870" t="str">
        <f>IFERROR(VLOOKUP(Table1[[#This Row],[Tên đối tượng]],'DANH MỤC ĐỐI TƯỢNG'!A:E,5,0),"")</f>
        <v/>
      </c>
      <c r="G1870" t="str">
        <f>_xlfn.IFNA(VLOOKUP(Table1[[#This Row],[Tên đối tượng]],'DANH MỤC ĐỐI TƯỢNG'!A:F,6,0),"")</f>
        <v/>
      </c>
      <c r="H1870" t="str">
        <f>_xlfn.IFNA(VLOOKUP(Table1[[#This Row],[Tên đối tượng]],'DANH MỤC ĐỐI TƯỢNG'!A:I,9,0),"")</f>
        <v/>
      </c>
      <c r="I1870" t="str">
        <f>_xlfn.IFNA(VLOOKUP(Table1[[#This Row],[Tên đối tượng]],'DANH MỤC ĐỐI TƯỢNG'!A:J,10,0),"")</f>
        <v/>
      </c>
    </row>
    <row r="1871" spans="1:9" x14ac:dyDescent="0.3">
      <c r="A1871" t="str">
        <f t="shared" si="56"/>
        <v/>
      </c>
      <c r="F1871" t="str">
        <f>IFERROR(VLOOKUP(Table1[[#This Row],[Tên đối tượng]],'DANH MỤC ĐỐI TƯỢNG'!A:E,5,0),"")</f>
        <v/>
      </c>
      <c r="G1871" t="str">
        <f>_xlfn.IFNA(VLOOKUP(Table1[[#This Row],[Tên đối tượng]],'DANH MỤC ĐỐI TƯỢNG'!A:F,6,0),"")</f>
        <v/>
      </c>
      <c r="H1871" t="str">
        <f>_xlfn.IFNA(VLOOKUP(Table1[[#This Row],[Tên đối tượng]],'DANH MỤC ĐỐI TƯỢNG'!A:I,9,0),"")</f>
        <v/>
      </c>
      <c r="I1871" t="str">
        <f>_xlfn.IFNA(VLOOKUP(Table1[[#This Row],[Tên đối tượng]],'DANH MỤC ĐỐI TƯỢNG'!A:J,10,0),"")</f>
        <v/>
      </c>
    </row>
    <row r="1872" spans="1:9" x14ac:dyDescent="0.3">
      <c r="A1872" t="str">
        <f t="shared" si="56"/>
        <v/>
      </c>
      <c r="F1872" t="str">
        <f>IFERROR(VLOOKUP(Table1[[#This Row],[Tên đối tượng]],'DANH MỤC ĐỐI TƯỢNG'!A:E,5,0),"")</f>
        <v/>
      </c>
      <c r="G1872" t="str">
        <f>_xlfn.IFNA(VLOOKUP(Table1[[#This Row],[Tên đối tượng]],'DANH MỤC ĐỐI TƯỢNG'!A:F,6,0),"")</f>
        <v/>
      </c>
      <c r="H1872" t="str">
        <f>_xlfn.IFNA(VLOOKUP(Table1[[#This Row],[Tên đối tượng]],'DANH MỤC ĐỐI TƯỢNG'!A:I,9,0),"")</f>
        <v/>
      </c>
      <c r="I1872" t="str">
        <f>_xlfn.IFNA(VLOOKUP(Table1[[#This Row],[Tên đối tượng]],'DANH MỤC ĐỐI TƯỢNG'!A:J,10,0),"")</f>
        <v/>
      </c>
    </row>
    <row r="1873" spans="1:9" x14ac:dyDescent="0.3">
      <c r="A1873" t="str">
        <f t="shared" si="56"/>
        <v/>
      </c>
      <c r="F1873" t="str">
        <f>IFERROR(VLOOKUP(Table1[[#This Row],[Tên đối tượng]],'DANH MỤC ĐỐI TƯỢNG'!A:E,5,0),"")</f>
        <v/>
      </c>
      <c r="G1873" t="str">
        <f>_xlfn.IFNA(VLOOKUP(Table1[[#This Row],[Tên đối tượng]],'DANH MỤC ĐỐI TƯỢNG'!A:F,6,0),"")</f>
        <v/>
      </c>
      <c r="H1873" t="str">
        <f>_xlfn.IFNA(VLOOKUP(Table1[[#This Row],[Tên đối tượng]],'DANH MỤC ĐỐI TƯỢNG'!A:I,9,0),"")</f>
        <v/>
      </c>
      <c r="I1873" t="str">
        <f>_xlfn.IFNA(VLOOKUP(Table1[[#This Row],[Tên đối tượng]],'DANH MỤC ĐỐI TƯỢNG'!A:J,10,0),"")</f>
        <v/>
      </c>
    </row>
    <row r="1874" spans="1:9" x14ac:dyDescent="0.3">
      <c r="A1874" t="str">
        <f t="shared" si="56"/>
        <v/>
      </c>
      <c r="F1874" t="str">
        <f>IFERROR(VLOOKUP(Table1[[#This Row],[Tên đối tượng]],'DANH MỤC ĐỐI TƯỢNG'!A:E,5,0),"")</f>
        <v/>
      </c>
      <c r="G1874" t="str">
        <f>_xlfn.IFNA(VLOOKUP(Table1[[#This Row],[Tên đối tượng]],'DANH MỤC ĐỐI TƯỢNG'!A:F,6,0),"")</f>
        <v/>
      </c>
      <c r="H1874" t="str">
        <f>_xlfn.IFNA(VLOOKUP(Table1[[#This Row],[Tên đối tượng]],'DANH MỤC ĐỐI TƯỢNG'!A:I,9,0),"")</f>
        <v/>
      </c>
      <c r="I1874" t="str">
        <f>_xlfn.IFNA(VLOOKUP(Table1[[#This Row],[Tên đối tượng]],'DANH MỤC ĐỐI TƯỢNG'!A:J,10,0),"")</f>
        <v/>
      </c>
    </row>
    <row r="1875" spans="1:9" x14ac:dyDescent="0.3">
      <c r="A1875" t="str">
        <f t="shared" si="56"/>
        <v/>
      </c>
      <c r="F1875" t="str">
        <f>IFERROR(VLOOKUP(Table1[[#This Row],[Tên đối tượng]],'DANH MỤC ĐỐI TƯỢNG'!A:E,5,0),"")</f>
        <v/>
      </c>
      <c r="G1875" t="str">
        <f>_xlfn.IFNA(VLOOKUP(Table1[[#This Row],[Tên đối tượng]],'DANH MỤC ĐỐI TƯỢNG'!A:F,6,0),"")</f>
        <v/>
      </c>
      <c r="H1875" t="str">
        <f>_xlfn.IFNA(VLOOKUP(Table1[[#This Row],[Tên đối tượng]],'DANH MỤC ĐỐI TƯỢNG'!A:I,9,0),"")</f>
        <v/>
      </c>
      <c r="I1875" t="str">
        <f>_xlfn.IFNA(VLOOKUP(Table1[[#This Row],[Tên đối tượng]],'DANH MỤC ĐỐI TƯỢNG'!A:J,10,0),"")</f>
        <v/>
      </c>
    </row>
    <row r="1876" spans="1:9" x14ac:dyDescent="0.3">
      <c r="A1876" t="str">
        <f t="shared" si="56"/>
        <v/>
      </c>
      <c r="F1876" t="str">
        <f>IFERROR(VLOOKUP(Table1[[#This Row],[Tên đối tượng]],'DANH MỤC ĐỐI TƯỢNG'!A:E,5,0),"")</f>
        <v/>
      </c>
      <c r="G1876" t="str">
        <f>_xlfn.IFNA(VLOOKUP(Table1[[#This Row],[Tên đối tượng]],'DANH MỤC ĐỐI TƯỢNG'!A:F,6,0),"")</f>
        <v/>
      </c>
      <c r="H1876" t="str">
        <f>_xlfn.IFNA(VLOOKUP(Table1[[#This Row],[Tên đối tượng]],'DANH MỤC ĐỐI TƯỢNG'!A:I,9,0),"")</f>
        <v/>
      </c>
      <c r="I1876" t="str">
        <f>_xlfn.IFNA(VLOOKUP(Table1[[#This Row],[Tên đối tượng]],'DANH MỤC ĐỐI TƯỢNG'!A:J,10,0),"")</f>
        <v/>
      </c>
    </row>
    <row r="1877" spans="1:9" x14ac:dyDescent="0.3">
      <c r="A1877" t="str">
        <f t="shared" si="56"/>
        <v/>
      </c>
      <c r="F1877" t="str">
        <f>IFERROR(VLOOKUP(Table1[[#This Row],[Tên đối tượng]],'DANH MỤC ĐỐI TƯỢNG'!A:E,5,0),"")</f>
        <v/>
      </c>
      <c r="G1877" t="str">
        <f>_xlfn.IFNA(VLOOKUP(Table1[[#This Row],[Tên đối tượng]],'DANH MỤC ĐỐI TƯỢNG'!A:F,6,0),"")</f>
        <v/>
      </c>
      <c r="H1877" t="str">
        <f>_xlfn.IFNA(VLOOKUP(Table1[[#This Row],[Tên đối tượng]],'DANH MỤC ĐỐI TƯỢNG'!A:I,9,0),"")</f>
        <v/>
      </c>
      <c r="I1877" t="str">
        <f>_xlfn.IFNA(VLOOKUP(Table1[[#This Row],[Tên đối tượng]],'DANH MỤC ĐỐI TƯỢNG'!A:J,10,0),"")</f>
        <v/>
      </c>
    </row>
    <row r="1878" spans="1:9" x14ac:dyDescent="0.3">
      <c r="A1878" t="str">
        <f t="shared" si="56"/>
        <v/>
      </c>
      <c r="F1878" t="str">
        <f>IFERROR(VLOOKUP(Table1[[#This Row],[Tên đối tượng]],'DANH MỤC ĐỐI TƯỢNG'!A:E,5,0),"")</f>
        <v/>
      </c>
      <c r="G1878" t="str">
        <f>_xlfn.IFNA(VLOOKUP(Table1[[#This Row],[Tên đối tượng]],'DANH MỤC ĐỐI TƯỢNG'!A:F,6,0),"")</f>
        <v/>
      </c>
      <c r="H1878" t="str">
        <f>_xlfn.IFNA(VLOOKUP(Table1[[#This Row],[Tên đối tượng]],'DANH MỤC ĐỐI TƯỢNG'!A:I,9,0),"")</f>
        <v/>
      </c>
      <c r="I1878" t="str">
        <f>_xlfn.IFNA(VLOOKUP(Table1[[#This Row],[Tên đối tượng]],'DANH MỤC ĐỐI TƯỢNG'!A:J,10,0),"")</f>
        <v/>
      </c>
    </row>
    <row r="1879" spans="1:9" x14ac:dyDescent="0.3">
      <c r="A1879" t="str">
        <f t="shared" si="56"/>
        <v/>
      </c>
      <c r="F1879" t="str">
        <f>IFERROR(VLOOKUP(Table1[[#This Row],[Tên đối tượng]],'DANH MỤC ĐỐI TƯỢNG'!A:E,5,0),"")</f>
        <v/>
      </c>
      <c r="G1879" t="str">
        <f>_xlfn.IFNA(VLOOKUP(Table1[[#This Row],[Tên đối tượng]],'DANH MỤC ĐỐI TƯỢNG'!A:F,6,0),"")</f>
        <v/>
      </c>
      <c r="H1879" t="str">
        <f>_xlfn.IFNA(VLOOKUP(Table1[[#This Row],[Tên đối tượng]],'DANH MỤC ĐỐI TƯỢNG'!A:I,9,0),"")</f>
        <v/>
      </c>
      <c r="I1879" t="str">
        <f>_xlfn.IFNA(VLOOKUP(Table1[[#This Row],[Tên đối tượng]],'DANH MỤC ĐỐI TƯỢNG'!A:J,10,0),"")</f>
        <v/>
      </c>
    </row>
    <row r="1880" spans="1:9" x14ac:dyDescent="0.3">
      <c r="A1880" t="str">
        <f t="shared" si="56"/>
        <v/>
      </c>
      <c r="F1880" t="str">
        <f>IFERROR(VLOOKUP(Table1[[#This Row],[Tên đối tượng]],'DANH MỤC ĐỐI TƯỢNG'!A:E,5,0),"")</f>
        <v/>
      </c>
      <c r="G1880" t="str">
        <f>_xlfn.IFNA(VLOOKUP(Table1[[#This Row],[Tên đối tượng]],'DANH MỤC ĐỐI TƯỢNG'!A:F,6,0),"")</f>
        <v/>
      </c>
      <c r="H1880" t="str">
        <f>_xlfn.IFNA(VLOOKUP(Table1[[#This Row],[Tên đối tượng]],'DANH MỤC ĐỐI TƯỢNG'!A:I,9,0),"")</f>
        <v/>
      </c>
      <c r="I1880" t="str">
        <f>_xlfn.IFNA(VLOOKUP(Table1[[#This Row],[Tên đối tượng]],'DANH MỤC ĐỐI TƯỢNG'!A:J,10,0),"")</f>
        <v/>
      </c>
    </row>
    <row r="1881" spans="1:9" x14ac:dyDescent="0.3">
      <c r="A1881" t="str">
        <f t="shared" si="56"/>
        <v/>
      </c>
      <c r="F1881" t="str">
        <f>IFERROR(VLOOKUP(Table1[[#This Row],[Tên đối tượng]],'DANH MỤC ĐỐI TƯỢNG'!A:E,5,0),"")</f>
        <v/>
      </c>
      <c r="G1881" t="str">
        <f>_xlfn.IFNA(VLOOKUP(Table1[[#This Row],[Tên đối tượng]],'DANH MỤC ĐỐI TƯỢNG'!A:F,6,0),"")</f>
        <v/>
      </c>
      <c r="H1881" t="str">
        <f>_xlfn.IFNA(VLOOKUP(Table1[[#This Row],[Tên đối tượng]],'DANH MỤC ĐỐI TƯỢNG'!A:I,9,0),"")</f>
        <v/>
      </c>
      <c r="I1881" t="str">
        <f>_xlfn.IFNA(VLOOKUP(Table1[[#This Row],[Tên đối tượng]],'DANH MỤC ĐỐI TƯỢNG'!A:J,10,0),"")</f>
        <v/>
      </c>
    </row>
    <row r="1882" spans="1:9" x14ac:dyDescent="0.3">
      <c r="A1882" t="str">
        <f t="shared" si="56"/>
        <v/>
      </c>
      <c r="F1882" t="str">
        <f>IFERROR(VLOOKUP(Table1[[#This Row],[Tên đối tượng]],'DANH MỤC ĐỐI TƯỢNG'!A:E,5,0),"")</f>
        <v/>
      </c>
      <c r="G1882" t="str">
        <f>_xlfn.IFNA(VLOOKUP(Table1[[#This Row],[Tên đối tượng]],'DANH MỤC ĐỐI TƯỢNG'!A:F,6,0),"")</f>
        <v/>
      </c>
      <c r="H1882" t="str">
        <f>_xlfn.IFNA(VLOOKUP(Table1[[#This Row],[Tên đối tượng]],'DANH MỤC ĐỐI TƯỢNG'!A:I,9,0),"")</f>
        <v/>
      </c>
      <c r="I1882" t="str">
        <f>_xlfn.IFNA(VLOOKUP(Table1[[#This Row],[Tên đối tượng]],'DANH MỤC ĐỐI TƯỢNG'!A:J,10,0),"")</f>
        <v/>
      </c>
    </row>
    <row r="1883" spans="1:9" x14ac:dyDescent="0.3">
      <c r="A1883" t="str">
        <f t="shared" si="56"/>
        <v/>
      </c>
      <c r="F1883" t="str">
        <f>IFERROR(VLOOKUP(Table1[[#This Row],[Tên đối tượng]],'DANH MỤC ĐỐI TƯỢNG'!A:E,5,0),"")</f>
        <v/>
      </c>
      <c r="G1883" t="str">
        <f>_xlfn.IFNA(VLOOKUP(Table1[[#This Row],[Tên đối tượng]],'DANH MỤC ĐỐI TƯỢNG'!A:F,6,0),"")</f>
        <v/>
      </c>
      <c r="H1883" t="str">
        <f>_xlfn.IFNA(VLOOKUP(Table1[[#This Row],[Tên đối tượng]],'DANH MỤC ĐỐI TƯỢNG'!A:I,9,0),"")</f>
        <v/>
      </c>
      <c r="I1883" t="str">
        <f>_xlfn.IFNA(VLOOKUP(Table1[[#This Row],[Tên đối tượng]],'DANH MỤC ĐỐI TƯỢNG'!A:J,10,0),"")</f>
        <v/>
      </c>
    </row>
    <row r="1884" spans="1:9" x14ac:dyDescent="0.3">
      <c r="A1884" t="str">
        <f t="shared" si="56"/>
        <v/>
      </c>
      <c r="F1884" t="str">
        <f>IFERROR(VLOOKUP(Table1[[#This Row],[Tên đối tượng]],'DANH MỤC ĐỐI TƯỢNG'!A:E,5,0),"")</f>
        <v/>
      </c>
      <c r="G1884" t="str">
        <f>_xlfn.IFNA(VLOOKUP(Table1[[#This Row],[Tên đối tượng]],'DANH MỤC ĐỐI TƯỢNG'!A:F,6,0),"")</f>
        <v/>
      </c>
      <c r="H1884" t="str">
        <f>_xlfn.IFNA(VLOOKUP(Table1[[#This Row],[Tên đối tượng]],'DANH MỤC ĐỐI TƯỢNG'!A:I,9,0),"")</f>
        <v/>
      </c>
      <c r="I1884" t="str">
        <f>_xlfn.IFNA(VLOOKUP(Table1[[#This Row],[Tên đối tượng]],'DANH MỤC ĐỐI TƯỢNG'!A:J,10,0),"")</f>
        <v/>
      </c>
    </row>
    <row r="1885" spans="1:9" x14ac:dyDescent="0.3">
      <c r="A1885" t="str">
        <f t="shared" si="56"/>
        <v/>
      </c>
      <c r="F1885" t="str">
        <f>IFERROR(VLOOKUP(Table1[[#This Row],[Tên đối tượng]],'DANH MỤC ĐỐI TƯỢNG'!A:E,5,0),"")</f>
        <v/>
      </c>
      <c r="G1885" t="str">
        <f>_xlfn.IFNA(VLOOKUP(Table1[[#This Row],[Tên đối tượng]],'DANH MỤC ĐỐI TƯỢNG'!A:F,6,0),"")</f>
        <v/>
      </c>
      <c r="H1885" t="str">
        <f>_xlfn.IFNA(VLOOKUP(Table1[[#This Row],[Tên đối tượng]],'DANH MỤC ĐỐI TƯỢNG'!A:I,9,0),"")</f>
        <v/>
      </c>
      <c r="I1885" t="str">
        <f>_xlfn.IFNA(VLOOKUP(Table1[[#This Row],[Tên đối tượng]],'DANH MỤC ĐỐI TƯỢNG'!A:J,10,0),"")</f>
        <v/>
      </c>
    </row>
    <row r="1886" spans="1:9" x14ac:dyDescent="0.3">
      <c r="A1886" t="str">
        <f t="shared" si="56"/>
        <v/>
      </c>
      <c r="F1886" t="str">
        <f>IFERROR(VLOOKUP(Table1[[#This Row],[Tên đối tượng]],'DANH MỤC ĐỐI TƯỢNG'!A:E,5,0),"")</f>
        <v/>
      </c>
      <c r="G1886" t="str">
        <f>_xlfn.IFNA(VLOOKUP(Table1[[#This Row],[Tên đối tượng]],'DANH MỤC ĐỐI TƯỢNG'!A:F,6,0),"")</f>
        <v/>
      </c>
      <c r="H1886" t="str">
        <f>_xlfn.IFNA(VLOOKUP(Table1[[#This Row],[Tên đối tượng]],'DANH MỤC ĐỐI TƯỢNG'!A:I,9,0),"")</f>
        <v/>
      </c>
      <c r="I1886" t="str">
        <f>_xlfn.IFNA(VLOOKUP(Table1[[#This Row],[Tên đối tượng]],'DANH MỤC ĐỐI TƯỢNG'!A:J,10,0),"")</f>
        <v/>
      </c>
    </row>
    <row r="1887" spans="1:9" x14ac:dyDescent="0.3">
      <c r="A1887" t="str">
        <f t="shared" si="56"/>
        <v/>
      </c>
      <c r="F1887" t="str">
        <f>IFERROR(VLOOKUP(Table1[[#This Row],[Tên đối tượng]],'DANH MỤC ĐỐI TƯỢNG'!A:E,5,0),"")</f>
        <v/>
      </c>
      <c r="G1887" t="str">
        <f>_xlfn.IFNA(VLOOKUP(Table1[[#This Row],[Tên đối tượng]],'DANH MỤC ĐỐI TƯỢNG'!A:F,6,0),"")</f>
        <v/>
      </c>
      <c r="H1887" t="str">
        <f>_xlfn.IFNA(VLOOKUP(Table1[[#This Row],[Tên đối tượng]],'DANH MỤC ĐỐI TƯỢNG'!A:I,9,0),"")</f>
        <v/>
      </c>
      <c r="I1887" t="str">
        <f>_xlfn.IFNA(VLOOKUP(Table1[[#This Row],[Tên đối tượng]],'DANH MỤC ĐỐI TƯỢNG'!A:J,10,0),"")</f>
        <v/>
      </c>
    </row>
    <row r="1888" spans="1:9" x14ac:dyDescent="0.3">
      <c r="A1888" t="str">
        <f t="shared" si="56"/>
        <v/>
      </c>
      <c r="F1888" t="str">
        <f>IFERROR(VLOOKUP(Table1[[#This Row],[Tên đối tượng]],'DANH MỤC ĐỐI TƯỢNG'!A:E,5,0),"")</f>
        <v/>
      </c>
      <c r="G1888" t="str">
        <f>_xlfn.IFNA(VLOOKUP(Table1[[#This Row],[Tên đối tượng]],'DANH MỤC ĐỐI TƯỢNG'!A:F,6,0),"")</f>
        <v/>
      </c>
      <c r="H1888" t="str">
        <f>_xlfn.IFNA(VLOOKUP(Table1[[#This Row],[Tên đối tượng]],'DANH MỤC ĐỐI TƯỢNG'!A:I,9,0),"")</f>
        <v/>
      </c>
      <c r="I1888" t="str">
        <f>_xlfn.IFNA(VLOOKUP(Table1[[#This Row],[Tên đối tượng]],'DANH MỤC ĐỐI TƯỢNG'!A:J,10,0),"")</f>
        <v/>
      </c>
    </row>
    <row r="1889" spans="1:9" x14ac:dyDescent="0.3">
      <c r="A1889" t="str">
        <f t="shared" si="56"/>
        <v/>
      </c>
      <c r="F1889" t="str">
        <f>IFERROR(VLOOKUP(Table1[[#This Row],[Tên đối tượng]],'DANH MỤC ĐỐI TƯỢNG'!A:E,5,0),"")</f>
        <v/>
      </c>
      <c r="G1889" t="str">
        <f>_xlfn.IFNA(VLOOKUP(Table1[[#This Row],[Tên đối tượng]],'DANH MỤC ĐỐI TƯỢNG'!A:F,6,0),"")</f>
        <v/>
      </c>
      <c r="H1889" t="str">
        <f>_xlfn.IFNA(VLOOKUP(Table1[[#This Row],[Tên đối tượng]],'DANH MỤC ĐỐI TƯỢNG'!A:I,9,0),"")</f>
        <v/>
      </c>
      <c r="I1889" t="str">
        <f>_xlfn.IFNA(VLOOKUP(Table1[[#This Row],[Tên đối tượng]],'DANH MỤC ĐỐI TƯỢNG'!A:J,10,0),"")</f>
        <v/>
      </c>
    </row>
    <row r="1890" spans="1:9" x14ac:dyDescent="0.3">
      <c r="A1890" t="str">
        <f t="shared" si="56"/>
        <v/>
      </c>
      <c r="F1890" t="str">
        <f>IFERROR(VLOOKUP(Table1[[#This Row],[Tên đối tượng]],'DANH MỤC ĐỐI TƯỢNG'!A:E,5,0),"")</f>
        <v/>
      </c>
      <c r="G1890" t="str">
        <f>_xlfn.IFNA(VLOOKUP(Table1[[#This Row],[Tên đối tượng]],'DANH MỤC ĐỐI TƯỢNG'!A:F,6,0),"")</f>
        <v/>
      </c>
      <c r="H1890" t="str">
        <f>_xlfn.IFNA(VLOOKUP(Table1[[#This Row],[Tên đối tượng]],'DANH MỤC ĐỐI TƯỢNG'!A:I,9,0),"")</f>
        <v/>
      </c>
      <c r="I1890" t="str">
        <f>_xlfn.IFNA(VLOOKUP(Table1[[#This Row],[Tên đối tượng]],'DANH MỤC ĐỐI TƯỢNG'!A:J,10,0),"")</f>
        <v/>
      </c>
    </row>
    <row r="1891" spans="1:9" x14ac:dyDescent="0.3">
      <c r="A1891" t="str">
        <f t="shared" si="56"/>
        <v/>
      </c>
      <c r="F1891" t="str">
        <f>IFERROR(VLOOKUP(Table1[[#This Row],[Tên đối tượng]],'DANH MỤC ĐỐI TƯỢNG'!A:E,5,0),"")</f>
        <v/>
      </c>
      <c r="G1891" t="str">
        <f>_xlfn.IFNA(VLOOKUP(Table1[[#This Row],[Tên đối tượng]],'DANH MỤC ĐỐI TƯỢNG'!A:F,6,0),"")</f>
        <v/>
      </c>
      <c r="H1891" t="str">
        <f>_xlfn.IFNA(VLOOKUP(Table1[[#This Row],[Tên đối tượng]],'DANH MỤC ĐỐI TƯỢNG'!A:I,9,0),"")</f>
        <v/>
      </c>
      <c r="I1891" t="str">
        <f>_xlfn.IFNA(VLOOKUP(Table1[[#This Row],[Tên đối tượng]],'DANH MỤC ĐỐI TƯỢNG'!A:J,10,0),"")</f>
        <v/>
      </c>
    </row>
    <row r="1892" spans="1:9" x14ac:dyDescent="0.3">
      <c r="A1892" t="str">
        <f t="shared" si="56"/>
        <v/>
      </c>
      <c r="F1892" t="str">
        <f>IFERROR(VLOOKUP(Table1[[#This Row],[Tên đối tượng]],'DANH MỤC ĐỐI TƯỢNG'!A:E,5,0),"")</f>
        <v/>
      </c>
      <c r="G1892" t="str">
        <f>_xlfn.IFNA(VLOOKUP(Table1[[#This Row],[Tên đối tượng]],'DANH MỤC ĐỐI TƯỢNG'!A:F,6,0),"")</f>
        <v/>
      </c>
      <c r="H1892" t="str">
        <f>_xlfn.IFNA(VLOOKUP(Table1[[#This Row],[Tên đối tượng]],'DANH MỤC ĐỐI TƯỢNG'!A:I,9,0),"")</f>
        <v/>
      </c>
      <c r="I1892" t="str">
        <f>_xlfn.IFNA(VLOOKUP(Table1[[#This Row],[Tên đối tượng]],'DANH MỤC ĐỐI TƯỢNG'!A:J,10,0),"")</f>
        <v/>
      </c>
    </row>
    <row r="1893" spans="1:9" x14ac:dyDescent="0.3">
      <c r="A1893" t="str">
        <f t="shared" si="56"/>
        <v/>
      </c>
      <c r="F1893" t="str">
        <f>IFERROR(VLOOKUP(Table1[[#This Row],[Tên đối tượng]],'DANH MỤC ĐỐI TƯỢNG'!A:E,5,0),"")</f>
        <v/>
      </c>
      <c r="G1893" t="str">
        <f>_xlfn.IFNA(VLOOKUP(Table1[[#This Row],[Tên đối tượng]],'DANH MỤC ĐỐI TƯỢNG'!A:F,6,0),"")</f>
        <v/>
      </c>
      <c r="H1893" t="str">
        <f>_xlfn.IFNA(VLOOKUP(Table1[[#This Row],[Tên đối tượng]],'DANH MỤC ĐỐI TƯỢNG'!A:I,9,0),"")</f>
        <v/>
      </c>
      <c r="I1893" t="str">
        <f>_xlfn.IFNA(VLOOKUP(Table1[[#This Row],[Tên đối tượng]],'DANH MỤC ĐỐI TƯỢNG'!A:J,10,0),"")</f>
        <v/>
      </c>
    </row>
    <row r="1894" spans="1:9" x14ac:dyDescent="0.3">
      <c r="A1894" t="str">
        <f t="shared" si="56"/>
        <v/>
      </c>
      <c r="F1894" t="str">
        <f>IFERROR(VLOOKUP(Table1[[#This Row],[Tên đối tượng]],'DANH MỤC ĐỐI TƯỢNG'!A:E,5,0),"")</f>
        <v/>
      </c>
      <c r="G1894" t="str">
        <f>_xlfn.IFNA(VLOOKUP(Table1[[#This Row],[Tên đối tượng]],'DANH MỤC ĐỐI TƯỢNG'!A:F,6,0),"")</f>
        <v/>
      </c>
      <c r="H1894" t="str">
        <f>_xlfn.IFNA(VLOOKUP(Table1[[#This Row],[Tên đối tượng]],'DANH MỤC ĐỐI TƯỢNG'!A:I,9,0),"")</f>
        <v/>
      </c>
      <c r="I1894" t="str">
        <f>_xlfn.IFNA(VLOOKUP(Table1[[#This Row],[Tên đối tượng]],'DANH MỤC ĐỐI TƯỢNG'!A:J,10,0),"")</f>
        <v/>
      </c>
    </row>
    <row r="1895" spans="1:9" x14ac:dyDescent="0.3">
      <c r="A1895" t="str">
        <f t="shared" si="56"/>
        <v/>
      </c>
      <c r="F1895" t="str">
        <f>IFERROR(VLOOKUP(Table1[[#This Row],[Tên đối tượng]],'DANH MỤC ĐỐI TƯỢNG'!A:E,5,0),"")</f>
        <v/>
      </c>
      <c r="G1895" t="str">
        <f>_xlfn.IFNA(VLOOKUP(Table1[[#This Row],[Tên đối tượng]],'DANH MỤC ĐỐI TƯỢNG'!A:F,6,0),"")</f>
        <v/>
      </c>
      <c r="H1895" t="str">
        <f>_xlfn.IFNA(VLOOKUP(Table1[[#This Row],[Tên đối tượng]],'DANH MỤC ĐỐI TƯỢNG'!A:I,9,0),"")</f>
        <v/>
      </c>
      <c r="I1895" t="str">
        <f>_xlfn.IFNA(VLOOKUP(Table1[[#This Row],[Tên đối tượng]],'DANH MỤC ĐỐI TƯỢNG'!A:J,10,0),"")</f>
        <v/>
      </c>
    </row>
    <row r="1896" spans="1:9" x14ac:dyDescent="0.3">
      <c r="A1896" t="str">
        <f t="shared" si="56"/>
        <v/>
      </c>
      <c r="F1896" t="str">
        <f>IFERROR(VLOOKUP(Table1[[#This Row],[Tên đối tượng]],'DANH MỤC ĐỐI TƯỢNG'!A:E,5,0),"")</f>
        <v/>
      </c>
      <c r="G1896" t="str">
        <f>_xlfn.IFNA(VLOOKUP(Table1[[#This Row],[Tên đối tượng]],'DANH MỤC ĐỐI TƯỢNG'!A:F,6,0),"")</f>
        <v/>
      </c>
      <c r="H1896" t="str">
        <f>_xlfn.IFNA(VLOOKUP(Table1[[#This Row],[Tên đối tượng]],'DANH MỤC ĐỐI TƯỢNG'!A:I,9,0),"")</f>
        <v/>
      </c>
      <c r="I1896" t="str">
        <f>_xlfn.IFNA(VLOOKUP(Table1[[#This Row],[Tên đối tượng]],'DANH MỤC ĐỐI TƯỢNG'!A:J,10,0),"")</f>
        <v/>
      </c>
    </row>
    <row r="1897" spans="1:9" x14ac:dyDescent="0.3">
      <c r="A1897" t="str">
        <f t="shared" si="56"/>
        <v/>
      </c>
      <c r="F1897" t="str">
        <f>IFERROR(VLOOKUP(Table1[[#This Row],[Tên đối tượng]],'DANH MỤC ĐỐI TƯỢNG'!A:E,5,0),"")</f>
        <v/>
      </c>
      <c r="G1897" t="str">
        <f>_xlfn.IFNA(VLOOKUP(Table1[[#This Row],[Tên đối tượng]],'DANH MỤC ĐỐI TƯỢNG'!A:F,6,0),"")</f>
        <v/>
      </c>
      <c r="H1897" t="str">
        <f>_xlfn.IFNA(VLOOKUP(Table1[[#This Row],[Tên đối tượng]],'DANH MỤC ĐỐI TƯỢNG'!A:I,9,0),"")</f>
        <v/>
      </c>
      <c r="I1897" t="str">
        <f>_xlfn.IFNA(VLOOKUP(Table1[[#This Row],[Tên đối tượng]],'DANH MỤC ĐỐI TƯỢNG'!A:J,10,0),"")</f>
        <v/>
      </c>
    </row>
    <row r="1898" spans="1:9" x14ac:dyDescent="0.3">
      <c r="A1898" t="str">
        <f t="shared" si="56"/>
        <v/>
      </c>
      <c r="F1898" t="str">
        <f>IFERROR(VLOOKUP(Table1[[#This Row],[Tên đối tượng]],'DANH MỤC ĐỐI TƯỢNG'!A:E,5,0),"")</f>
        <v/>
      </c>
      <c r="G1898" t="str">
        <f>_xlfn.IFNA(VLOOKUP(Table1[[#This Row],[Tên đối tượng]],'DANH MỤC ĐỐI TƯỢNG'!A:F,6,0),"")</f>
        <v/>
      </c>
      <c r="H1898" t="str">
        <f>_xlfn.IFNA(VLOOKUP(Table1[[#This Row],[Tên đối tượng]],'DANH MỤC ĐỐI TƯỢNG'!A:I,9,0),"")</f>
        <v/>
      </c>
      <c r="I1898" t="str">
        <f>_xlfn.IFNA(VLOOKUP(Table1[[#This Row],[Tên đối tượng]],'DANH MỤC ĐỐI TƯỢNG'!A:J,10,0),"")</f>
        <v/>
      </c>
    </row>
    <row r="1899" spans="1:9" x14ac:dyDescent="0.3">
      <c r="A1899" t="str">
        <f t="shared" si="56"/>
        <v/>
      </c>
      <c r="F1899" t="str">
        <f>IFERROR(VLOOKUP(Table1[[#This Row],[Tên đối tượng]],'DANH MỤC ĐỐI TƯỢNG'!A:E,5,0),"")</f>
        <v/>
      </c>
      <c r="G1899" t="str">
        <f>_xlfn.IFNA(VLOOKUP(Table1[[#This Row],[Tên đối tượng]],'DANH MỤC ĐỐI TƯỢNG'!A:F,6,0),"")</f>
        <v/>
      </c>
      <c r="H1899" t="str">
        <f>_xlfn.IFNA(VLOOKUP(Table1[[#This Row],[Tên đối tượng]],'DANH MỤC ĐỐI TƯỢNG'!A:I,9,0),"")</f>
        <v/>
      </c>
      <c r="I1899" t="str">
        <f>_xlfn.IFNA(VLOOKUP(Table1[[#This Row],[Tên đối tượng]],'DANH MỤC ĐỐI TƯỢNG'!A:J,10,0),"")</f>
        <v/>
      </c>
    </row>
    <row r="1900" spans="1:9" x14ac:dyDescent="0.3">
      <c r="A1900" t="str">
        <f t="shared" si="56"/>
        <v/>
      </c>
      <c r="F1900" t="str">
        <f>IFERROR(VLOOKUP(Table1[[#This Row],[Tên đối tượng]],'DANH MỤC ĐỐI TƯỢNG'!A:E,5,0),"")</f>
        <v/>
      </c>
      <c r="G1900" t="str">
        <f>_xlfn.IFNA(VLOOKUP(Table1[[#This Row],[Tên đối tượng]],'DANH MỤC ĐỐI TƯỢNG'!A:F,6,0),"")</f>
        <v/>
      </c>
      <c r="H1900" t="str">
        <f>_xlfn.IFNA(VLOOKUP(Table1[[#This Row],[Tên đối tượng]],'DANH MỤC ĐỐI TƯỢNG'!A:I,9,0),"")</f>
        <v/>
      </c>
      <c r="I1900" t="str">
        <f>_xlfn.IFNA(VLOOKUP(Table1[[#This Row],[Tên đối tượng]],'DANH MỤC ĐỐI TƯỢNG'!A:J,10,0),"")</f>
        <v/>
      </c>
    </row>
    <row r="1901" spans="1:9" x14ac:dyDescent="0.3">
      <c r="A1901" t="str">
        <f t="shared" si="56"/>
        <v/>
      </c>
      <c r="F1901" t="str">
        <f>IFERROR(VLOOKUP(Table1[[#This Row],[Tên đối tượng]],'DANH MỤC ĐỐI TƯỢNG'!A:E,5,0),"")</f>
        <v/>
      </c>
      <c r="G1901" t="str">
        <f>_xlfn.IFNA(VLOOKUP(Table1[[#This Row],[Tên đối tượng]],'DANH MỤC ĐỐI TƯỢNG'!A:F,6,0),"")</f>
        <v/>
      </c>
      <c r="H1901" t="str">
        <f>_xlfn.IFNA(VLOOKUP(Table1[[#This Row],[Tên đối tượng]],'DANH MỤC ĐỐI TƯỢNG'!A:I,9,0),"")</f>
        <v/>
      </c>
      <c r="I1901" t="str">
        <f>_xlfn.IFNA(VLOOKUP(Table1[[#This Row],[Tên đối tượng]],'DANH MỤC ĐỐI TƯỢNG'!A:J,10,0),"")</f>
        <v/>
      </c>
    </row>
    <row r="1902" spans="1:9" x14ac:dyDescent="0.3">
      <c r="A1902" t="str">
        <f t="shared" si="56"/>
        <v/>
      </c>
      <c r="F1902" t="str">
        <f>IFERROR(VLOOKUP(Table1[[#This Row],[Tên đối tượng]],'DANH MỤC ĐỐI TƯỢNG'!A:E,5,0),"")</f>
        <v/>
      </c>
      <c r="G1902" t="str">
        <f>_xlfn.IFNA(VLOOKUP(Table1[[#This Row],[Tên đối tượng]],'DANH MỤC ĐỐI TƯỢNG'!A:F,6,0),"")</f>
        <v/>
      </c>
      <c r="H1902" t="str">
        <f>_xlfn.IFNA(VLOOKUP(Table1[[#This Row],[Tên đối tượng]],'DANH MỤC ĐỐI TƯỢNG'!A:I,9,0),"")</f>
        <v/>
      </c>
      <c r="I1902" t="str">
        <f>_xlfn.IFNA(VLOOKUP(Table1[[#This Row],[Tên đối tượng]],'DANH MỤC ĐỐI TƯỢNG'!A:J,10,0),"")</f>
        <v/>
      </c>
    </row>
    <row r="1903" spans="1:9" x14ac:dyDescent="0.3">
      <c r="A1903" t="str">
        <f t="shared" si="56"/>
        <v/>
      </c>
      <c r="F1903" t="str">
        <f>IFERROR(VLOOKUP(Table1[[#This Row],[Tên đối tượng]],'DANH MỤC ĐỐI TƯỢNG'!A:E,5,0),"")</f>
        <v/>
      </c>
      <c r="G1903" t="str">
        <f>_xlfn.IFNA(VLOOKUP(Table1[[#This Row],[Tên đối tượng]],'DANH MỤC ĐỐI TƯỢNG'!A:F,6,0),"")</f>
        <v/>
      </c>
      <c r="H1903" t="str">
        <f>_xlfn.IFNA(VLOOKUP(Table1[[#This Row],[Tên đối tượng]],'DANH MỤC ĐỐI TƯỢNG'!A:I,9,0),"")</f>
        <v/>
      </c>
      <c r="I1903" t="str">
        <f>_xlfn.IFNA(VLOOKUP(Table1[[#This Row],[Tên đối tượng]],'DANH MỤC ĐỐI TƯỢNG'!A:J,10,0),"")</f>
        <v/>
      </c>
    </row>
    <row r="1904" spans="1:9" x14ac:dyDescent="0.3">
      <c r="A1904" t="str">
        <f t="shared" si="56"/>
        <v/>
      </c>
      <c r="F1904" t="str">
        <f>IFERROR(VLOOKUP(Table1[[#This Row],[Tên đối tượng]],'DANH MỤC ĐỐI TƯỢNG'!A:E,5,0),"")</f>
        <v/>
      </c>
      <c r="G1904" t="str">
        <f>_xlfn.IFNA(VLOOKUP(Table1[[#This Row],[Tên đối tượng]],'DANH MỤC ĐỐI TƯỢNG'!A:F,6,0),"")</f>
        <v/>
      </c>
      <c r="H1904" t="str">
        <f>_xlfn.IFNA(VLOOKUP(Table1[[#This Row],[Tên đối tượng]],'DANH MỤC ĐỐI TƯỢNG'!A:I,9,0),"")</f>
        <v/>
      </c>
      <c r="I1904" t="str">
        <f>_xlfn.IFNA(VLOOKUP(Table1[[#This Row],[Tên đối tượng]],'DANH MỤC ĐỐI TƯỢNG'!A:J,10,0),"")</f>
        <v/>
      </c>
    </row>
    <row r="1905" spans="1:9" x14ac:dyDescent="0.3">
      <c r="A1905" t="str">
        <f t="shared" si="56"/>
        <v/>
      </c>
      <c r="F1905" t="str">
        <f>IFERROR(VLOOKUP(Table1[[#This Row],[Tên đối tượng]],'DANH MỤC ĐỐI TƯỢNG'!A:E,5,0),"")</f>
        <v/>
      </c>
      <c r="G1905" t="str">
        <f>_xlfn.IFNA(VLOOKUP(Table1[[#This Row],[Tên đối tượng]],'DANH MỤC ĐỐI TƯỢNG'!A:F,6,0),"")</f>
        <v/>
      </c>
      <c r="H1905" t="str">
        <f>_xlfn.IFNA(VLOOKUP(Table1[[#This Row],[Tên đối tượng]],'DANH MỤC ĐỐI TƯỢNG'!A:I,9,0),"")</f>
        <v/>
      </c>
      <c r="I1905" t="str">
        <f>_xlfn.IFNA(VLOOKUP(Table1[[#This Row],[Tên đối tượng]],'DANH MỤC ĐỐI TƯỢNG'!A:J,10,0),"")</f>
        <v/>
      </c>
    </row>
    <row r="1906" spans="1:9" x14ac:dyDescent="0.3">
      <c r="A1906" t="str">
        <f t="shared" si="56"/>
        <v/>
      </c>
      <c r="F1906" t="str">
        <f>IFERROR(VLOOKUP(Table1[[#This Row],[Tên đối tượng]],'DANH MỤC ĐỐI TƯỢNG'!A:E,5,0),"")</f>
        <v/>
      </c>
      <c r="G1906" t="str">
        <f>_xlfn.IFNA(VLOOKUP(Table1[[#This Row],[Tên đối tượng]],'DANH MỤC ĐỐI TƯỢNG'!A:F,6,0),"")</f>
        <v/>
      </c>
      <c r="H1906" t="str">
        <f>_xlfn.IFNA(VLOOKUP(Table1[[#This Row],[Tên đối tượng]],'DANH MỤC ĐỐI TƯỢNG'!A:I,9,0),"")</f>
        <v/>
      </c>
      <c r="I1906" t="str">
        <f>_xlfn.IFNA(VLOOKUP(Table1[[#This Row],[Tên đối tượng]],'DANH MỤC ĐỐI TƯỢNG'!A:J,10,0),"")</f>
        <v/>
      </c>
    </row>
    <row r="1907" spans="1:9" x14ac:dyDescent="0.3">
      <c r="A1907" t="str">
        <f t="shared" si="56"/>
        <v/>
      </c>
      <c r="F1907" t="str">
        <f>IFERROR(VLOOKUP(Table1[[#This Row],[Tên đối tượng]],'DANH MỤC ĐỐI TƯỢNG'!A:E,5,0),"")</f>
        <v/>
      </c>
      <c r="G1907" t="str">
        <f>_xlfn.IFNA(VLOOKUP(Table1[[#This Row],[Tên đối tượng]],'DANH MỤC ĐỐI TƯỢNG'!A:F,6,0),"")</f>
        <v/>
      </c>
      <c r="H1907" t="str">
        <f>_xlfn.IFNA(VLOOKUP(Table1[[#This Row],[Tên đối tượng]],'DANH MỤC ĐỐI TƯỢNG'!A:I,9,0),"")</f>
        <v/>
      </c>
      <c r="I1907" t="str">
        <f>_xlfn.IFNA(VLOOKUP(Table1[[#This Row],[Tên đối tượng]],'DANH MỤC ĐỐI TƯỢNG'!A:J,10,0),"")</f>
        <v/>
      </c>
    </row>
    <row r="1908" spans="1:9" x14ac:dyDescent="0.3">
      <c r="A1908" t="str">
        <f t="shared" si="56"/>
        <v/>
      </c>
      <c r="F1908" t="str">
        <f>IFERROR(VLOOKUP(Table1[[#This Row],[Tên đối tượng]],'DANH MỤC ĐỐI TƯỢNG'!A:E,5,0),"")</f>
        <v/>
      </c>
      <c r="G1908" t="str">
        <f>_xlfn.IFNA(VLOOKUP(Table1[[#This Row],[Tên đối tượng]],'DANH MỤC ĐỐI TƯỢNG'!A:F,6,0),"")</f>
        <v/>
      </c>
      <c r="H1908" t="str">
        <f>_xlfn.IFNA(VLOOKUP(Table1[[#This Row],[Tên đối tượng]],'DANH MỤC ĐỐI TƯỢNG'!A:I,9,0),"")</f>
        <v/>
      </c>
      <c r="I1908" t="str">
        <f>_xlfn.IFNA(VLOOKUP(Table1[[#This Row],[Tên đối tượng]],'DANH MỤC ĐỐI TƯỢNG'!A:J,10,0),"")</f>
        <v/>
      </c>
    </row>
    <row r="1909" spans="1:9" x14ac:dyDescent="0.3">
      <c r="A1909" t="str">
        <f t="shared" si="56"/>
        <v/>
      </c>
      <c r="F1909" t="str">
        <f>IFERROR(VLOOKUP(Table1[[#This Row],[Tên đối tượng]],'DANH MỤC ĐỐI TƯỢNG'!A:E,5,0),"")</f>
        <v/>
      </c>
      <c r="G1909" t="str">
        <f>_xlfn.IFNA(VLOOKUP(Table1[[#This Row],[Tên đối tượng]],'DANH MỤC ĐỐI TƯỢNG'!A:F,6,0),"")</f>
        <v/>
      </c>
      <c r="H1909" t="str">
        <f>_xlfn.IFNA(VLOOKUP(Table1[[#This Row],[Tên đối tượng]],'DANH MỤC ĐỐI TƯỢNG'!A:I,9,0),"")</f>
        <v/>
      </c>
      <c r="I1909" t="str">
        <f>_xlfn.IFNA(VLOOKUP(Table1[[#This Row],[Tên đối tượng]],'DANH MỤC ĐỐI TƯỢNG'!A:J,10,0),"")</f>
        <v/>
      </c>
    </row>
    <row r="1910" spans="1:9" x14ac:dyDescent="0.3">
      <c r="A1910" t="str">
        <f t="shared" si="56"/>
        <v/>
      </c>
      <c r="F1910" t="str">
        <f>IFERROR(VLOOKUP(Table1[[#This Row],[Tên đối tượng]],'DANH MỤC ĐỐI TƯỢNG'!A:E,5,0),"")</f>
        <v/>
      </c>
      <c r="G1910" t="str">
        <f>_xlfn.IFNA(VLOOKUP(Table1[[#This Row],[Tên đối tượng]],'DANH MỤC ĐỐI TƯỢNG'!A:F,6,0),"")</f>
        <v/>
      </c>
      <c r="H1910" t="str">
        <f>_xlfn.IFNA(VLOOKUP(Table1[[#This Row],[Tên đối tượng]],'DANH MỤC ĐỐI TƯỢNG'!A:I,9,0),"")</f>
        <v/>
      </c>
      <c r="I1910" t="str">
        <f>_xlfn.IFNA(VLOOKUP(Table1[[#This Row],[Tên đối tượng]],'DANH MỤC ĐỐI TƯỢNG'!A:J,10,0),"")</f>
        <v/>
      </c>
    </row>
    <row r="1911" spans="1:9" x14ac:dyDescent="0.3">
      <c r="A1911" t="str">
        <f t="shared" si="56"/>
        <v/>
      </c>
      <c r="F1911" t="str">
        <f>IFERROR(VLOOKUP(Table1[[#This Row],[Tên đối tượng]],'DANH MỤC ĐỐI TƯỢNG'!A:E,5,0),"")</f>
        <v/>
      </c>
      <c r="G1911" t="str">
        <f>_xlfn.IFNA(VLOOKUP(Table1[[#This Row],[Tên đối tượng]],'DANH MỤC ĐỐI TƯỢNG'!A:F,6,0),"")</f>
        <v/>
      </c>
      <c r="H1911" t="str">
        <f>_xlfn.IFNA(VLOOKUP(Table1[[#This Row],[Tên đối tượng]],'DANH MỤC ĐỐI TƯỢNG'!A:I,9,0),"")</f>
        <v/>
      </c>
      <c r="I1911" t="str">
        <f>_xlfn.IFNA(VLOOKUP(Table1[[#This Row],[Tên đối tượng]],'DANH MỤC ĐỐI TƯỢNG'!A:J,10,0),"")</f>
        <v/>
      </c>
    </row>
    <row r="1912" spans="1:9" x14ac:dyDescent="0.3">
      <c r="A1912" t="str">
        <f t="shared" si="56"/>
        <v/>
      </c>
      <c r="F1912" t="str">
        <f>IFERROR(VLOOKUP(Table1[[#This Row],[Tên đối tượng]],'DANH MỤC ĐỐI TƯỢNG'!A:E,5,0),"")</f>
        <v/>
      </c>
      <c r="G1912" t="str">
        <f>_xlfn.IFNA(VLOOKUP(Table1[[#This Row],[Tên đối tượng]],'DANH MỤC ĐỐI TƯỢNG'!A:F,6,0),"")</f>
        <v/>
      </c>
      <c r="H1912" t="str">
        <f>_xlfn.IFNA(VLOOKUP(Table1[[#This Row],[Tên đối tượng]],'DANH MỤC ĐỐI TƯỢNG'!A:I,9,0),"")</f>
        <v/>
      </c>
      <c r="I1912" t="str">
        <f>_xlfn.IFNA(VLOOKUP(Table1[[#This Row],[Tên đối tượng]],'DANH MỤC ĐỐI TƯỢNG'!A:J,10,0),"")</f>
        <v/>
      </c>
    </row>
    <row r="1913" spans="1:9" x14ac:dyDescent="0.3">
      <c r="A1913" t="str">
        <f t="shared" si="56"/>
        <v/>
      </c>
      <c r="F1913" t="str">
        <f>IFERROR(VLOOKUP(Table1[[#This Row],[Tên đối tượng]],'DANH MỤC ĐỐI TƯỢNG'!A:E,5,0),"")</f>
        <v/>
      </c>
      <c r="G1913" t="str">
        <f>_xlfn.IFNA(VLOOKUP(Table1[[#This Row],[Tên đối tượng]],'DANH MỤC ĐỐI TƯỢNG'!A:F,6,0),"")</f>
        <v/>
      </c>
      <c r="H1913" t="str">
        <f>_xlfn.IFNA(VLOOKUP(Table1[[#This Row],[Tên đối tượng]],'DANH MỤC ĐỐI TƯỢNG'!A:I,9,0),"")</f>
        <v/>
      </c>
      <c r="I1913" t="str">
        <f>_xlfn.IFNA(VLOOKUP(Table1[[#This Row],[Tên đối tượng]],'DANH MỤC ĐỐI TƯỢNG'!A:J,10,0),"")</f>
        <v/>
      </c>
    </row>
    <row r="1914" spans="1:9" x14ac:dyDescent="0.3">
      <c r="A1914" t="str">
        <f t="shared" si="56"/>
        <v/>
      </c>
      <c r="F1914" t="str">
        <f>IFERROR(VLOOKUP(Table1[[#This Row],[Tên đối tượng]],'DANH MỤC ĐỐI TƯỢNG'!A:E,5,0),"")</f>
        <v/>
      </c>
      <c r="G1914" t="str">
        <f>_xlfn.IFNA(VLOOKUP(Table1[[#This Row],[Tên đối tượng]],'DANH MỤC ĐỐI TƯỢNG'!A:F,6,0),"")</f>
        <v/>
      </c>
      <c r="H1914" t="str">
        <f>_xlfn.IFNA(VLOOKUP(Table1[[#This Row],[Tên đối tượng]],'DANH MỤC ĐỐI TƯỢNG'!A:I,9,0),"")</f>
        <v/>
      </c>
      <c r="I1914" t="str">
        <f>_xlfn.IFNA(VLOOKUP(Table1[[#This Row],[Tên đối tượng]],'DANH MỤC ĐỐI TƯỢNG'!A:J,10,0),"")</f>
        <v/>
      </c>
    </row>
    <row r="1915" spans="1:9" x14ac:dyDescent="0.3">
      <c r="A1915" t="str">
        <f t="shared" si="56"/>
        <v/>
      </c>
      <c r="F1915" t="str">
        <f>IFERROR(VLOOKUP(Table1[[#This Row],[Tên đối tượng]],'DANH MỤC ĐỐI TƯỢNG'!A:E,5,0),"")</f>
        <v/>
      </c>
      <c r="G1915" t="str">
        <f>_xlfn.IFNA(VLOOKUP(Table1[[#This Row],[Tên đối tượng]],'DANH MỤC ĐỐI TƯỢNG'!A:F,6,0),"")</f>
        <v/>
      </c>
      <c r="H1915" t="str">
        <f>_xlfn.IFNA(VLOOKUP(Table1[[#This Row],[Tên đối tượng]],'DANH MỤC ĐỐI TƯỢNG'!A:I,9,0),"")</f>
        <v/>
      </c>
      <c r="I1915" t="str">
        <f>_xlfn.IFNA(VLOOKUP(Table1[[#This Row],[Tên đối tượng]],'DANH MỤC ĐỐI TƯỢNG'!A:J,10,0),"")</f>
        <v/>
      </c>
    </row>
    <row r="1916" spans="1:9" x14ac:dyDescent="0.3">
      <c r="A1916" t="str">
        <f t="shared" si="56"/>
        <v/>
      </c>
      <c r="F1916" t="str">
        <f>IFERROR(VLOOKUP(Table1[[#This Row],[Tên đối tượng]],'DANH MỤC ĐỐI TƯỢNG'!A:E,5,0),"")</f>
        <v/>
      </c>
      <c r="G1916" t="str">
        <f>_xlfn.IFNA(VLOOKUP(Table1[[#This Row],[Tên đối tượng]],'DANH MỤC ĐỐI TƯỢNG'!A:F,6,0),"")</f>
        <v/>
      </c>
      <c r="H1916" t="str">
        <f>_xlfn.IFNA(VLOOKUP(Table1[[#This Row],[Tên đối tượng]],'DANH MỤC ĐỐI TƯỢNG'!A:I,9,0),"")</f>
        <v/>
      </c>
      <c r="I1916" t="str">
        <f>_xlfn.IFNA(VLOOKUP(Table1[[#This Row],[Tên đối tượng]],'DANH MỤC ĐỐI TƯỢNG'!A:J,10,0),"")</f>
        <v/>
      </c>
    </row>
    <row r="1917" spans="1:9" x14ac:dyDescent="0.3">
      <c r="A1917" t="str">
        <f t="shared" si="56"/>
        <v/>
      </c>
      <c r="F1917" t="str">
        <f>IFERROR(VLOOKUP(Table1[[#This Row],[Tên đối tượng]],'DANH MỤC ĐỐI TƯỢNG'!A:E,5,0),"")</f>
        <v/>
      </c>
      <c r="G1917" t="str">
        <f>_xlfn.IFNA(VLOOKUP(Table1[[#This Row],[Tên đối tượng]],'DANH MỤC ĐỐI TƯỢNG'!A:F,6,0),"")</f>
        <v/>
      </c>
      <c r="H1917" t="str">
        <f>_xlfn.IFNA(VLOOKUP(Table1[[#This Row],[Tên đối tượng]],'DANH MỤC ĐỐI TƯỢNG'!A:I,9,0),"")</f>
        <v/>
      </c>
      <c r="I1917" t="str">
        <f>_xlfn.IFNA(VLOOKUP(Table1[[#This Row],[Tên đối tượng]],'DANH MỤC ĐỐI TƯỢNG'!A:J,10,0),"")</f>
        <v/>
      </c>
    </row>
    <row r="1918" spans="1:9" x14ac:dyDescent="0.3">
      <c r="A1918" t="str">
        <f t="shared" si="56"/>
        <v/>
      </c>
      <c r="F1918" t="str">
        <f>IFERROR(VLOOKUP(Table1[[#This Row],[Tên đối tượng]],'DANH MỤC ĐỐI TƯỢNG'!A:E,5,0),"")</f>
        <v/>
      </c>
      <c r="G1918" t="str">
        <f>_xlfn.IFNA(VLOOKUP(Table1[[#This Row],[Tên đối tượng]],'DANH MỤC ĐỐI TƯỢNG'!A:F,6,0),"")</f>
        <v/>
      </c>
      <c r="H1918" t="str">
        <f>_xlfn.IFNA(VLOOKUP(Table1[[#This Row],[Tên đối tượng]],'DANH MỤC ĐỐI TƯỢNG'!A:I,9,0),"")</f>
        <v/>
      </c>
      <c r="I1918" t="str">
        <f>_xlfn.IFNA(VLOOKUP(Table1[[#This Row],[Tên đối tượng]],'DANH MỤC ĐỐI TƯỢNG'!A:J,10,0),"")</f>
        <v/>
      </c>
    </row>
    <row r="1919" spans="1:9" x14ac:dyDescent="0.3">
      <c r="A1919" t="str">
        <f t="shared" si="56"/>
        <v/>
      </c>
      <c r="F1919" t="str">
        <f>IFERROR(VLOOKUP(Table1[[#This Row],[Tên đối tượng]],'DANH MỤC ĐỐI TƯỢNG'!A:E,5,0),"")</f>
        <v/>
      </c>
      <c r="G1919" t="str">
        <f>_xlfn.IFNA(VLOOKUP(Table1[[#This Row],[Tên đối tượng]],'DANH MỤC ĐỐI TƯỢNG'!A:F,6,0),"")</f>
        <v/>
      </c>
      <c r="H1919" t="str">
        <f>_xlfn.IFNA(VLOOKUP(Table1[[#This Row],[Tên đối tượng]],'DANH MỤC ĐỐI TƯỢNG'!A:I,9,0),"")</f>
        <v/>
      </c>
      <c r="I1919" t="str">
        <f>_xlfn.IFNA(VLOOKUP(Table1[[#This Row],[Tên đối tượng]],'DANH MỤC ĐỐI TƯỢNG'!A:J,10,0),"")</f>
        <v/>
      </c>
    </row>
    <row r="1920" spans="1:9" x14ac:dyDescent="0.3">
      <c r="A1920" t="str">
        <f t="shared" ref="A1920:A1983" si="57">IF(B1920&lt;&gt;0,ROW()-3,"")</f>
        <v/>
      </c>
      <c r="F1920" t="str">
        <f>IFERROR(VLOOKUP(Table1[[#This Row],[Tên đối tượng]],'DANH MỤC ĐỐI TƯỢNG'!A:E,5,0),"")</f>
        <v/>
      </c>
      <c r="G1920" t="str">
        <f>_xlfn.IFNA(VLOOKUP(Table1[[#This Row],[Tên đối tượng]],'DANH MỤC ĐỐI TƯỢNG'!A:F,6,0),"")</f>
        <v/>
      </c>
      <c r="H1920" t="str">
        <f>_xlfn.IFNA(VLOOKUP(Table1[[#This Row],[Tên đối tượng]],'DANH MỤC ĐỐI TƯỢNG'!A:I,9,0),"")</f>
        <v/>
      </c>
      <c r="I1920" t="str">
        <f>_xlfn.IFNA(VLOOKUP(Table1[[#This Row],[Tên đối tượng]],'DANH MỤC ĐỐI TƯỢNG'!A:J,10,0),"")</f>
        <v/>
      </c>
    </row>
    <row r="1921" spans="1:9" x14ac:dyDescent="0.3">
      <c r="A1921" t="str">
        <f t="shared" si="57"/>
        <v/>
      </c>
      <c r="F1921" t="str">
        <f>IFERROR(VLOOKUP(Table1[[#This Row],[Tên đối tượng]],'DANH MỤC ĐỐI TƯỢNG'!A:E,5,0),"")</f>
        <v/>
      </c>
      <c r="G1921" t="str">
        <f>_xlfn.IFNA(VLOOKUP(Table1[[#This Row],[Tên đối tượng]],'DANH MỤC ĐỐI TƯỢNG'!A:F,6,0),"")</f>
        <v/>
      </c>
      <c r="H1921" t="str">
        <f>_xlfn.IFNA(VLOOKUP(Table1[[#This Row],[Tên đối tượng]],'DANH MỤC ĐỐI TƯỢNG'!A:I,9,0),"")</f>
        <v/>
      </c>
      <c r="I1921" t="str">
        <f>_xlfn.IFNA(VLOOKUP(Table1[[#This Row],[Tên đối tượng]],'DANH MỤC ĐỐI TƯỢNG'!A:J,10,0),"")</f>
        <v/>
      </c>
    </row>
    <row r="1922" spans="1:9" x14ac:dyDescent="0.3">
      <c r="A1922" t="str">
        <f t="shared" si="57"/>
        <v/>
      </c>
      <c r="F1922" t="str">
        <f>IFERROR(VLOOKUP(Table1[[#This Row],[Tên đối tượng]],'DANH MỤC ĐỐI TƯỢNG'!A:E,5,0),"")</f>
        <v/>
      </c>
      <c r="G1922" t="str">
        <f>_xlfn.IFNA(VLOOKUP(Table1[[#This Row],[Tên đối tượng]],'DANH MỤC ĐỐI TƯỢNG'!A:F,6,0),"")</f>
        <v/>
      </c>
      <c r="H1922" t="str">
        <f>_xlfn.IFNA(VLOOKUP(Table1[[#This Row],[Tên đối tượng]],'DANH MỤC ĐỐI TƯỢNG'!A:I,9,0),"")</f>
        <v/>
      </c>
      <c r="I1922" t="str">
        <f>_xlfn.IFNA(VLOOKUP(Table1[[#This Row],[Tên đối tượng]],'DANH MỤC ĐỐI TƯỢNG'!A:J,10,0),"")</f>
        <v/>
      </c>
    </row>
    <row r="1923" spans="1:9" x14ac:dyDescent="0.3">
      <c r="A1923" t="str">
        <f t="shared" si="57"/>
        <v/>
      </c>
      <c r="F1923" t="str">
        <f>IFERROR(VLOOKUP(Table1[[#This Row],[Tên đối tượng]],'DANH MỤC ĐỐI TƯỢNG'!A:E,5,0),"")</f>
        <v/>
      </c>
      <c r="G1923" t="str">
        <f>_xlfn.IFNA(VLOOKUP(Table1[[#This Row],[Tên đối tượng]],'DANH MỤC ĐỐI TƯỢNG'!A:F,6,0),"")</f>
        <v/>
      </c>
      <c r="H1923" t="str">
        <f>_xlfn.IFNA(VLOOKUP(Table1[[#This Row],[Tên đối tượng]],'DANH MỤC ĐỐI TƯỢNG'!A:I,9,0),"")</f>
        <v/>
      </c>
      <c r="I1923" t="str">
        <f>_xlfn.IFNA(VLOOKUP(Table1[[#This Row],[Tên đối tượng]],'DANH MỤC ĐỐI TƯỢNG'!A:J,10,0),"")</f>
        <v/>
      </c>
    </row>
    <row r="1924" spans="1:9" x14ac:dyDescent="0.3">
      <c r="A1924" t="str">
        <f t="shared" si="57"/>
        <v/>
      </c>
      <c r="F1924" t="str">
        <f>IFERROR(VLOOKUP(Table1[[#This Row],[Tên đối tượng]],'DANH MỤC ĐỐI TƯỢNG'!A:E,5,0),"")</f>
        <v/>
      </c>
      <c r="G1924" t="str">
        <f>_xlfn.IFNA(VLOOKUP(Table1[[#This Row],[Tên đối tượng]],'DANH MỤC ĐỐI TƯỢNG'!A:F,6,0),"")</f>
        <v/>
      </c>
      <c r="H1924" t="str">
        <f>_xlfn.IFNA(VLOOKUP(Table1[[#This Row],[Tên đối tượng]],'DANH MỤC ĐỐI TƯỢNG'!A:I,9,0),"")</f>
        <v/>
      </c>
      <c r="I1924" t="str">
        <f>_xlfn.IFNA(VLOOKUP(Table1[[#This Row],[Tên đối tượng]],'DANH MỤC ĐỐI TƯỢNG'!A:J,10,0),"")</f>
        <v/>
      </c>
    </row>
    <row r="1925" spans="1:9" x14ac:dyDescent="0.3">
      <c r="A1925" t="str">
        <f t="shared" si="57"/>
        <v/>
      </c>
      <c r="F1925" t="str">
        <f>IFERROR(VLOOKUP(Table1[[#This Row],[Tên đối tượng]],'DANH MỤC ĐỐI TƯỢNG'!A:E,5,0),"")</f>
        <v/>
      </c>
      <c r="G1925" t="str">
        <f>_xlfn.IFNA(VLOOKUP(Table1[[#This Row],[Tên đối tượng]],'DANH MỤC ĐỐI TƯỢNG'!A:F,6,0),"")</f>
        <v/>
      </c>
      <c r="H1925" t="str">
        <f>_xlfn.IFNA(VLOOKUP(Table1[[#This Row],[Tên đối tượng]],'DANH MỤC ĐỐI TƯỢNG'!A:I,9,0),"")</f>
        <v/>
      </c>
      <c r="I1925" t="str">
        <f>_xlfn.IFNA(VLOOKUP(Table1[[#This Row],[Tên đối tượng]],'DANH MỤC ĐỐI TƯỢNG'!A:J,10,0),"")</f>
        <v/>
      </c>
    </row>
    <row r="1926" spans="1:9" x14ac:dyDescent="0.3">
      <c r="A1926" t="str">
        <f t="shared" si="57"/>
        <v/>
      </c>
      <c r="F1926" t="str">
        <f>IFERROR(VLOOKUP(Table1[[#This Row],[Tên đối tượng]],'DANH MỤC ĐỐI TƯỢNG'!A:E,5,0),"")</f>
        <v/>
      </c>
      <c r="G1926" t="str">
        <f>_xlfn.IFNA(VLOOKUP(Table1[[#This Row],[Tên đối tượng]],'DANH MỤC ĐỐI TƯỢNG'!A:F,6,0),"")</f>
        <v/>
      </c>
      <c r="H1926" t="str">
        <f>_xlfn.IFNA(VLOOKUP(Table1[[#This Row],[Tên đối tượng]],'DANH MỤC ĐỐI TƯỢNG'!A:I,9,0),"")</f>
        <v/>
      </c>
      <c r="I1926" t="str">
        <f>_xlfn.IFNA(VLOOKUP(Table1[[#This Row],[Tên đối tượng]],'DANH MỤC ĐỐI TƯỢNG'!A:J,10,0),"")</f>
        <v/>
      </c>
    </row>
    <row r="1927" spans="1:9" x14ac:dyDescent="0.3">
      <c r="A1927" t="str">
        <f t="shared" si="57"/>
        <v/>
      </c>
      <c r="F1927" t="str">
        <f>IFERROR(VLOOKUP(Table1[[#This Row],[Tên đối tượng]],'DANH MỤC ĐỐI TƯỢNG'!A:E,5,0),"")</f>
        <v/>
      </c>
      <c r="G1927" t="str">
        <f>_xlfn.IFNA(VLOOKUP(Table1[[#This Row],[Tên đối tượng]],'DANH MỤC ĐỐI TƯỢNG'!A:F,6,0),"")</f>
        <v/>
      </c>
      <c r="H1927" t="str">
        <f>_xlfn.IFNA(VLOOKUP(Table1[[#This Row],[Tên đối tượng]],'DANH MỤC ĐỐI TƯỢNG'!A:I,9,0),"")</f>
        <v/>
      </c>
      <c r="I1927" t="str">
        <f>_xlfn.IFNA(VLOOKUP(Table1[[#This Row],[Tên đối tượng]],'DANH MỤC ĐỐI TƯỢNG'!A:J,10,0),"")</f>
        <v/>
      </c>
    </row>
    <row r="1928" spans="1:9" x14ac:dyDescent="0.3">
      <c r="A1928" t="str">
        <f t="shared" si="57"/>
        <v/>
      </c>
      <c r="F1928" t="str">
        <f>IFERROR(VLOOKUP(Table1[[#This Row],[Tên đối tượng]],'DANH MỤC ĐỐI TƯỢNG'!A:E,5,0),"")</f>
        <v/>
      </c>
      <c r="G1928" t="str">
        <f>_xlfn.IFNA(VLOOKUP(Table1[[#This Row],[Tên đối tượng]],'DANH MỤC ĐỐI TƯỢNG'!A:F,6,0),"")</f>
        <v/>
      </c>
      <c r="H1928" t="str">
        <f>_xlfn.IFNA(VLOOKUP(Table1[[#This Row],[Tên đối tượng]],'DANH MỤC ĐỐI TƯỢNG'!A:I,9,0),"")</f>
        <v/>
      </c>
      <c r="I1928" t="str">
        <f>_xlfn.IFNA(VLOOKUP(Table1[[#This Row],[Tên đối tượng]],'DANH MỤC ĐỐI TƯỢNG'!A:J,10,0),"")</f>
        <v/>
      </c>
    </row>
    <row r="1929" spans="1:9" x14ac:dyDescent="0.3">
      <c r="A1929" t="str">
        <f t="shared" si="57"/>
        <v/>
      </c>
      <c r="F1929" t="str">
        <f>IFERROR(VLOOKUP(Table1[[#This Row],[Tên đối tượng]],'DANH MỤC ĐỐI TƯỢNG'!A:E,5,0),"")</f>
        <v/>
      </c>
      <c r="G1929" t="str">
        <f>_xlfn.IFNA(VLOOKUP(Table1[[#This Row],[Tên đối tượng]],'DANH MỤC ĐỐI TƯỢNG'!A:F,6,0),"")</f>
        <v/>
      </c>
      <c r="H1929" t="str">
        <f>_xlfn.IFNA(VLOOKUP(Table1[[#This Row],[Tên đối tượng]],'DANH MỤC ĐỐI TƯỢNG'!A:I,9,0),"")</f>
        <v/>
      </c>
      <c r="I1929" t="str">
        <f>_xlfn.IFNA(VLOOKUP(Table1[[#This Row],[Tên đối tượng]],'DANH MỤC ĐỐI TƯỢNG'!A:J,10,0),"")</f>
        <v/>
      </c>
    </row>
    <row r="1930" spans="1:9" x14ac:dyDescent="0.3">
      <c r="A1930" t="str">
        <f t="shared" si="57"/>
        <v/>
      </c>
      <c r="F1930" t="str">
        <f>IFERROR(VLOOKUP(Table1[[#This Row],[Tên đối tượng]],'DANH MỤC ĐỐI TƯỢNG'!A:E,5,0),"")</f>
        <v/>
      </c>
      <c r="G1930" t="str">
        <f>_xlfn.IFNA(VLOOKUP(Table1[[#This Row],[Tên đối tượng]],'DANH MỤC ĐỐI TƯỢNG'!A:F,6,0),"")</f>
        <v/>
      </c>
      <c r="H1930" t="str">
        <f>_xlfn.IFNA(VLOOKUP(Table1[[#This Row],[Tên đối tượng]],'DANH MỤC ĐỐI TƯỢNG'!A:I,9,0),"")</f>
        <v/>
      </c>
      <c r="I1930" t="str">
        <f>_xlfn.IFNA(VLOOKUP(Table1[[#This Row],[Tên đối tượng]],'DANH MỤC ĐỐI TƯỢNG'!A:J,10,0),"")</f>
        <v/>
      </c>
    </row>
    <row r="1931" spans="1:9" x14ac:dyDescent="0.3">
      <c r="A1931" t="str">
        <f t="shared" si="57"/>
        <v/>
      </c>
      <c r="F1931" t="str">
        <f>IFERROR(VLOOKUP(Table1[[#This Row],[Tên đối tượng]],'DANH MỤC ĐỐI TƯỢNG'!A:E,5,0),"")</f>
        <v/>
      </c>
      <c r="G1931" t="str">
        <f>_xlfn.IFNA(VLOOKUP(Table1[[#This Row],[Tên đối tượng]],'DANH MỤC ĐỐI TƯỢNG'!A:F,6,0),"")</f>
        <v/>
      </c>
      <c r="H1931" t="str">
        <f>_xlfn.IFNA(VLOOKUP(Table1[[#This Row],[Tên đối tượng]],'DANH MỤC ĐỐI TƯỢNG'!A:I,9,0),"")</f>
        <v/>
      </c>
      <c r="I1931" t="str">
        <f>_xlfn.IFNA(VLOOKUP(Table1[[#This Row],[Tên đối tượng]],'DANH MỤC ĐỐI TƯỢNG'!A:J,10,0),"")</f>
        <v/>
      </c>
    </row>
    <row r="1932" spans="1:9" x14ac:dyDescent="0.3">
      <c r="A1932" t="str">
        <f t="shared" si="57"/>
        <v/>
      </c>
      <c r="F1932" t="str">
        <f>IFERROR(VLOOKUP(Table1[[#This Row],[Tên đối tượng]],'DANH MỤC ĐỐI TƯỢNG'!A:E,5,0),"")</f>
        <v/>
      </c>
      <c r="G1932" t="str">
        <f>_xlfn.IFNA(VLOOKUP(Table1[[#This Row],[Tên đối tượng]],'DANH MỤC ĐỐI TƯỢNG'!A:F,6,0),"")</f>
        <v/>
      </c>
      <c r="H1932" t="str">
        <f>_xlfn.IFNA(VLOOKUP(Table1[[#This Row],[Tên đối tượng]],'DANH MỤC ĐỐI TƯỢNG'!A:I,9,0),"")</f>
        <v/>
      </c>
      <c r="I1932" t="str">
        <f>_xlfn.IFNA(VLOOKUP(Table1[[#This Row],[Tên đối tượng]],'DANH MỤC ĐỐI TƯỢNG'!A:J,10,0),"")</f>
        <v/>
      </c>
    </row>
    <row r="1933" spans="1:9" x14ac:dyDescent="0.3">
      <c r="A1933" t="str">
        <f t="shared" si="57"/>
        <v/>
      </c>
      <c r="F1933" t="str">
        <f>IFERROR(VLOOKUP(Table1[[#This Row],[Tên đối tượng]],'DANH MỤC ĐỐI TƯỢNG'!A:E,5,0),"")</f>
        <v/>
      </c>
      <c r="G1933" t="str">
        <f>_xlfn.IFNA(VLOOKUP(Table1[[#This Row],[Tên đối tượng]],'DANH MỤC ĐỐI TƯỢNG'!A:F,6,0),"")</f>
        <v/>
      </c>
      <c r="H1933" t="str">
        <f>_xlfn.IFNA(VLOOKUP(Table1[[#This Row],[Tên đối tượng]],'DANH MỤC ĐỐI TƯỢNG'!A:I,9,0),"")</f>
        <v/>
      </c>
      <c r="I1933" t="str">
        <f>_xlfn.IFNA(VLOOKUP(Table1[[#This Row],[Tên đối tượng]],'DANH MỤC ĐỐI TƯỢNG'!A:J,10,0),"")</f>
        <v/>
      </c>
    </row>
    <row r="1934" spans="1:9" x14ac:dyDescent="0.3">
      <c r="A1934" t="str">
        <f t="shared" si="57"/>
        <v/>
      </c>
      <c r="F1934" t="str">
        <f>IFERROR(VLOOKUP(Table1[[#This Row],[Tên đối tượng]],'DANH MỤC ĐỐI TƯỢNG'!A:E,5,0),"")</f>
        <v/>
      </c>
      <c r="G1934" t="str">
        <f>_xlfn.IFNA(VLOOKUP(Table1[[#This Row],[Tên đối tượng]],'DANH MỤC ĐỐI TƯỢNG'!A:F,6,0),"")</f>
        <v/>
      </c>
      <c r="H1934" t="str">
        <f>_xlfn.IFNA(VLOOKUP(Table1[[#This Row],[Tên đối tượng]],'DANH MỤC ĐỐI TƯỢNG'!A:I,9,0),"")</f>
        <v/>
      </c>
      <c r="I1934" t="str">
        <f>_xlfn.IFNA(VLOOKUP(Table1[[#This Row],[Tên đối tượng]],'DANH MỤC ĐỐI TƯỢNG'!A:J,10,0),"")</f>
        <v/>
      </c>
    </row>
    <row r="1935" spans="1:9" x14ac:dyDescent="0.3">
      <c r="A1935" t="str">
        <f t="shared" si="57"/>
        <v/>
      </c>
      <c r="F1935" t="str">
        <f>IFERROR(VLOOKUP(Table1[[#This Row],[Tên đối tượng]],'DANH MỤC ĐỐI TƯỢNG'!A:E,5,0),"")</f>
        <v/>
      </c>
      <c r="G1935" t="str">
        <f>_xlfn.IFNA(VLOOKUP(Table1[[#This Row],[Tên đối tượng]],'DANH MỤC ĐỐI TƯỢNG'!A:F,6,0),"")</f>
        <v/>
      </c>
      <c r="H1935" t="str">
        <f>_xlfn.IFNA(VLOOKUP(Table1[[#This Row],[Tên đối tượng]],'DANH MỤC ĐỐI TƯỢNG'!A:I,9,0),"")</f>
        <v/>
      </c>
      <c r="I1935" t="str">
        <f>_xlfn.IFNA(VLOOKUP(Table1[[#This Row],[Tên đối tượng]],'DANH MỤC ĐỐI TƯỢNG'!A:J,10,0),"")</f>
        <v/>
      </c>
    </row>
    <row r="1936" spans="1:9" x14ac:dyDescent="0.3">
      <c r="A1936" t="str">
        <f t="shared" si="57"/>
        <v/>
      </c>
      <c r="F1936" t="str">
        <f>IFERROR(VLOOKUP(Table1[[#This Row],[Tên đối tượng]],'DANH MỤC ĐỐI TƯỢNG'!A:E,5,0),"")</f>
        <v/>
      </c>
      <c r="G1936" t="str">
        <f>_xlfn.IFNA(VLOOKUP(Table1[[#This Row],[Tên đối tượng]],'DANH MỤC ĐỐI TƯỢNG'!A:F,6,0),"")</f>
        <v/>
      </c>
      <c r="H1936" t="str">
        <f>_xlfn.IFNA(VLOOKUP(Table1[[#This Row],[Tên đối tượng]],'DANH MỤC ĐỐI TƯỢNG'!A:I,9,0),"")</f>
        <v/>
      </c>
      <c r="I1936" t="str">
        <f>_xlfn.IFNA(VLOOKUP(Table1[[#This Row],[Tên đối tượng]],'DANH MỤC ĐỐI TƯỢNG'!A:J,10,0),"")</f>
        <v/>
      </c>
    </row>
    <row r="1937" spans="1:9" x14ac:dyDescent="0.3">
      <c r="A1937" t="str">
        <f t="shared" si="57"/>
        <v/>
      </c>
      <c r="F1937" t="str">
        <f>IFERROR(VLOOKUP(Table1[[#This Row],[Tên đối tượng]],'DANH MỤC ĐỐI TƯỢNG'!A:E,5,0),"")</f>
        <v/>
      </c>
      <c r="G1937" t="str">
        <f>_xlfn.IFNA(VLOOKUP(Table1[[#This Row],[Tên đối tượng]],'DANH MỤC ĐỐI TƯỢNG'!A:F,6,0),"")</f>
        <v/>
      </c>
      <c r="H1937" t="str">
        <f>_xlfn.IFNA(VLOOKUP(Table1[[#This Row],[Tên đối tượng]],'DANH MỤC ĐỐI TƯỢNG'!A:I,9,0),"")</f>
        <v/>
      </c>
      <c r="I1937" t="str">
        <f>_xlfn.IFNA(VLOOKUP(Table1[[#This Row],[Tên đối tượng]],'DANH MỤC ĐỐI TƯỢNG'!A:J,10,0),"")</f>
        <v/>
      </c>
    </row>
    <row r="1938" spans="1:9" x14ac:dyDescent="0.3">
      <c r="A1938" t="str">
        <f t="shared" si="57"/>
        <v/>
      </c>
      <c r="F1938" t="str">
        <f>IFERROR(VLOOKUP(Table1[[#This Row],[Tên đối tượng]],'DANH MỤC ĐỐI TƯỢNG'!A:E,5,0),"")</f>
        <v/>
      </c>
      <c r="G1938" t="str">
        <f>_xlfn.IFNA(VLOOKUP(Table1[[#This Row],[Tên đối tượng]],'DANH MỤC ĐỐI TƯỢNG'!A:F,6,0),"")</f>
        <v/>
      </c>
      <c r="H1938" t="str">
        <f>_xlfn.IFNA(VLOOKUP(Table1[[#This Row],[Tên đối tượng]],'DANH MỤC ĐỐI TƯỢNG'!A:I,9,0),"")</f>
        <v/>
      </c>
      <c r="I1938" t="str">
        <f>_xlfn.IFNA(VLOOKUP(Table1[[#This Row],[Tên đối tượng]],'DANH MỤC ĐỐI TƯỢNG'!A:J,10,0),"")</f>
        <v/>
      </c>
    </row>
    <row r="1939" spans="1:9" x14ac:dyDescent="0.3">
      <c r="A1939" t="str">
        <f t="shared" si="57"/>
        <v/>
      </c>
      <c r="F1939" t="str">
        <f>IFERROR(VLOOKUP(Table1[[#This Row],[Tên đối tượng]],'DANH MỤC ĐỐI TƯỢNG'!A:E,5,0),"")</f>
        <v/>
      </c>
      <c r="G1939" t="str">
        <f>_xlfn.IFNA(VLOOKUP(Table1[[#This Row],[Tên đối tượng]],'DANH MỤC ĐỐI TƯỢNG'!A:F,6,0),"")</f>
        <v/>
      </c>
      <c r="H1939" t="str">
        <f>_xlfn.IFNA(VLOOKUP(Table1[[#This Row],[Tên đối tượng]],'DANH MỤC ĐỐI TƯỢNG'!A:I,9,0),"")</f>
        <v/>
      </c>
      <c r="I1939" t="str">
        <f>_xlfn.IFNA(VLOOKUP(Table1[[#This Row],[Tên đối tượng]],'DANH MỤC ĐỐI TƯỢNG'!A:J,10,0),"")</f>
        <v/>
      </c>
    </row>
    <row r="1940" spans="1:9" x14ac:dyDescent="0.3">
      <c r="A1940" t="str">
        <f t="shared" si="57"/>
        <v/>
      </c>
      <c r="F1940" t="str">
        <f>IFERROR(VLOOKUP(Table1[[#This Row],[Tên đối tượng]],'DANH MỤC ĐỐI TƯỢNG'!A:E,5,0),"")</f>
        <v/>
      </c>
      <c r="G1940" t="str">
        <f>_xlfn.IFNA(VLOOKUP(Table1[[#This Row],[Tên đối tượng]],'DANH MỤC ĐỐI TƯỢNG'!A:F,6,0),"")</f>
        <v/>
      </c>
      <c r="H1940" t="str">
        <f>_xlfn.IFNA(VLOOKUP(Table1[[#This Row],[Tên đối tượng]],'DANH MỤC ĐỐI TƯỢNG'!A:I,9,0),"")</f>
        <v/>
      </c>
      <c r="I1940" t="str">
        <f>_xlfn.IFNA(VLOOKUP(Table1[[#This Row],[Tên đối tượng]],'DANH MỤC ĐỐI TƯỢNG'!A:J,10,0),"")</f>
        <v/>
      </c>
    </row>
    <row r="1941" spans="1:9" x14ac:dyDescent="0.3">
      <c r="A1941" t="str">
        <f t="shared" si="57"/>
        <v/>
      </c>
      <c r="F1941" t="str">
        <f>IFERROR(VLOOKUP(Table1[[#This Row],[Tên đối tượng]],'DANH MỤC ĐỐI TƯỢNG'!A:E,5,0),"")</f>
        <v/>
      </c>
      <c r="G1941" t="str">
        <f>_xlfn.IFNA(VLOOKUP(Table1[[#This Row],[Tên đối tượng]],'DANH MỤC ĐỐI TƯỢNG'!A:F,6,0),"")</f>
        <v/>
      </c>
      <c r="H1941" t="str">
        <f>_xlfn.IFNA(VLOOKUP(Table1[[#This Row],[Tên đối tượng]],'DANH MỤC ĐỐI TƯỢNG'!A:I,9,0),"")</f>
        <v/>
      </c>
      <c r="I1941" t="str">
        <f>_xlfn.IFNA(VLOOKUP(Table1[[#This Row],[Tên đối tượng]],'DANH MỤC ĐỐI TƯỢNG'!A:J,10,0),"")</f>
        <v/>
      </c>
    </row>
    <row r="1942" spans="1:9" x14ac:dyDescent="0.3">
      <c r="A1942" t="str">
        <f t="shared" si="57"/>
        <v/>
      </c>
      <c r="F1942" t="str">
        <f>IFERROR(VLOOKUP(Table1[[#This Row],[Tên đối tượng]],'DANH MỤC ĐỐI TƯỢNG'!A:E,5,0),"")</f>
        <v/>
      </c>
      <c r="G1942" t="str">
        <f>_xlfn.IFNA(VLOOKUP(Table1[[#This Row],[Tên đối tượng]],'DANH MỤC ĐỐI TƯỢNG'!A:F,6,0),"")</f>
        <v/>
      </c>
      <c r="H1942" t="str">
        <f>_xlfn.IFNA(VLOOKUP(Table1[[#This Row],[Tên đối tượng]],'DANH MỤC ĐỐI TƯỢNG'!A:I,9,0),"")</f>
        <v/>
      </c>
      <c r="I1942" t="str">
        <f>_xlfn.IFNA(VLOOKUP(Table1[[#This Row],[Tên đối tượng]],'DANH MỤC ĐỐI TƯỢNG'!A:J,10,0),"")</f>
        <v/>
      </c>
    </row>
    <row r="1943" spans="1:9" x14ac:dyDescent="0.3">
      <c r="A1943" t="str">
        <f t="shared" si="57"/>
        <v/>
      </c>
      <c r="F1943" t="str">
        <f>IFERROR(VLOOKUP(Table1[[#This Row],[Tên đối tượng]],'DANH MỤC ĐỐI TƯỢNG'!A:E,5,0),"")</f>
        <v/>
      </c>
      <c r="G1943" t="str">
        <f>_xlfn.IFNA(VLOOKUP(Table1[[#This Row],[Tên đối tượng]],'DANH MỤC ĐỐI TƯỢNG'!A:F,6,0),"")</f>
        <v/>
      </c>
      <c r="H1943" t="str">
        <f>_xlfn.IFNA(VLOOKUP(Table1[[#This Row],[Tên đối tượng]],'DANH MỤC ĐỐI TƯỢNG'!A:I,9,0),"")</f>
        <v/>
      </c>
      <c r="I1943" t="str">
        <f>_xlfn.IFNA(VLOOKUP(Table1[[#This Row],[Tên đối tượng]],'DANH MỤC ĐỐI TƯỢNG'!A:J,10,0),"")</f>
        <v/>
      </c>
    </row>
    <row r="1944" spans="1:9" x14ac:dyDescent="0.3">
      <c r="A1944" t="str">
        <f t="shared" si="57"/>
        <v/>
      </c>
      <c r="F1944" t="str">
        <f>IFERROR(VLOOKUP(Table1[[#This Row],[Tên đối tượng]],'DANH MỤC ĐỐI TƯỢNG'!A:E,5,0),"")</f>
        <v/>
      </c>
      <c r="G1944" t="str">
        <f>_xlfn.IFNA(VLOOKUP(Table1[[#This Row],[Tên đối tượng]],'DANH MỤC ĐỐI TƯỢNG'!A:F,6,0),"")</f>
        <v/>
      </c>
      <c r="H1944" t="str">
        <f>_xlfn.IFNA(VLOOKUP(Table1[[#This Row],[Tên đối tượng]],'DANH MỤC ĐỐI TƯỢNG'!A:I,9,0),"")</f>
        <v/>
      </c>
      <c r="I1944" t="str">
        <f>_xlfn.IFNA(VLOOKUP(Table1[[#This Row],[Tên đối tượng]],'DANH MỤC ĐỐI TƯỢNG'!A:J,10,0),"")</f>
        <v/>
      </c>
    </row>
    <row r="1945" spans="1:9" x14ac:dyDescent="0.3">
      <c r="A1945" t="str">
        <f t="shared" si="57"/>
        <v/>
      </c>
      <c r="F1945" t="str">
        <f>IFERROR(VLOOKUP(Table1[[#This Row],[Tên đối tượng]],'DANH MỤC ĐỐI TƯỢNG'!A:E,5,0),"")</f>
        <v/>
      </c>
      <c r="G1945" t="str">
        <f>_xlfn.IFNA(VLOOKUP(Table1[[#This Row],[Tên đối tượng]],'DANH MỤC ĐỐI TƯỢNG'!A:F,6,0),"")</f>
        <v/>
      </c>
      <c r="H1945" t="str">
        <f>_xlfn.IFNA(VLOOKUP(Table1[[#This Row],[Tên đối tượng]],'DANH MỤC ĐỐI TƯỢNG'!A:I,9,0),"")</f>
        <v/>
      </c>
      <c r="I1945" t="str">
        <f>_xlfn.IFNA(VLOOKUP(Table1[[#This Row],[Tên đối tượng]],'DANH MỤC ĐỐI TƯỢNG'!A:J,10,0),"")</f>
        <v/>
      </c>
    </row>
    <row r="1946" spans="1:9" x14ac:dyDescent="0.3">
      <c r="A1946" t="str">
        <f t="shared" si="57"/>
        <v/>
      </c>
      <c r="F1946" t="str">
        <f>IFERROR(VLOOKUP(Table1[[#This Row],[Tên đối tượng]],'DANH MỤC ĐỐI TƯỢNG'!A:E,5,0),"")</f>
        <v/>
      </c>
      <c r="G1946" t="str">
        <f>_xlfn.IFNA(VLOOKUP(Table1[[#This Row],[Tên đối tượng]],'DANH MỤC ĐỐI TƯỢNG'!A:F,6,0),"")</f>
        <v/>
      </c>
      <c r="H1946" t="str">
        <f>_xlfn.IFNA(VLOOKUP(Table1[[#This Row],[Tên đối tượng]],'DANH MỤC ĐỐI TƯỢNG'!A:I,9,0),"")</f>
        <v/>
      </c>
      <c r="I1946" t="str">
        <f>_xlfn.IFNA(VLOOKUP(Table1[[#This Row],[Tên đối tượng]],'DANH MỤC ĐỐI TƯỢNG'!A:J,10,0),"")</f>
        <v/>
      </c>
    </row>
    <row r="1947" spans="1:9" x14ac:dyDescent="0.3">
      <c r="A1947" t="str">
        <f t="shared" si="57"/>
        <v/>
      </c>
      <c r="F1947" t="str">
        <f>IFERROR(VLOOKUP(Table1[[#This Row],[Tên đối tượng]],'DANH MỤC ĐỐI TƯỢNG'!A:E,5,0),"")</f>
        <v/>
      </c>
      <c r="G1947" t="str">
        <f>_xlfn.IFNA(VLOOKUP(Table1[[#This Row],[Tên đối tượng]],'DANH MỤC ĐỐI TƯỢNG'!A:F,6,0),"")</f>
        <v/>
      </c>
      <c r="H1947" t="str">
        <f>_xlfn.IFNA(VLOOKUP(Table1[[#This Row],[Tên đối tượng]],'DANH MỤC ĐỐI TƯỢNG'!A:I,9,0),"")</f>
        <v/>
      </c>
      <c r="I1947" t="str">
        <f>_xlfn.IFNA(VLOOKUP(Table1[[#This Row],[Tên đối tượng]],'DANH MỤC ĐỐI TƯỢNG'!A:J,10,0),"")</f>
        <v/>
      </c>
    </row>
    <row r="1948" spans="1:9" x14ac:dyDescent="0.3">
      <c r="A1948" t="str">
        <f t="shared" si="57"/>
        <v/>
      </c>
      <c r="F1948" t="str">
        <f>IFERROR(VLOOKUP(Table1[[#This Row],[Tên đối tượng]],'DANH MỤC ĐỐI TƯỢNG'!A:E,5,0),"")</f>
        <v/>
      </c>
      <c r="G1948" t="str">
        <f>_xlfn.IFNA(VLOOKUP(Table1[[#This Row],[Tên đối tượng]],'DANH MỤC ĐỐI TƯỢNG'!A:F,6,0),"")</f>
        <v/>
      </c>
      <c r="H1948" t="str">
        <f>_xlfn.IFNA(VLOOKUP(Table1[[#This Row],[Tên đối tượng]],'DANH MỤC ĐỐI TƯỢNG'!A:I,9,0),"")</f>
        <v/>
      </c>
      <c r="I1948" t="str">
        <f>_xlfn.IFNA(VLOOKUP(Table1[[#This Row],[Tên đối tượng]],'DANH MỤC ĐỐI TƯỢNG'!A:J,10,0),"")</f>
        <v/>
      </c>
    </row>
    <row r="1949" spans="1:9" x14ac:dyDescent="0.3">
      <c r="A1949" t="str">
        <f t="shared" si="57"/>
        <v/>
      </c>
      <c r="F1949" t="str">
        <f>IFERROR(VLOOKUP(Table1[[#This Row],[Tên đối tượng]],'DANH MỤC ĐỐI TƯỢNG'!A:E,5,0),"")</f>
        <v/>
      </c>
      <c r="G1949" t="str">
        <f>_xlfn.IFNA(VLOOKUP(Table1[[#This Row],[Tên đối tượng]],'DANH MỤC ĐỐI TƯỢNG'!A:F,6,0),"")</f>
        <v/>
      </c>
      <c r="H1949" t="str">
        <f>_xlfn.IFNA(VLOOKUP(Table1[[#This Row],[Tên đối tượng]],'DANH MỤC ĐỐI TƯỢNG'!A:I,9,0),"")</f>
        <v/>
      </c>
      <c r="I1949" t="str">
        <f>_xlfn.IFNA(VLOOKUP(Table1[[#This Row],[Tên đối tượng]],'DANH MỤC ĐỐI TƯỢNG'!A:J,10,0),"")</f>
        <v/>
      </c>
    </row>
    <row r="1950" spans="1:9" x14ac:dyDescent="0.3">
      <c r="A1950" t="str">
        <f t="shared" si="57"/>
        <v/>
      </c>
      <c r="F1950" t="str">
        <f>IFERROR(VLOOKUP(Table1[[#This Row],[Tên đối tượng]],'DANH MỤC ĐỐI TƯỢNG'!A:E,5,0),"")</f>
        <v/>
      </c>
      <c r="G1950" t="str">
        <f>_xlfn.IFNA(VLOOKUP(Table1[[#This Row],[Tên đối tượng]],'DANH MỤC ĐỐI TƯỢNG'!A:F,6,0),"")</f>
        <v/>
      </c>
      <c r="H1950" t="str">
        <f>_xlfn.IFNA(VLOOKUP(Table1[[#This Row],[Tên đối tượng]],'DANH MỤC ĐỐI TƯỢNG'!A:I,9,0),"")</f>
        <v/>
      </c>
      <c r="I1950" t="str">
        <f>_xlfn.IFNA(VLOOKUP(Table1[[#This Row],[Tên đối tượng]],'DANH MỤC ĐỐI TƯỢNG'!A:J,10,0),"")</f>
        <v/>
      </c>
    </row>
    <row r="1951" spans="1:9" x14ac:dyDescent="0.3">
      <c r="A1951" t="str">
        <f t="shared" si="57"/>
        <v/>
      </c>
      <c r="F1951" t="str">
        <f>IFERROR(VLOOKUP(Table1[[#This Row],[Tên đối tượng]],'DANH MỤC ĐỐI TƯỢNG'!A:E,5,0),"")</f>
        <v/>
      </c>
      <c r="G1951" t="str">
        <f>_xlfn.IFNA(VLOOKUP(Table1[[#This Row],[Tên đối tượng]],'DANH MỤC ĐỐI TƯỢNG'!A:F,6,0),"")</f>
        <v/>
      </c>
      <c r="H1951" t="str">
        <f>_xlfn.IFNA(VLOOKUP(Table1[[#This Row],[Tên đối tượng]],'DANH MỤC ĐỐI TƯỢNG'!A:I,9,0),"")</f>
        <v/>
      </c>
      <c r="I1951" t="str">
        <f>_xlfn.IFNA(VLOOKUP(Table1[[#This Row],[Tên đối tượng]],'DANH MỤC ĐỐI TƯỢNG'!A:J,10,0),"")</f>
        <v/>
      </c>
    </row>
    <row r="1952" spans="1:9" x14ac:dyDescent="0.3">
      <c r="A1952" t="str">
        <f t="shared" si="57"/>
        <v/>
      </c>
      <c r="F1952" t="str">
        <f>IFERROR(VLOOKUP(Table1[[#This Row],[Tên đối tượng]],'DANH MỤC ĐỐI TƯỢNG'!A:E,5,0),"")</f>
        <v/>
      </c>
      <c r="G1952" t="str">
        <f>_xlfn.IFNA(VLOOKUP(Table1[[#This Row],[Tên đối tượng]],'DANH MỤC ĐỐI TƯỢNG'!A:F,6,0),"")</f>
        <v/>
      </c>
      <c r="H1952" t="str">
        <f>_xlfn.IFNA(VLOOKUP(Table1[[#This Row],[Tên đối tượng]],'DANH MỤC ĐỐI TƯỢNG'!A:I,9,0),"")</f>
        <v/>
      </c>
      <c r="I1952" t="str">
        <f>_xlfn.IFNA(VLOOKUP(Table1[[#This Row],[Tên đối tượng]],'DANH MỤC ĐỐI TƯỢNG'!A:J,10,0),"")</f>
        <v/>
      </c>
    </row>
    <row r="1953" spans="1:9" x14ac:dyDescent="0.3">
      <c r="A1953" t="str">
        <f t="shared" si="57"/>
        <v/>
      </c>
      <c r="F1953" t="str">
        <f>IFERROR(VLOOKUP(Table1[[#This Row],[Tên đối tượng]],'DANH MỤC ĐỐI TƯỢNG'!A:E,5,0),"")</f>
        <v/>
      </c>
      <c r="G1953" t="str">
        <f>_xlfn.IFNA(VLOOKUP(Table1[[#This Row],[Tên đối tượng]],'DANH MỤC ĐỐI TƯỢNG'!A:F,6,0),"")</f>
        <v/>
      </c>
      <c r="H1953" t="str">
        <f>_xlfn.IFNA(VLOOKUP(Table1[[#This Row],[Tên đối tượng]],'DANH MỤC ĐỐI TƯỢNG'!A:I,9,0),"")</f>
        <v/>
      </c>
      <c r="I1953" t="str">
        <f>_xlfn.IFNA(VLOOKUP(Table1[[#This Row],[Tên đối tượng]],'DANH MỤC ĐỐI TƯỢNG'!A:J,10,0),"")</f>
        <v/>
      </c>
    </row>
    <row r="1954" spans="1:9" x14ac:dyDescent="0.3">
      <c r="A1954" t="str">
        <f t="shared" si="57"/>
        <v/>
      </c>
      <c r="F1954" t="str">
        <f>IFERROR(VLOOKUP(Table1[[#This Row],[Tên đối tượng]],'DANH MỤC ĐỐI TƯỢNG'!A:E,5,0),"")</f>
        <v/>
      </c>
      <c r="G1954" t="str">
        <f>_xlfn.IFNA(VLOOKUP(Table1[[#This Row],[Tên đối tượng]],'DANH MỤC ĐỐI TƯỢNG'!A:F,6,0),"")</f>
        <v/>
      </c>
      <c r="H1954" t="str">
        <f>_xlfn.IFNA(VLOOKUP(Table1[[#This Row],[Tên đối tượng]],'DANH MỤC ĐỐI TƯỢNG'!A:I,9,0),"")</f>
        <v/>
      </c>
      <c r="I1954" t="str">
        <f>_xlfn.IFNA(VLOOKUP(Table1[[#This Row],[Tên đối tượng]],'DANH MỤC ĐỐI TƯỢNG'!A:J,10,0),"")</f>
        <v/>
      </c>
    </row>
    <row r="1955" spans="1:9" x14ac:dyDescent="0.3">
      <c r="A1955" t="str">
        <f t="shared" si="57"/>
        <v/>
      </c>
      <c r="F1955" t="str">
        <f>IFERROR(VLOOKUP(Table1[[#This Row],[Tên đối tượng]],'DANH MỤC ĐỐI TƯỢNG'!A:E,5,0),"")</f>
        <v/>
      </c>
      <c r="G1955" t="str">
        <f>_xlfn.IFNA(VLOOKUP(Table1[[#This Row],[Tên đối tượng]],'DANH MỤC ĐỐI TƯỢNG'!A:F,6,0),"")</f>
        <v/>
      </c>
      <c r="H1955" t="str">
        <f>_xlfn.IFNA(VLOOKUP(Table1[[#This Row],[Tên đối tượng]],'DANH MỤC ĐỐI TƯỢNG'!A:I,9,0),"")</f>
        <v/>
      </c>
      <c r="I1955" t="str">
        <f>_xlfn.IFNA(VLOOKUP(Table1[[#This Row],[Tên đối tượng]],'DANH MỤC ĐỐI TƯỢNG'!A:J,10,0),"")</f>
        <v/>
      </c>
    </row>
    <row r="1956" spans="1:9" x14ac:dyDescent="0.3">
      <c r="A1956" t="str">
        <f t="shared" si="57"/>
        <v/>
      </c>
      <c r="F1956" t="str">
        <f>IFERROR(VLOOKUP(Table1[[#This Row],[Tên đối tượng]],'DANH MỤC ĐỐI TƯỢNG'!A:E,5,0),"")</f>
        <v/>
      </c>
      <c r="G1956" t="str">
        <f>_xlfn.IFNA(VLOOKUP(Table1[[#This Row],[Tên đối tượng]],'DANH MỤC ĐỐI TƯỢNG'!A:F,6,0),"")</f>
        <v/>
      </c>
      <c r="H1956" t="str">
        <f>_xlfn.IFNA(VLOOKUP(Table1[[#This Row],[Tên đối tượng]],'DANH MỤC ĐỐI TƯỢNG'!A:I,9,0),"")</f>
        <v/>
      </c>
      <c r="I1956" t="str">
        <f>_xlfn.IFNA(VLOOKUP(Table1[[#This Row],[Tên đối tượng]],'DANH MỤC ĐỐI TƯỢNG'!A:J,10,0),"")</f>
        <v/>
      </c>
    </row>
    <row r="1957" spans="1:9" x14ac:dyDescent="0.3">
      <c r="A1957" t="str">
        <f t="shared" si="57"/>
        <v/>
      </c>
      <c r="F1957" t="str">
        <f>IFERROR(VLOOKUP(Table1[[#This Row],[Tên đối tượng]],'DANH MỤC ĐỐI TƯỢNG'!A:E,5,0),"")</f>
        <v/>
      </c>
      <c r="G1957" t="str">
        <f>_xlfn.IFNA(VLOOKUP(Table1[[#This Row],[Tên đối tượng]],'DANH MỤC ĐỐI TƯỢNG'!A:F,6,0),"")</f>
        <v/>
      </c>
      <c r="H1957" t="str">
        <f>_xlfn.IFNA(VLOOKUP(Table1[[#This Row],[Tên đối tượng]],'DANH MỤC ĐỐI TƯỢNG'!A:I,9,0),"")</f>
        <v/>
      </c>
      <c r="I1957" t="str">
        <f>_xlfn.IFNA(VLOOKUP(Table1[[#This Row],[Tên đối tượng]],'DANH MỤC ĐỐI TƯỢNG'!A:J,10,0),"")</f>
        <v/>
      </c>
    </row>
    <row r="1958" spans="1:9" x14ac:dyDescent="0.3">
      <c r="A1958" t="str">
        <f t="shared" si="57"/>
        <v/>
      </c>
      <c r="F1958" t="str">
        <f>IFERROR(VLOOKUP(Table1[[#This Row],[Tên đối tượng]],'DANH MỤC ĐỐI TƯỢNG'!A:E,5,0),"")</f>
        <v/>
      </c>
      <c r="G1958" t="str">
        <f>_xlfn.IFNA(VLOOKUP(Table1[[#This Row],[Tên đối tượng]],'DANH MỤC ĐỐI TƯỢNG'!A:F,6,0),"")</f>
        <v/>
      </c>
      <c r="H1958" t="str">
        <f>_xlfn.IFNA(VLOOKUP(Table1[[#This Row],[Tên đối tượng]],'DANH MỤC ĐỐI TƯỢNG'!A:I,9,0),"")</f>
        <v/>
      </c>
      <c r="I1958" t="str">
        <f>_xlfn.IFNA(VLOOKUP(Table1[[#This Row],[Tên đối tượng]],'DANH MỤC ĐỐI TƯỢNG'!A:J,10,0),"")</f>
        <v/>
      </c>
    </row>
    <row r="1959" spans="1:9" x14ac:dyDescent="0.3">
      <c r="A1959" t="str">
        <f t="shared" si="57"/>
        <v/>
      </c>
      <c r="F1959" t="str">
        <f>IFERROR(VLOOKUP(Table1[[#This Row],[Tên đối tượng]],'DANH MỤC ĐỐI TƯỢNG'!A:E,5,0),"")</f>
        <v/>
      </c>
      <c r="G1959" t="str">
        <f>_xlfn.IFNA(VLOOKUP(Table1[[#This Row],[Tên đối tượng]],'DANH MỤC ĐỐI TƯỢNG'!A:F,6,0),"")</f>
        <v/>
      </c>
      <c r="H1959" t="str">
        <f>_xlfn.IFNA(VLOOKUP(Table1[[#This Row],[Tên đối tượng]],'DANH MỤC ĐỐI TƯỢNG'!A:I,9,0),"")</f>
        <v/>
      </c>
      <c r="I1959" t="str">
        <f>_xlfn.IFNA(VLOOKUP(Table1[[#This Row],[Tên đối tượng]],'DANH MỤC ĐỐI TƯỢNG'!A:J,10,0),"")</f>
        <v/>
      </c>
    </row>
    <row r="1960" spans="1:9" x14ac:dyDescent="0.3">
      <c r="A1960" t="str">
        <f t="shared" si="57"/>
        <v/>
      </c>
      <c r="F1960" t="str">
        <f>IFERROR(VLOOKUP(Table1[[#This Row],[Tên đối tượng]],'DANH MỤC ĐỐI TƯỢNG'!A:E,5,0),"")</f>
        <v/>
      </c>
      <c r="G1960" t="str">
        <f>_xlfn.IFNA(VLOOKUP(Table1[[#This Row],[Tên đối tượng]],'DANH MỤC ĐỐI TƯỢNG'!A:F,6,0),"")</f>
        <v/>
      </c>
      <c r="H1960" t="str">
        <f>_xlfn.IFNA(VLOOKUP(Table1[[#This Row],[Tên đối tượng]],'DANH MỤC ĐỐI TƯỢNG'!A:I,9,0),"")</f>
        <v/>
      </c>
      <c r="I1960" t="str">
        <f>_xlfn.IFNA(VLOOKUP(Table1[[#This Row],[Tên đối tượng]],'DANH MỤC ĐỐI TƯỢNG'!A:J,10,0),"")</f>
        <v/>
      </c>
    </row>
    <row r="1961" spans="1:9" x14ac:dyDescent="0.3">
      <c r="A1961" t="str">
        <f t="shared" si="57"/>
        <v/>
      </c>
      <c r="F1961" t="str">
        <f>IFERROR(VLOOKUP(Table1[[#This Row],[Tên đối tượng]],'DANH MỤC ĐỐI TƯỢNG'!A:E,5,0),"")</f>
        <v/>
      </c>
      <c r="G1961" t="str">
        <f>_xlfn.IFNA(VLOOKUP(Table1[[#This Row],[Tên đối tượng]],'DANH MỤC ĐỐI TƯỢNG'!A:F,6,0),"")</f>
        <v/>
      </c>
      <c r="H1961" t="str">
        <f>_xlfn.IFNA(VLOOKUP(Table1[[#This Row],[Tên đối tượng]],'DANH MỤC ĐỐI TƯỢNG'!A:I,9,0),"")</f>
        <v/>
      </c>
      <c r="I1961" t="str">
        <f>_xlfn.IFNA(VLOOKUP(Table1[[#This Row],[Tên đối tượng]],'DANH MỤC ĐỐI TƯỢNG'!A:J,10,0),"")</f>
        <v/>
      </c>
    </row>
    <row r="1962" spans="1:9" x14ac:dyDescent="0.3">
      <c r="A1962" t="str">
        <f t="shared" si="57"/>
        <v/>
      </c>
      <c r="F1962" t="str">
        <f>IFERROR(VLOOKUP(Table1[[#This Row],[Tên đối tượng]],'DANH MỤC ĐỐI TƯỢNG'!A:E,5,0),"")</f>
        <v/>
      </c>
      <c r="G1962" t="str">
        <f>_xlfn.IFNA(VLOOKUP(Table1[[#This Row],[Tên đối tượng]],'DANH MỤC ĐỐI TƯỢNG'!A:F,6,0),"")</f>
        <v/>
      </c>
      <c r="H1962" t="str">
        <f>_xlfn.IFNA(VLOOKUP(Table1[[#This Row],[Tên đối tượng]],'DANH MỤC ĐỐI TƯỢNG'!A:I,9,0),"")</f>
        <v/>
      </c>
      <c r="I1962" t="str">
        <f>_xlfn.IFNA(VLOOKUP(Table1[[#This Row],[Tên đối tượng]],'DANH MỤC ĐỐI TƯỢNG'!A:J,10,0),"")</f>
        <v/>
      </c>
    </row>
    <row r="1963" spans="1:9" x14ac:dyDescent="0.3">
      <c r="A1963" t="str">
        <f t="shared" si="57"/>
        <v/>
      </c>
      <c r="F1963" t="str">
        <f>IFERROR(VLOOKUP(Table1[[#This Row],[Tên đối tượng]],'DANH MỤC ĐỐI TƯỢNG'!A:E,5,0),"")</f>
        <v/>
      </c>
      <c r="G1963" t="str">
        <f>_xlfn.IFNA(VLOOKUP(Table1[[#This Row],[Tên đối tượng]],'DANH MỤC ĐỐI TƯỢNG'!A:F,6,0),"")</f>
        <v/>
      </c>
      <c r="H1963" t="str">
        <f>_xlfn.IFNA(VLOOKUP(Table1[[#This Row],[Tên đối tượng]],'DANH MỤC ĐỐI TƯỢNG'!A:I,9,0),"")</f>
        <v/>
      </c>
      <c r="I1963" t="str">
        <f>_xlfn.IFNA(VLOOKUP(Table1[[#This Row],[Tên đối tượng]],'DANH MỤC ĐỐI TƯỢNG'!A:J,10,0),"")</f>
        <v/>
      </c>
    </row>
    <row r="1964" spans="1:9" x14ac:dyDescent="0.3">
      <c r="A1964" t="str">
        <f t="shared" si="57"/>
        <v/>
      </c>
      <c r="F1964" t="str">
        <f>IFERROR(VLOOKUP(Table1[[#This Row],[Tên đối tượng]],'DANH MỤC ĐỐI TƯỢNG'!A:E,5,0),"")</f>
        <v/>
      </c>
      <c r="G1964" t="str">
        <f>_xlfn.IFNA(VLOOKUP(Table1[[#This Row],[Tên đối tượng]],'DANH MỤC ĐỐI TƯỢNG'!A:F,6,0),"")</f>
        <v/>
      </c>
      <c r="H1964" t="str">
        <f>_xlfn.IFNA(VLOOKUP(Table1[[#This Row],[Tên đối tượng]],'DANH MỤC ĐỐI TƯỢNG'!A:I,9,0),"")</f>
        <v/>
      </c>
      <c r="I1964" t="str">
        <f>_xlfn.IFNA(VLOOKUP(Table1[[#This Row],[Tên đối tượng]],'DANH MỤC ĐỐI TƯỢNG'!A:J,10,0),"")</f>
        <v/>
      </c>
    </row>
    <row r="1965" spans="1:9" x14ac:dyDescent="0.3">
      <c r="A1965" t="str">
        <f t="shared" si="57"/>
        <v/>
      </c>
      <c r="F1965" t="str">
        <f>IFERROR(VLOOKUP(Table1[[#This Row],[Tên đối tượng]],'DANH MỤC ĐỐI TƯỢNG'!A:E,5,0),"")</f>
        <v/>
      </c>
      <c r="G1965" t="str">
        <f>_xlfn.IFNA(VLOOKUP(Table1[[#This Row],[Tên đối tượng]],'DANH MỤC ĐỐI TƯỢNG'!A:F,6,0),"")</f>
        <v/>
      </c>
      <c r="H1965" t="str">
        <f>_xlfn.IFNA(VLOOKUP(Table1[[#This Row],[Tên đối tượng]],'DANH MỤC ĐỐI TƯỢNG'!A:I,9,0),"")</f>
        <v/>
      </c>
      <c r="I1965" t="str">
        <f>_xlfn.IFNA(VLOOKUP(Table1[[#This Row],[Tên đối tượng]],'DANH MỤC ĐỐI TƯỢNG'!A:J,10,0),"")</f>
        <v/>
      </c>
    </row>
    <row r="1966" spans="1:9" x14ac:dyDescent="0.3">
      <c r="A1966" t="str">
        <f t="shared" si="57"/>
        <v/>
      </c>
      <c r="F1966" t="str">
        <f>IFERROR(VLOOKUP(Table1[[#This Row],[Tên đối tượng]],'DANH MỤC ĐỐI TƯỢNG'!A:E,5,0),"")</f>
        <v/>
      </c>
      <c r="G1966" t="str">
        <f>_xlfn.IFNA(VLOOKUP(Table1[[#This Row],[Tên đối tượng]],'DANH MỤC ĐỐI TƯỢNG'!A:F,6,0),"")</f>
        <v/>
      </c>
      <c r="H1966" t="str">
        <f>_xlfn.IFNA(VLOOKUP(Table1[[#This Row],[Tên đối tượng]],'DANH MỤC ĐỐI TƯỢNG'!A:I,9,0),"")</f>
        <v/>
      </c>
      <c r="I1966" t="str">
        <f>_xlfn.IFNA(VLOOKUP(Table1[[#This Row],[Tên đối tượng]],'DANH MỤC ĐỐI TƯỢNG'!A:J,10,0),"")</f>
        <v/>
      </c>
    </row>
    <row r="1967" spans="1:9" x14ac:dyDescent="0.3">
      <c r="A1967" t="str">
        <f t="shared" si="57"/>
        <v/>
      </c>
      <c r="F1967" t="str">
        <f>IFERROR(VLOOKUP(Table1[[#This Row],[Tên đối tượng]],'DANH MỤC ĐỐI TƯỢNG'!A:E,5,0),"")</f>
        <v/>
      </c>
      <c r="G1967" t="str">
        <f>_xlfn.IFNA(VLOOKUP(Table1[[#This Row],[Tên đối tượng]],'DANH MỤC ĐỐI TƯỢNG'!A:F,6,0),"")</f>
        <v/>
      </c>
      <c r="H1967" t="str">
        <f>_xlfn.IFNA(VLOOKUP(Table1[[#This Row],[Tên đối tượng]],'DANH MỤC ĐỐI TƯỢNG'!A:I,9,0),"")</f>
        <v/>
      </c>
      <c r="I1967" t="str">
        <f>_xlfn.IFNA(VLOOKUP(Table1[[#This Row],[Tên đối tượng]],'DANH MỤC ĐỐI TƯỢNG'!A:J,10,0),"")</f>
        <v/>
      </c>
    </row>
    <row r="1968" spans="1:9" x14ac:dyDescent="0.3">
      <c r="A1968" t="str">
        <f t="shared" si="57"/>
        <v/>
      </c>
      <c r="F1968" t="str">
        <f>IFERROR(VLOOKUP(Table1[[#This Row],[Tên đối tượng]],'DANH MỤC ĐỐI TƯỢNG'!A:E,5,0),"")</f>
        <v/>
      </c>
      <c r="G1968" t="str">
        <f>_xlfn.IFNA(VLOOKUP(Table1[[#This Row],[Tên đối tượng]],'DANH MỤC ĐỐI TƯỢNG'!A:F,6,0),"")</f>
        <v/>
      </c>
      <c r="H1968" t="str">
        <f>_xlfn.IFNA(VLOOKUP(Table1[[#This Row],[Tên đối tượng]],'DANH MỤC ĐỐI TƯỢNG'!A:I,9,0),"")</f>
        <v/>
      </c>
      <c r="I1968" t="str">
        <f>_xlfn.IFNA(VLOOKUP(Table1[[#This Row],[Tên đối tượng]],'DANH MỤC ĐỐI TƯỢNG'!A:J,10,0),"")</f>
        <v/>
      </c>
    </row>
    <row r="1969" spans="1:9" x14ac:dyDescent="0.3">
      <c r="A1969" t="str">
        <f t="shared" si="57"/>
        <v/>
      </c>
      <c r="F1969" t="str">
        <f>IFERROR(VLOOKUP(Table1[[#This Row],[Tên đối tượng]],'DANH MỤC ĐỐI TƯỢNG'!A:E,5,0),"")</f>
        <v/>
      </c>
      <c r="G1969" t="str">
        <f>_xlfn.IFNA(VLOOKUP(Table1[[#This Row],[Tên đối tượng]],'DANH MỤC ĐỐI TƯỢNG'!A:F,6,0),"")</f>
        <v/>
      </c>
      <c r="H1969" t="str">
        <f>_xlfn.IFNA(VLOOKUP(Table1[[#This Row],[Tên đối tượng]],'DANH MỤC ĐỐI TƯỢNG'!A:I,9,0),"")</f>
        <v/>
      </c>
      <c r="I1969" t="str">
        <f>_xlfn.IFNA(VLOOKUP(Table1[[#This Row],[Tên đối tượng]],'DANH MỤC ĐỐI TƯỢNG'!A:J,10,0),"")</f>
        <v/>
      </c>
    </row>
    <row r="1970" spans="1:9" x14ac:dyDescent="0.3">
      <c r="A1970" t="str">
        <f t="shared" si="57"/>
        <v/>
      </c>
      <c r="F1970" t="str">
        <f>IFERROR(VLOOKUP(Table1[[#This Row],[Tên đối tượng]],'DANH MỤC ĐỐI TƯỢNG'!A:E,5,0),"")</f>
        <v/>
      </c>
      <c r="G1970" t="str">
        <f>_xlfn.IFNA(VLOOKUP(Table1[[#This Row],[Tên đối tượng]],'DANH MỤC ĐỐI TƯỢNG'!A:F,6,0),"")</f>
        <v/>
      </c>
      <c r="H1970" t="str">
        <f>_xlfn.IFNA(VLOOKUP(Table1[[#This Row],[Tên đối tượng]],'DANH MỤC ĐỐI TƯỢNG'!A:I,9,0),"")</f>
        <v/>
      </c>
      <c r="I1970" t="str">
        <f>_xlfn.IFNA(VLOOKUP(Table1[[#This Row],[Tên đối tượng]],'DANH MỤC ĐỐI TƯỢNG'!A:J,10,0),"")</f>
        <v/>
      </c>
    </row>
    <row r="1971" spans="1:9" x14ac:dyDescent="0.3">
      <c r="A1971" t="str">
        <f t="shared" si="57"/>
        <v/>
      </c>
      <c r="F1971" t="str">
        <f>IFERROR(VLOOKUP(Table1[[#This Row],[Tên đối tượng]],'DANH MỤC ĐỐI TƯỢNG'!A:E,5,0),"")</f>
        <v/>
      </c>
      <c r="G1971" t="str">
        <f>_xlfn.IFNA(VLOOKUP(Table1[[#This Row],[Tên đối tượng]],'DANH MỤC ĐỐI TƯỢNG'!A:F,6,0),"")</f>
        <v/>
      </c>
      <c r="H1971" t="str">
        <f>_xlfn.IFNA(VLOOKUP(Table1[[#This Row],[Tên đối tượng]],'DANH MỤC ĐỐI TƯỢNG'!A:I,9,0),"")</f>
        <v/>
      </c>
      <c r="I1971" t="str">
        <f>_xlfn.IFNA(VLOOKUP(Table1[[#This Row],[Tên đối tượng]],'DANH MỤC ĐỐI TƯỢNG'!A:J,10,0),"")</f>
        <v/>
      </c>
    </row>
    <row r="1972" spans="1:9" x14ac:dyDescent="0.3">
      <c r="A1972" t="str">
        <f t="shared" si="57"/>
        <v/>
      </c>
      <c r="F1972" t="str">
        <f>IFERROR(VLOOKUP(Table1[[#This Row],[Tên đối tượng]],'DANH MỤC ĐỐI TƯỢNG'!A:E,5,0),"")</f>
        <v/>
      </c>
      <c r="G1972" t="str">
        <f>_xlfn.IFNA(VLOOKUP(Table1[[#This Row],[Tên đối tượng]],'DANH MỤC ĐỐI TƯỢNG'!A:F,6,0),"")</f>
        <v/>
      </c>
      <c r="H1972" t="str">
        <f>_xlfn.IFNA(VLOOKUP(Table1[[#This Row],[Tên đối tượng]],'DANH MỤC ĐỐI TƯỢNG'!A:I,9,0),"")</f>
        <v/>
      </c>
      <c r="I1972" t="str">
        <f>_xlfn.IFNA(VLOOKUP(Table1[[#This Row],[Tên đối tượng]],'DANH MỤC ĐỐI TƯỢNG'!A:J,10,0),"")</f>
        <v/>
      </c>
    </row>
    <row r="1973" spans="1:9" x14ac:dyDescent="0.3">
      <c r="A1973" t="str">
        <f t="shared" si="57"/>
        <v/>
      </c>
      <c r="F1973" t="str">
        <f>IFERROR(VLOOKUP(Table1[[#This Row],[Tên đối tượng]],'DANH MỤC ĐỐI TƯỢNG'!A:E,5,0),"")</f>
        <v/>
      </c>
      <c r="G1973" t="str">
        <f>_xlfn.IFNA(VLOOKUP(Table1[[#This Row],[Tên đối tượng]],'DANH MỤC ĐỐI TƯỢNG'!A:F,6,0),"")</f>
        <v/>
      </c>
      <c r="H1973" t="str">
        <f>_xlfn.IFNA(VLOOKUP(Table1[[#This Row],[Tên đối tượng]],'DANH MỤC ĐỐI TƯỢNG'!A:I,9,0),"")</f>
        <v/>
      </c>
      <c r="I1973" t="str">
        <f>_xlfn.IFNA(VLOOKUP(Table1[[#This Row],[Tên đối tượng]],'DANH MỤC ĐỐI TƯỢNG'!A:J,10,0),"")</f>
        <v/>
      </c>
    </row>
    <row r="1974" spans="1:9" x14ac:dyDescent="0.3">
      <c r="A1974" t="str">
        <f t="shared" si="57"/>
        <v/>
      </c>
      <c r="F1974" t="str">
        <f>IFERROR(VLOOKUP(Table1[[#This Row],[Tên đối tượng]],'DANH MỤC ĐỐI TƯỢNG'!A:E,5,0),"")</f>
        <v/>
      </c>
      <c r="G1974" t="str">
        <f>_xlfn.IFNA(VLOOKUP(Table1[[#This Row],[Tên đối tượng]],'DANH MỤC ĐỐI TƯỢNG'!A:F,6,0),"")</f>
        <v/>
      </c>
      <c r="H1974" t="str">
        <f>_xlfn.IFNA(VLOOKUP(Table1[[#This Row],[Tên đối tượng]],'DANH MỤC ĐỐI TƯỢNG'!A:I,9,0),"")</f>
        <v/>
      </c>
      <c r="I1974" t="str">
        <f>_xlfn.IFNA(VLOOKUP(Table1[[#This Row],[Tên đối tượng]],'DANH MỤC ĐỐI TƯỢNG'!A:J,10,0),"")</f>
        <v/>
      </c>
    </row>
    <row r="1975" spans="1:9" x14ac:dyDescent="0.3">
      <c r="A1975" t="str">
        <f t="shared" si="57"/>
        <v/>
      </c>
      <c r="F1975" t="str">
        <f>IFERROR(VLOOKUP(Table1[[#This Row],[Tên đối tượng]],'DANH MỤC ĐỐI TƯỢNG'!A:E,5,0),"")</f>
        <v/>
      </c>
      <c r="G1975" t="str">
        <f>_xlfn.IFNA(VLOOKUP(Table1[[#This Row],[Tên đối tượng]],'DANH MỤC ĐỐI TƯỢNG'!A:F,6,0),"")</f>
        <v/>
      </c>
      <c r="H1975" t="str">
        <f>_xlfn.IFNA(VLOOKUP(Table1[[#This Row],[Tên đối tượng]],'DANH MỤC ĐỐI TƯỢNG'!A:I,9,0),"")</f>
        <v/>
      </c>
      <c r="I1975" t="str">
        <f>_xlfn.IFNA(VLOOKUP(Table1[[#This Row],[Tên đối tượng]],'DANH MỤC ĐỐI TƯỢNG'!A:J,10,0),"")</f>
        <v/>
      </c>
    </row>
    <row r="1976" spans="1:9" x14ac:dyDescent="0.3">
      <c r="A1976" t="str">
        <f t="shared" si="57"/>
        <v/>
      </c>
      <c r="F1976" t="str">
        <f>IFERROR(VLOOKUP(Table1[[#This Row],[Tên đối tượng]],'DANH MỤC ĐỐI TƯỢNG'!A:E,5,0),"")</f>
        <v/>
      </c>
      <c r="G1976" t="str">
        <f>_xlfn.IFNA(VLOOKUP(Table1[[#This Row],[Tên đối tượng]],'DANH MỤC ĐỐI TƯỢNG'!A:F,6,0),"")</f>
        <v/>
      </c>
      <c r="H1976" t="str">
        <f>_xlfn.IFNA(VLOOKUP(Table1[[#This Row],[Tên đối tượng]],'DANH MỤC ĐỐI TƯỢNG'!A:I,9,0),"")</f>
        <v/>
      </c>
      <c r="I1976" t="str">
        <f>_xlfn.IFNA(VLOOKUP(Table1[[#This Row],[Tên đối tượng]],'DANH MỤC ĐỐI TƯỢNG'!A:J,10,0),"")</f>
        <v/>
      </c>
    </row>
    <row r="1977" spans="1:9" x14ac:dyDescent="0.3">
      <c r="A1977" t="str">
        <f t="shared" si="57"/>
        <v/>
      </c>
      <c r="F1977" t="str">
        <f>IFERROR(VLOOKUP(Table1[[#This Row],[Tên đối tượng]],'DANH MỤC ĐỐI TƯỢNG'!A:E,5,0),"")</f>
        <v/>
      </c>
      <c r="G1977" t="str">
        <f>_xlfn.IFNA(VLOOKUP(Table1[[#This Row],[Tên đối tượng]],'DANH MỤC ĐỐI TƯỢNG'!A:F,6,0),"")</f>
        <v/>
      </c>
      <c r="H1977" t="str">
        <f>_xlfn.IFNA(VLOOKUP(Table1[[#This Row],[Tên đối tượng]],'DANH MỤC ĐỐI TƯỢNG'!A:I,9,0),"")</f>
        <v/>
      </c>
      <c r="I1977" t="str">
        <f>_xlfn.IFNA(VLOOKUP(Table1[[#This Row],[Tên đối tượng]],'DANH MỤC ĐỐI TƯỢNG'!A:J,10,0),"")</f>
        <v/>
      </c>
    </row>
    <row r="1978" spans="1:9" x14ac:dyDescent="0.3">
      <c r="A1978" t="str">
        <f t="shared" si="57"/>
        <v/>
      </c>
      <c r="F1978" t="str">
        <f>IFERROR(VLOOKUP(Table1[[#This Row],[Tên đối tượng]],'DANH MỤC ĐỐI TƯỢNG'!A:E,5,0),"")</f>
        <v/>
      </c>
      <c r="G1978" t="str">
        <f>_xlfn.IFNA(VLOOKUP(Table1[[#This Row],[Tên đối tượng]],'DANH MỤC ĐỐI TƯỢNG'!A:F,6,0),"")</f>
        <v/>
      </c>
      <c r="H1978" t="str">
        <f>_xlfn.IFNA(VLOOKUP(Table1[[#This Row],[Tên đối tượng]],'DANH MỤC ĐỐI TƯỢNG'!A:I,9,0),"")</f>
        <v/>
      </c>
      <c r="I1978" t="str">
        <f>_xlfn.IFNA(VLOOKUP(Table1[[#This Row],[Tên đối tượng]],'DANH MỤC ĐỐI TƯỢNG'!A:J,10,0),"")</f>
        <v/>
      </c>
    </row>
    <row r="1979" spans="1:9" x14ac:dyDescent="0.3">
      <c r="A1979" t="str">
        <f t="shared" si="57"/>
        <v/>
      </c>
      <c r="F1979" t="str">
        <f>IFERROR(VLOOKUP(Table1[[#This Row],[Tên đối tượng]],'DANH MỤC ĐỐI TƯỢNG'!A:E,5,0),"")</f>
        <v/>
      </c>
      <c r="G1979" t="str">
        <f>_xlfn.IFNA(VLOOKUP(Table1[[#This Row],[Tên đối tượng]],'DANH MỤC ĐỐI TƯỢNG'!A:F,6,0),"")</f>
        <v/>
      </c>
      <c r="H1979" t="str">
        <f>_xlfn.IFNA(VLOOKUP(Table1[[#This Row],[Tên đối tượng]],'DANH MỤC ĐỐI TƯỢNG'!A:I,9,0),"")</f>
        <v/>
      </c>
      <c r="I1979" t="str">
        <f>_xlfn.IFNA(VLOOKUP(Table1[[#This Row],[Tên đối tượng]],'DANH MỤC ĐỐI TƯỢNG'!A:J,10,0),"")</f>
        <v/>
      </c>
    </row>
    <row r="1980" spans="1:9" x14ac:dyDescent="0.3">
      <c r="A1980" t="str">
        <f t="shared" si="57"/>
        <v/>
      </c>
      <c r="F1980" t="str">
        <f>IFERROR(VLOOKUP(Table1[[#This Row],[Tên đối tượng]],'DANH MỤC ĐỐI TƯỢNG'!A:E,5,0),"")</f>
        <v/>
      </c>
      <c r="G1980" t="str">
        <f>_xlfn.IFNA(VLOOKUP(Table1[[#This Row],[Tên đối tượng]],'DANH MỤC ĐỐI TƯỢNG'!A:F,6,0),"")</f>
        <v/>
      </c>
      <c r="H1980" t="str">
        <f>_xlfn.IFNA(VLOOKUP(Table1[[#This Row],[Tên đối tượng]],'DANH MỤC ĐỐI TƯỢNG'!A:I,9,0),"")</f>
        <v/>
      </c>
      <c r="I1980" t="str">
        <f>_xlfn.IFNA(VLOOKUP(Table1[[#This Row],[Tên đối tượng]],'DANH MỤC ĐỐI TƯỢNG'!A:J,10,0),"")</f>
        <v/>
      </c>
    </row>
    <row r="1981" spans="1:9" x14ac:dyDescent="0.3">
      <c r="A1981" t="str">
        <f t="shared" si="57"/>
        <v/>
      </c>
      <c r="F1981" t="str">
        <f>IFERROR(VLOOKUP(Table1[[#This Row],[Tên đối tượng]],'DANH MỤC ĐỐI TƯỢNG'!A:E,5,0),"")</f>
        <v/>
      </c>
      <c r="G1981" t="str">
        <f>_xlfn.IFNA(VLOOKUP(Table1[[#This Row],[Tên đối tượng]],'DANH MỤC ĐỐI TƯỢNG'!A:F,6,0),"")</f>
        <v/>
      </c>
      <c r="H1981" t="str">
        <f>_xlfn.IFNA(VLOOKUP(Table1[[#This Row],[Tên đối tượng]],'DANH MỤC ĐỐI TƯỢNG'!A:I,9,0),"")</f>
        <v/>
      </c>
      <c r="I1981" t="str">
        <f>_xlfn.IFNA(VLOOKUP(Table1[[#This Row],[Tên đối tượng]],'DANH MỤC ĐỐI TƯỢNG'!A:J,10,0),"")</f>
        <v/>
      </c>
    </row>
    <row r="1982" spans="1:9" x14ac:dyDescent="0.3">
      <c r="A1982" t="str">
        <f t="shared" si="57"/>
        <v/>
      </c>
      <c r="F1982" t="str">
        <f>IFERROR(VLOOKUP(Table1[[#This Row],[Tên đối tượng]],'DANH MỤC ĐỐI TƯỢNG'!A:E,5,0),"")</f>
        <v/>
      </c>
      <c r="G1982" t="str">
        <f>_xlfn.IFNA(VLOOKUP(Table1[[#This Row],[Tên đối tượng]],'DANH MỤC ĐỐI TƯỢNG'!A:F,6,0),"")</f>
        <v/>
      </c>
      <c r="H1982" t="str">
        <f>_xlfn.IFNA(VLOOKUP(Table1[[#This Row],[Tên đối tượng]],'DANH MỤC ĐỐI TƯỢNG'!A:I,9,0),"")</f>
        <v/>
      </c>
      <c r="I1982" t="str">
        <f>_xlfn.IFNA(VLOOKUP(Table1[[#This Row],[Tên đối tượng]],'DANH MỤC ĐỐI TƯỢNG'!A:J,10,0),"")</f>
        <v/>
      </c>
    </row>
    <row r="1983" spans="1:9" x14ac:dyDescent="0.3">
      <c r="A1983" t="str">
        <f t="shared" si="57"/>
        <v/>
      </c>
      <c r="F1983" t="str">
        <f>IFERROR(VLOOKUP(Table1[[#This Row],[Tên đối tượng]],'DANH MỤC ĐỐI TƯỢNG'!A:E,5,0),"")</f>
        <v/>
      </c>
      <c r="G1983" t="str">
        <f>_xlfn.IFNA(VLOOKUP(Table1[[#This Row],[Tên đối tượng]],'DANH MỤC ĐỐI TƯỢNG'!A:F,6,0),"")</f>
        <v/>
      </c>
      <c r="H1983" t="str">
        <f>_xlfn.IFNA(VLOOKUP(Table1[[#This Row],[Tên đối tượng]],'DANH MỤC ĐỐI TƯỢNG'!A:I,9,0),"")</f>
        <v/>
      </c>
      <c r="I1983" t="str">
        <f>_xlfn.IFNA(VLOOKUP(Table1[[#This Row],[Tên đối tượng]],'DANH MỤC ĐỐI TƯỢNG'!A:J,10,0),"")</f>
        <v/>
      </c>
    </row>
    <row r="1984" spans="1:9" x14ac:dyDescent="0.3">
      <c r="A1984" t="str">
        <f t="shared" ref="A1984:A2000" si="58">IF(B1984&lt;&gt;0,ROW()-3,"")</f>
        <v/>
      </c>
      <c r="F1984" t="str">
        <f>IFERROR(VLOOKUP(Table1[[#This Row],[Tên đối tượng]],'DANH MỤC ĐỐI TƯỢNG'!A:E,5,0),"")</f>
        <v/>
      </c>
      <c r="G1984" t="str">
        <f>_xlfn.IFNA(VLOOKUP(Table1[[#This Row],[Tên đối tượng]],'DANH MỤC ĐỐI TƯỢNG'!A:F,6,0),"")</f>
        <v/>
      </c>
      <c r="H1984" t="str">
        <f>_xlfn.IFNA(VLOOKUP(Table1[[#This Row],[Tên đối tượng]],'DANH MỤC ĐỐI TƯỢNG'!A:I,9,0),"")</f>
        <v/>
      </c>
      <c r="I1984" t="str">
        <f>_xlfn.IFNA(VLOOKUP(Table1[[#This Row],[Tên đối tượng]],'DANH MỤC ĐỐI TƯỢNG'!A:J,10,0),"")</f>
        <v/>
      </c>
    </row>
    <row r="1985" spans="1:9" x14ac:dyDescent="0.3">
      <c r="A1985" t="str">
        <f t="shared" si="58"/>
        <v/>
      </c>
      <c r="F1985" t="str">
        <f>IFERROR(VLOOKUP(Table1[[#This Row],[Tên đối tượng]],'DANH MỤC ĐỐI TƯỢNG'!A:E,5,0),"")</f>
        <v/>
      </c>
      <c r="G1985" t="str">
        <f>_xlfn.IFNA(VLOOKUP(Table1[[#This Row],[Tên đối tượng]],'DANH MỤC ĐỐI TƯỢNG'!A:F,6,0),"")</f>
        <v/>
      </c>
      <c r="H1985" t="str">
        <f>_xlfn.IFNA(VLOOKUP(Table1[[#This Row],[Tên đối tượng]],'DANH MỤC ĐỐI TƯỢNG'!A:I,9,0),"")</f>
        <v/>
      </c>
      <c r="I1985" t="str">
        <f>_xlfn.IFNA(VLOOKUP(Table1[[#This Row],[Tên đối tượng]],'DANH MỤC ĐỐI TƯỢNG'!A:J,10,0),"")</f>
        <v/>
      </c>
    </row>
    <row r="1986" spans="1:9" x14ac:dyDescent="0.3">
      <c r="A1986" t="str">
        <f t="shared" si="58"/>
        <v/>
      </c>
      <c r="F1986" t="str">
        <f>IFERROR(VLOOKUP(Table1[[#This Row],[Tên đối tượng]],'DANH MỤC ĐỐI TƯỢNG'!A:E,5,0),"")</f>
        <v/>
      </c>
      <c r="G1986" t="str">
        <f>_xlfn.IFNA(VLOOKUP(Table1[[#This Row],[Tên đối tượng]],'DANH MỤC ĐỐI TƯỢNG'!A:F,6,0),"")</f>
        <v/>
      </c>
      <c r="H1986" t="str">
        <f>_xlfn.IFNA(VLOOKUP(Table1[[#This Row],[Tên đối tượng]],'DANH MỤC ĐỐI TƯỢNG'!A:I,9,0),"")</f>
        <v/>
      </c>
      <c r="I1986" t="str">
        <f>_xlfn.IFNA(VLOOKUP(Table1[[#This Row],[Tên đối tượng]],'DANH MỤC ĐỐI TƯỢNG'!A:J,10,0),"")</f>
        <v/>
      </c>
    </row>
    <row r="1987" spans="1:9" x14ac:dyDescent="0.3">
      <c r="A1987" t="str">
        <f t="shared" si="58"/>
        <v/>
      </c>
      <c r="F1987" t="str">
        <f>IFERROR(VLOOKUP(Table1[[#This Row],[Tên đối tượng]],'DANH MỤC ĐỐI TƯỢNG'!A:E,5,0),"")</f>
        <v/>
      </c>
      <c r="G1987" t="str">
        <f>_xlfn.IFNA(VLOOKUP(Table1[[#This Row],[Tên đối tượng]],'DANH MỤC ĐỐI TƯỢNG'!A:F,6,0),"")</f>
        <v/>
      </c>
      <c r="H1987" t="str">
        <f>_xlfn.IFNA(VLOOKUP(Table1[[#This Row],[Tên đối tượng]],'DANH MỤC ĐỐI TƯỢNG'!A:I,9,0),"")</f>
        <v/>
      </c>
      <c r="I1987" t="str">
        <f>_xlfn.IFNA(VLOOKUP(Table1[[#This Row],[Tên đối tượng]],'DANH MỤC ĐỐI TƯỢNG'!A:J,10,0),"")</f>
        <v/>
      </c>
    </row>
    <row r="1988" spans="1:9" x14ac:dyDescent="0.3">
      <c r="A1988" t="str">
        <f t="shared" si="58"/>
        <v/>
      </c>
      <c r="F1988" t="str">
        <f>IFERROR(VLOOKUP(Table1[[#This Row],[Tên đối tượng]],'DANH MỤC ĐỐI TƯỢNG'!A:E,5,0),"")</f>
        <v/>
      </c>
      <c r="G1988" t="str">
        <f>_xlfn.IFNA(VLOOKUP(Table1[[#This Row],[Tên đối tượng]],'DANH MỤC ĐỐI TƯỢNG'!A:F,6,0),"")</f>
        <v/>
      </c>
      <c r="H1988" t="str">
        <f>_xlfn.IFNA(VLOOKUP(Table1[[#This Row],[Tên đối tượng]],'DANH MỤC ĐỐI TƯỢNG'!A:I,9,0),"")</f>
        <v/>
      </c>
      <c r="I1988" t="str">
        <f>_xlfn.IFNA(VLOOKUP(Table1[[#This Row],[Tên đối tượng]],'DANH MỤC ĐỐI TƯỢNG'!A:J,10,0),"")</f>
        <v/>
      </c>
    </row>
    <row r="1989" spans="1:9" x14ac:dyDescent="0.3">
      <c r="A1989" t="str">
        <f t="shared" si="58"/>
        <v/>
      </c>
      <c r="F1989" t="str">
        <f>IFERROR(VLOOKUP(Table1[[#This Row],[Tên đối tượng]],'DANH MỤC ĐỐI TƯỢNG'!A:E,5,0),"")</f>
        <v/>
      </c>
      <c r="G1989" t="str">
        <f>_xlfn.IFNA(VLOOKUP(Table1[[#This Row],[Tên đối tượng]],'DANH MỤC ĐỐI TƯỢNG'!A:F,6,0),"")</f>
        <v/>
      </c>
      <c r="H1989" t="str">
        <f>_xlfn.IFNA(VLOOKUP(Table1[[#This Row],[Tên đối tượng]],'DANH MỤC ĐỐI TƯỢNG'!A:I,9,0),"")</f>
        <v/>
      </c>
      <c r="I1989" t="str">
        <f>_xlfn.IFNA(VLOOKUP(Table1[[#This Row],[Tên đối tượng]],'DANH MỤC ĐỐI TƯỢNG'!A:J,10,0),"")</f>
        <v/>
      </c>
    </row>
    <row r="1990" spans="1:9" x14ac:dyDescent="0.3">
      <c r="A1990" t="str">
        <f t="shared" si="58"/>
        <v/>
      </c>
      <c r="F1990" t="str">
        <f>IFERROR(VLOOKUP(Table1[[#This Row],[Tên đối tượng]],'DANH MỤC ĐỐI TƯỢNG'!A:E,5,0),"")</f>
        <v/>
      </c>
      <c r="G1990" t="str">
        <f>_xlfn.IFNA(VLOOKUP(Table1[[#This Row],[Tên đối tượng]],'DANH MỤC ĐỐI TƯỢNG'!A:F,6,0),"")</f>
        <v/>
      </c>
      <c r="H1990" t="str">
        <f>_xlfn.IFNA(VLOOKUP(Table1[[#This Row],[Tên đối tượng]],'DANH MỤC ĐỐI TƯỢNG'!A:I,9,0),"")</f>
        <v/>
      </c>
      <c r="I1990" t="str">
        <f>_xlfn.IFNA(VLOOKUP(Table1[[#This Row],[Tên đối tượng]],'DANH MỤC ĐỐI TƯỢNG'!A:J,10,0),"")</f>
        <v/>
      </c>
    </row>
    <row r="1991" spans="1:9" x14ac:dyDescent="0.3">
      <c r="A1991" t="str">
        <f t="shared" si="58"/>
        <v/>
      </c>
      <c r="F1991" t="str">
        <f>IFERROR(VLOOKUP(Table1[[#This Row],[Tên đối tượng]],'DANH MỤC ĐỐI TƯỢNG'!A:E,5,0),"")</f>
        <v/>
      </c>
      <c r="G1991" t="str">
        <f>_xlfn.IFNA(VLOOKUP(Table1[[#This Row],[Tên đối tượng]],'DANH MỤC ĐỐI TƯỢNG'!A:F,6,0),"")</f>
        <v/>
      </c>
      <c r="H1991" t="str">
        <f>_xlfn.IFNA(VLOOKUP(Table1[[#This Row],[Tên đối tượng]],'DANH MỤC ĐỐI TƯỢNG'!A:I,9,0),"")</f>
        <v/>
      </c>
      <c r="I1991" t="str">
        <f>_xlfn.IFNA(VLOOKUP(Table1[[#This Row],[Tên đối tượng]],'DANH MỤC ĐỐI TƯỢNG'!A:J,10,0),"")</f>
        <v/>
      </c>
    </row>
    <row r="1992" spans="1:9" x14ac:dyDescent="0.3">
      <c r="A1992" t="str">
        <f t="shared" si="58"/>
        <v/>
      </c>
      <c r="F1992" t="str">
        <f>IFERROR(VLOOKUP(Table1[[#This Row],[Tên đối tượng]],'DANH MỤC ĐỐI TƯỢNG'!A:E,5,0),"")</f>
        <v/>
      </c>
      <c r="G1992" t="str">
        <f>_xlfn.IFNA(VLOOKUP(Table1[[#This Row],[Tên đối tượng]],'DANH MỤC ĐỐI TƯỢNG'!A:F,6,0),"")</f>
        <v/>
      </c>
      <c r="H1992" t="str">
        <f>_xlfn.IFNA(VLOOKUP(Table1[[#This Row],[Tên đối tượng]],'DANH MỤC ĐỐI TƯỢNG'!A:I,9,0),"")</f>
        <v/>
      </c>
      <c r="I1992" t="str">
        <f>_xlfn.IFNA(VLOOKUP(Table1[[#This Row],[Tên đối tượng]],'DANH MỤC ĐỐI TƯỢNG'!A:J,10,0),"")</f>
        <v/>
      </c>
    </row>
    <row r="1993" spans="1:9" x14ac:dyDescent="0.3">
      <c r="A1993" t="str">
        <f t="shared" si="58"/>
        <v/>
      </c>
      <c r="F1993" t="str">
        <f>IFERROR(VLOOKUP(Table1[[#This Row],[Tên đối tượng]],'DANH MỤC ĐỐI TƯỢNG'!A:E,5,0),"")</f>
        <v/>
      </c>
      <c r="G1993" t="str">
        <f>_xlfn.IFNA(VLOOKUP(Table1[[#This Row],[Tên đối tượng]],'DANH MỤC ĐỐI TƯỢNG'!A:F,6,0),"")</f>
        <v/>
      </c>
      <c r="H1993" t="str">
        <f>_xlfn.IFNA(VLOOKUP(Table1[[#This Row],[Tên đối tượng]],'DANH MỤC ĐỐI TƯỢNG'!A:I,9,0),"")</f>
        <v/>
      </c>
      <c r="I1993" t="str">
        <f>_xlfn.IFNA(VLOOKUP(Table1[[#This Row],[Tên đối tượng]],'DANH MỤC ĐỐI TƯỢNG'!A:J,10,0),"")</f>
        <v/>
      </c>
    </row>
    <row r="1994" spans="1:9" x14ac:dyDescent="0.3">
      <c r="A1994" t="str">
        <f t="shared" si="58"/>
        <v/>
      </c>
      <c r="F1994" t="str">
        <f>IFERROR(VLOOKUP(Table1[[#This Row],[Tên đối tượng]],'DANH MỤC ĐỐI TƯỢNG'!A:E,5,0),"")</f>
        <v/>
      </c>
      <c r="G1994" t="str">
        <f>_xlfn.IFNA(VLOOKUP(Table1[[#This Row],[Tên đối tượng]],'DANH MỤC ĐỐI TƯỢNG'!A:F,6,0),"")</f>
        <v/>
      </c>
      <c r="H1994" t="str">
        <f>_xlfn.IFNA(VLOOKUP(Table1[[#This Row],[Tên đối tượng]],'DANH MỤC ĐỐI TƯỢNG'!A:I,9,0),"")</f>
        <v/>
      </c>
      <c r="I1994" t="str">
        <f>_xlfn.IFNA(VLOOKUP(Table1[[#This Row],[Tên đối tượng]],'DANH MỤC ĐỐI TƯỢNG'!A:J,10,0),"")</f>
        <v/>
      </c>
    </row>
    <row r="1995" spans="1:9" x14ac:dyDescent="0.3">
      <c r="A1995" t="str">
        <f t="shared" si="58"/>
        <v/>
      </c>
      <c r="F1995" t="str">
        <f>IFERROR(VLOOKUP(Table1[[#This Row],[Tên đối tượng]],'DANH MỤC ĐỐI TƯỢNG'!A:E,5,0),"")</f>
        <v/>
      </c>
      <c r="G1995" t="str">
        <f>_xlfn.IFNA(VLOOKUP(Table1[[#This Row],[Tên đối tượng]],'DANH MỤC ĐỐI TƯỢNG'!A:F,6,0),"")</f>
        <v/>
      </c>
      <c r="H1995" t="str">
        <f>_xlfn.IFNA(VLOOKUP(Table1[[#This Row],[Tên đối tượng]],'DANH MỤC ĐỐI TƯỢNG'!A:I,9,0),"")</f>
        <v/>
      </c>
      <c r="I1995" t="str">
        <f>_xlfn.IFNA(VLOOKUP(Table1[[#This Row],[Tên đối tượng]],'DANH MỤC ĐỐI TƯỢNG'!A:J,10,0),"")</f>
        <v/>
      </c>
    </row>
    <row r="1996" spans="1:9" x14ac:dyDescent="0.3">
      <c r="A1996" t="str">
        <f t="shared" si="58"/>
        <v/>
      </c>
      <c r="F1996" t="str">
        <f>IFERROR(VLOOKUP(Table1[[#This Row],[Tên đối tượng]],'DANH MỤC ĐỐI TƯỢNG'!A:E,5,0),"")</f>
        <v/>
      </c>
      <c r="G1996" t="str">
        <f>_xlfn.IFNA(VLOOKUP(Table1[[#This Row],[Tên đối tượng]],'DANH MỤC ĐỐI TƯỢNG'!A:F,6,0),"")</f>
        <v/>
      </c>
      <c r="H1996" t="str">
        <f>_xlfn.IFNA(VLOOKUP(Table1[[#This Row],[Tên đối tượng]],'DANH MỤC ĐỐI TƯỢNG'!A:I,9,0),"")</f>
        <v/>
      </c>
      <c r="I1996" t="str">
        <f>_xlfn.IFNA(VLOOKUP(Table1[[#This Row],[Tên đối tượng]],'DANH MỤC ĐỐI TƯỢNG'!A:J,10,0),"")</f>
        <v/>
      </c>
    </row>
    <row r="1997" spans="1:9" x14ac:dyDescent="0.3">
      <c r="A1997" t="str">
        <f t="shared" si="58"/>
        <v/>
      </c>
      <c r="F1997" t="str">
        <f>IFERROR(VLOOKUP(Table1[[#This Row],[Tên đối tượng]],'DANH MỤC ĐỐI TƯỢNG'!A:E,5,0),"")</f>
        <v/>
      </c>
      <c r="G1997" t="str">
        <f>_xlfn.IFNA(VLOOKUP(Table1[[#This Row],[Tên đối tượng]],'DANH MỤC ĐỐI TƯỢNG'!A:F,6,0),"")</f>
        <v/>
      </c>
      <c r="H1997" t="str">
        <f>_xlfn.IFNA(VLOOKUP(Table1[[#This Row],[Tên đối tượng]],'DANH MỤC ĐỐI TƯỢNG'!A:I,9,0),"")</f>
        <v/>
      </c>
      <c r="I1997" t="str">
        <f>_xlfn.IFNA(VLOOKUP(Table1[[#This Row],[Tên đối tượng]],'DANH MỤC ĐỐI TƯỢNG'!A:J,10,0),"")</f>
        <v/>
      </c>
    </row>
    <row r="1998" spans="1:9" x14ac:dyDescent="0.3">
      <c r="A1998" t="str">
        <f t="shared" si="58"/>
        <v/>
      </c>
      <c r="F1998" t="str">
        <f>IFERROR(VLOOKUP(Table1[[#This Row],[Tên đối tượng]],'DANH MỤC ĐỐI TƯỢNG'!A:E,5,0),"")</f>
        <v/>
      </c>
      <c r="G1998" t="str">
        <f>_xlfn.IFNA(VLOOKUP(Table1[[#This Row],[Tên đối tượng]],'DANH MỤC ĐỐI TƯỢNG'!A:F,6,0),"")</f>
        <v/>
      </c>
      <c r="H1998" t="str">
        <f>_xlfn.IFNA(VLOOKUP(Table1[[#This Row],[Tên đối tượng]],'DANH MỤC ĐỐI TƯỢNG'!A:I,9,0),"")</f>
        <v/>
      </c>
      <c r="I1998" t="str">
        <f>_xlfn.IFNA(VLOOKUP(Table1[[#This Row],[Tên đối tượng]],'DANH MỤC ĐỐI TƯỢNG'!A:J,10,0),"")</f>
        <v/>
      </c>
    </row>
    <row r="1999" spans="1:9" x14ac:dyDescent="0.3">
      <c r="A1999" t="str">
        <f t="shared" si="58"/>
        <v/>
      </c>
      <c r="F1999" t="str">
        <f>IFERROR(VLOOKUP(Table1[[#This Row],[Tên đối tượng]],'DANH MỤC ĐỐI TƯỢNG'!A:E,5,0),"")</f>
        <v/>
      </c>
      <c r="G1999" t="str">
        <f>_xlfn.IFNA(VLOOKUP(Table1[[#This Row],[Tên đối tượng]],'DANH MỤC ĐỐI TƯỢNG'!A:F,6,0),"")</f>
        <v/>
      </c>
      <c r="H1999" t="str">
        <f>_xlfn.IFNA(VLOOKUP(Table1[[#This Row],[Tên đối tượng]],'DANH MỤC ĐỐI TƯỢNG'!A:I,9,0),"")</f>
        <v/>
      </c>
      <c r="I1999" t="str">
        <f>_xlfn.IFNA(VLOOKUP(Table1[[#This Row],[Tên đối tượng]],'DANH MỤC ĐỐI TƯỢNG'!A:J,10,0),"")</f>
        <v/>
      </c>
    </row>
    <row r="2000" spans="1:9" x14ac:dyDescent="0.3">
      <c r="A2000" t="str">
        <f t="shared" si="58"/>
        <v/>
      </c>
      <c r="F2000" t="str">
        <f>IFERROR(VLOOKUP(Table1[[#This Row],[Tên đối tượng]],'DANH MỤC ĐỐI TƯỢNG'!A:E,5,0),"")</f>
        <v/>
      </c>
      <c r="G2000" t="str">
        <f>_xlfn.IFNA(VLOOKUP(Table1[[#This Row],[Tên đối tượng]],'DANH MỤC ĐỐI TƯỢNG'!A:F,6,0),"")</f>
        <v/>
      </c>
      <c r="H2000" t="str">
        <f>_xlfn.IFNA(VLOOKUP(Table1[[#This Row],[Tên đối tượng]],'DANH MỤC ĐỐI TƯỢNG'!A:I,9,0),"")</f>
        <v/>
      </c>
      <c r="I2000" t="str">
        <f>_xlfn.IFNA(VLOOKUP(Table1[[#This Row],[Tên đối tượng]],'DANH MỤC ĐỐI TƯỢNG'!A:J,10,0),"")</f>
        <v/>
      </c>
    </row>
  </sheetData>
  <conditionalFormatting sqref="B4">
    <cfRule type="duplicateValues" dxfId="8" priority="40"/>
  </conditionalFormatting>
  <conditionalFormatting sqref="C4">
    <cfRule type="duplicateValues" dxfId="7" priority="41"/>
  </conditionalFormatting>
  <conditionalFormatting sqref="E1:E1048576">
    <cfRule type="duplicateValues" dxfId="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FA9C6-272C-4DD0-A5E0-2386D3FA525F}">
  <sheetPr codeName="Sheet3">
    <outlinePr summaryBelow="0"/>
  </sheetPr>
  <dimension ref="A1:O247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O2471"/>
    </sheetView>
  </sheetViews>
  <sheetFormatPr defaultColWidth="9.109375" defaultRowHeight="13.2" x14ac:dyDescent="0.25"/>
  <cols>
    <col min="1" max="1" width="35.6640625" style="2" customWidth="1"/>
    <col min="2" max="2" width="16.5546875" style="2" customWidth="1"/>
    <col min="3" max="3" width="11.44140625" style="2" customWidth="1"/>
    <col min="4" max="4" width="14.33203125" style="2" customWidth="1"/>
    <col min="5" max="5" width="35.6640625" style="2" customWidth="1"/>
    <col min="6" max="12" width="17.109375" style="2" customWidth="1"/>
    <col min="13" max="13" width="9.44140625" style="2" customWidth="1"/>
    <col min="14" max="15" width="17.109375" style="2" customWidth="1"/>
    <col min="16" max="16384" width="9.109375" style="2"/>
  </cols>
  <sheetData>
    <row r="1" spans="1:15" ht="13.5" customHeight="1" x14ac:dyDescent="0.25">
      <c r="A1" s="4"/>
    </row>
    <row r="2" spans="1:15" ht="13.5" customHeight="1" x14ac:dyDescent="0.25">
      <c r="A2" s="4"/>
    </row>
    <row r="3" spans="1:15" ht="18" customHeight="1" x14ac:dyDescent="0.25">
      <c r="A3" s="3"/>
    </row>
    <row r="4" spans="1:15" ht="18" customHeight="1" x14ac:dyDescent="0.25">
      <c r="A4" s="10" t="s">
        <v>2</v>
      </c>
      <c r="B4" s="10" t="s">
        <v>8765</v>
      </c>
      <c r="C4" s="10" t="s">
        <v>1</v>
      </c>
      <c r="D4" s="10" t="s">
        <v>8764</v>
      </c>
      <c r="E4" s="10" t="s">
        <v>8763</v>
      </c>
      <c r="F4" s="10" t="s">
        <v>8762</v>
      </c>
      <c r="G4" s="10" t="s">
        <v>8761</v>
      </c>
      <c r="H4" s="10" t="s">
        <v>8760</v>
      </c>
      <c r="I4" s="10" t="s">
        <v>8759</v>
      </c>
      <c r="J4" s="10" t="s">
        <v>8758</v>
      </c>
      <c r="K4" s="10" t="s">
        <v>8757</v>
      </c>
      <c r="L4" s="10" t="s">
        <v>8756</v>
      </c>
      <c r="M4" s="10" t="s">
        <v>8755</v>
      </c>
      <c r="N4" s="10" t="s">
        <v>8754</v>
      </c>
      <c r="O4" s="10" t="s">
        <v>8753</v>
      </c>
    </row>
    <row r="5" spans="1:15" ht="19.5" customHeight="1" x14ac:dyDescent="0.25">
      <c r="A5" s="11" t="s">
        <v>5</v>
      </c>
      <c r="B5" s="11"/>
      <c r="C5" s="11" t="s">
        <v>8752</v>
      </c>
      <c r="D5" s="11" t="s">
        <v>1883</v>
      </c>
      <c r="E5" s="11" t="s">
        <v>8751</v>
      </c>
      <c r="F5" s="11"/>
      <c r="G5" s="11" t="s">
        <v>8746</v>
      </c>
      <c r="H5" s="11" t="s">
        <v>3855</v>
      </c>
      <c r="I5" s="11" t="s">
        <v>8750</v>
      </c>
      <c r="J5" s="11" t="s">
        <v>8749</v>
      </c>
      <c r="K5" s="11" t="s">
        <v>1878</v>
      </c>
      <c r="L5" s="11"/>
      <c r="M5" s="12"/>
      <c r="N5" s="11"/>
      <c r="O5" s="11" t="s">
        <v>1877</v>
      </c>
    </row>
    <row r="6" spans="1:15" ht="19.5" customHeight="1" x14ac:dyDescent="0.25">
      <c r="A6" s="13" t="s">
        <v>5</v>
      </c>
      <c r="B6" s="13"/>
      <c r="C6" s="13" t="s">
        <v>8748</v>
      </c>
      <c r="D6" s="13" t="s">
        <v>1883</v>
      </c>
      <c r="E6" s="13" t="s">
        <v>8747</v>
      </c>
      <c r="F6" s="13"/>
      <c r="G6" s="13" t="s">
        <v>8746</v>
      </c>
      <c r="H6" s="13"/>
      <c r="I6" s="13" t="s">
        <v>8745</v>
      </c>
      <c r="J6" s="13" t="s">
        <v>8744</v>
      </c>
      <c r="K6" s="13" t="s">
        <v>1878</v>
      </c>
      <c r="L6" s="13"/>
      <c r="M6" s="14"/>
      <c r="N6" s="13"/>
      <c r="O6" s="13" t="s">
        <v>1877</v>
      </c>
    </row>
    <row r="7" spans="1:15" ht="19.5" customHeight="1" x14ac:dyDescent="0.25">
      <c r="A7" s="11" t="s">
        <v>8742</v>
      </c>
      <c r="B7" s="11"/>
      <c r="C7" s="11" t="s">
        <v>8743</v>
      </c>
      <c r="D7" s="11" t="s">
        <v>1883</v>
      </c>
      <c r="E7" s="11"/>
      <c r="F7" s="11"/>
      <c r="G7" s="11" t="s">
        <v>8742</v>
      </c>
      <c r="H7" s="11"/>
      <c r="I7" s="11"/>
      <c r="J7" s="11"/>
      <c r="K7" s="11"/>
      <c r="L7" s="11"/>
      <c r="M7" s="12"/>
      <c r="N7" s="11"/>
      <c r="O7" s="11"/>
    </row>
    <row r="8" spans="1:15" ht="19.5" customHeight="1" x14ac:dyDescent="0.25">
      <c r="A8" s="13" t="s">
        <v>1948</v>
      </c>
      <c r="B8" s="13"/>
      <c r="C8" s="13" t="s">
        <v>8741</v>
      </c>
      <c r="D8" s="13" t="s">
        <v>1883</v>
      </c>
      <c r="E8" s="13"/>
      <c r="F8" s="13"/>
      <c r="G8" s="13" t="s">
        <v>1948</v>
      </c>
      <c r="H8" s="13"/>
      <c r="I8" s="13"/>
      <c r="J8" s="13"/>
      <c r="K8" s="13"/>
      <c r="L8" s="13"/>
      <c r="M8" s="14"/>
      <c r="N8" s="13"/>
      <c r="O8" s="13"/>
    </row>
    <row r="9" spans="1:15" ht="19.5" customHeight="1" x14ac:dyDescent="0.25">
      <c r="A9" s="11" t="s">
        <v>1948</v>
      </c>
      <c r="B9" s="11"/>
      <c r="C9" s="11" t="s">
        <v>8740</v>
      </c>
      <c r="D9" s="11" t="s">
        <v>1883</v>
      </c>
      <c r="E9" s="11"/>
      <c r="F9" s="11"/>
      <c r="G9" s="11" t="s">
        <v>1948</v>
      </c>
      <c r="H9" s="11"/>
      <c r="I9" s="11"/>
      <c r="J9" s="11"/>
      <c r="K9" s="11"/>
      <c r="L9" s="11"/>
      <c r="M9" s="12"/>
      <c r="N9" s="11"/>
      <c r="O9" s="11"/>
    </row>
    <row r="10" spans="1:15" ht="19.5" customHeight="1" x14ac:dyDescent="0.25">
      <c r="A10" s="13" t="s">
        <v>1948</v>
      </c>
      <c r="B10" s="13"/>
      <c r="C10" s="13" t="s">
        <v>8739</v>
      </c>
      <c r="D10" s="13" t="s">
        <v>1883</v>
      </c>
      <c r="E10" s="13"/>
      <c r="F10" s="13"/>
      <c r="G10" s="13" t="s">
        <v>1948</v>
      </c>
      <c r="H10" s="13"/>
      <c r="I10" s="13"/>
      <c r="J10" s="13"/>
      <c r="K10" s="13"/>
      <c r="L10" s="13"/>
      <c r="M10" s="14"/>
      <c r="N10" s="13"/>
      <c r="O10" s="13"/>
    </row>
    <row r="11" spans="1:15" ht="19.5" customHeight="1" x14ac:dyDescent="0.25">
      <c r="A11" s="11" t="s">
        <v>1948</v>
      </c>
      <c r="B11" s="11"/>
      <c r="C11" s="11" t="s">
        <v>8738</v>
      </c>
      <c r="D11" s="11" t="s">
        <v>1883</v>
      </c>
      <c r="E11" s="11"/>
      <c r="F11" s="11"/>
      <c r="G11" s="11" t="s">
        <v>1948</v>
      </c>
      <c r="H11" s="11"/>
      <c r="I11" s="11"/>
      <c r="J11" s="11"/>
      <c r="K11" s="11"/>
      <c r="L11" s="11"/>
      <c r="M11" s="12"/>
      <c r="N11" s="11"/>
      <c r="O11" s="11"/>
    </row>
    <row r="12" spans="1:15" ht="19.5" customHeight="1" x14ac:dyDescent="0.25">
      <c r="A12" s="13" t="s">
        <v>1948</v>
      </c>
      <c r="B12" s="13"/>
      <c r="C12" s="13" t="s">
        <v>8737</v>
      </c>
      <c r="D12" s="13" t="s">
        <v>1883</v>
      </c>
      <c r="E12" s="13"/>
      <c r="F12" s="13"/>
      <c r="G12" s="13" t="s">
        <v>1948</v>
      </c>
      <c r="H12" s="13"/>
      <c r="I12" s="13"/>
      <c r="J12" s="13"/>
      <c r="K12" s="13"/>
      <c r="L12" s="13"/>
      <c r="M12" s="14"/>
      <c r="N12" s="13"/>
      <c r="O12" s="13"/>
    </row>
    <row r="13" spans="1:15" ht="19.5" customHeight="1" x14ac:dyDescent="0.25">
      <c r="A13" s="11" t="s">
        <v>1948</v>
      </c>
      <c r="B13" s="11"/>
      <c r="C13" s="11" t="s">
        <v>8736</v>
      </c>
      <c r="D13" s="11" t="s">
        <v>1883</v>
      </c>
      <c r="E13" s="11"/>
      <c r="F13" s="11"/>
      <c r="G13" s="11" t="s">
        <v>1948</v>
      </c>
      <c r="H13" s="11"/>
      <c r="I13" s="11"/>
      <c r="J13" s="11"/>
      <c r="K13" s="11"/>
      <c r="L13" s="11"/>
      <c r="M13" s="12"/>
      <c r="N13" s="11"/>
      <c r="O13" s="11"/>
    </row>
    <row r="14" spans="1:15" ht="19.5" customHeight="1" x14ac:dyDescent="0.25">
      <c r="A14" s="13" t="s">
        <v>1948</v>
      </c>
      <c r="B14" s="13"/>
      <c r="C14" s="13" t="s">
        <v>8735</v>
      </c>
      <c r="D14" s="13" t="s">
        <v>1883</v>
      </c>
      <c r="E14" s="13"/>
      <c r="F14" s="13"/>
      <c r="G14" s="13" t="s">
        <v>1948</v>
      </c>
      <c r="H14" s="13"/>
      <c r="I14" s="13"/>
      <c r="J14" s="13"/>
      <c r="K14" s="13"/>
      <c r="L14" s="13"/>
      <c r="M14" s="14"/>
      <c r="N14" s="13"/>
      <c r="O14" s="13"/>
    </row>
    <row r="15" spans="1:15" ht="19.5" customHeight="1" x14ac:dyDescent="0.25">
      <c r="A15" s="11" t="s">
        <v>1948</v>
      </c>
      <c r="B15" s="11"/>
      <c r="C15" s="11" t="s">
        <v>8734</v>
      </c>
      <c r="D15" s="11" t="s">
        <v>1883</v>
      </c>
      <c r="E15" s="11"/>
      <c r="F15" s="11"/>
      <c r="G15" s="11" t="s">
        <v>1948</v>
      </c>
      <c r="H15" s="11"/>
      <c r="I15" s="11"/>
      <c r="J15" s="11"/>
      <c r="K15" s="11"/>
      <c r="L15" s="11"/>
      <c r="M15" s="12"/>
      <c r="N15" s="11"/>
      <c r="O15" s="11"/>
    </row>
    <row r="16" spans="1:15" ht="19.5" customHeight="1" x14ac:dyDescent="0.25">
      <c r="A16" s="13" t="s">
        <v>1948</v>
      </c>
      <c r="B16" s="13"/>
      <c r="C16" s="13" t="s">
        <v>8733</v>
      </c>
      <c r="D16" s="13" t="s">
        <v>1883</v>
      </c>
      <c r="E16" s="13"/>
      <c r="F16" s="13"/>
      <c r="G16" s="13" t="s">
        <v>1948</v>
      </c>
      <c r="H16" s="13"/>
      <c r="I16" s="13"/>
      <c r="J16" s="13"/>
      <c r="K16" s="13"/>
      <c r="L16" s="13"/>
      <c r="M16" s="14"/>
      <c r="N16" s="13"/>
      <c r="O16" s="13"/>
    </row>
    <row r="17" spans="1:15" ht="19.5" customHeight="1" x14ac:dyDescent="0.25">
      <c r="A17" s="11" t="s">
        <v>1948</v>
      </c>
      <c r="B17" s="11"/>
      <c r="C17" s="11" t="s">
        <v>8732</v>
      </c>
      <c r="D17" s="11" t="s">
        <v>1883</v>
      </c>
      <c r="E17" s="11"/>
      <c r="F17" s="11"/>
      <c r="G17" s="11" t="s">
        <v>1948</v>
      </c>
      <c r="H17" s="11"/>
      <c r="I17" s="11"/>
      <c r="J17" s="11"/>
      <c r="K17" s="11"/>
      <c r="L17" s="11"/>
      <c r="M17" s="12"/>
      <c r="N17" s="11"/>
      <c r="O17" s="11"/>
    </row>
    <row r="18" spans="1:15" ht="19.5" customHeight="1" x14ac:dyDescent="0.25">
      <c r="A18" s="13" t="s">
        <v>1948</v>
      </c>
      <c r="B18" s="13"/>
      <c r="C18" s="13" t="s">
        <v>8731</v>
      </c>
      <c r="D18" s="13" t="s">
        <v>1883</v>
      </c>
      <c r="E18" s="13"/>
      <c r="F18" s="13"/>
      <c r="G18" s="13" t="s">
        <v>1948</v>
      </c>
      <c r="H18" s="13"/>
      <c r="I18" s="13"/>
      <c r="J18" s="13"/>
      <c r="K18" s="13"/>
      <c r="L18" s="13"/>
      <c r="M18" s="14"/>
      <c r="N18" s="13"/>
      <c r="O18" s="13"/>
    </row>
    <row r="19" spans="1:15" ht="19.5" customHeight="1" x14ac:dyDescent="0.25">
      <c r="A19" s="11" t="s">
        <v>1948</v>
      </c>
      <c r="B19" s="11"/>
      <c r="C19" s="11" t="s">
        <v>8730</v>
      </c>
      <c r="D19" s="11" t="s">
        <v>1883</v>
      </c>
      <c r="E19" s="11"/>
      <c r="F19" s="11"/>
      <c r="G19" s="11" t="s">
        <v>1948</v>
      </c>
      <c r="H19" s="11"/>
      <c r="I19" s="11"/>
      <c r="J19" s="11"/>
      <c r="K19" s="11"/>
      <c r="L19" s="11"/>
      <c r="M19" s="12"/>
      <c r="N19" s="11"/>
      <c r="O19" s="11"/>
    </row>
    <row r="20" spans="1:15" ht="19.5" customHeight="1" x14ac:dyDescent="0.25">
      <c r="A20" s="13" t="s">
        <v>1948</v>
      </c>
      <c r="B20" s="13"/>
      <c r="C20" s="13" t="s">
        <v>8729</v>
      </c>
      <c r="D20" s="13" t="s">
        <v>1883</v>
      </c>
      <c r="E20" s="13"/>
      <c r="F20" s="13"/>
      <c r="G20" s="13" t="s">
        <v>1948</v>
      </c>
      <c r="H20" s="13"/>
      <c r="I20" s="13"/>
      <c r="J20" s="13"/>
      <c r="K20" s="13"/>
      <c r="L20" s="13"/>
      <c r="M20" s="14"/>
      <c r="N20" s="13"/>
      <c r="O20" s="13"/>
    </row>
    <row r="21" spans="1:15" ht="19.5" customHeight="1" x14ac:dyDescent="0.25">
      <c r="A21" s="11" t="s">
        <v>8725</v>
      </c>
      <c r="B21" s="11"/>
      <c r="C21" s="11" t="s">
        <v>8728</v>
      </c>
      <c r="D21" s="11" t="s">
        <v>1883</v>
      </c>
      <c r="E21" s="11"/>
      <c r="F21" s="11"/>
      <c r="G21" s="11" t="s">
        <v>8725</v>
      </c>
      <c r="H21" s="11"/>
      <c r="I21" s="11"/>
      <c r="J21" s="11"/>
      <c r="K21" s="11"/>
      <c r="L21" s="11"/>
      <c r="M21" s="12"/>
      <c r="N21" s="11"/>
      <c r="O21" s="11"/>
    </row>
    <row r="22" spans="1:15" ht="19.5" customHeight="1" x14ac:dyDescent="0.25">
      <c r="A22" s="13" t="s">
        <v>8725</v>
      </c>
      <c r="B22" s="13"/>
      <c r="C22" s="13" t="s">
        <v>8727</v>
      </c>
      <c r="D22" s="13" t="s">
        <v>1883</v>
      </c>
      <c r="E22" s="13"/>
      <c r="F22" s="13"/>
      <c r="G22" s="13" t="s">
        <v>8725</v>
      </c>
      <c r="H22" s="13"/>
      <c r="I22" s="13"/>
      <c r="J22" s="13"/>
      <c r="K22" s="13"/>
      <c r="L22" s="13"/>
      <c r="M22" s="14"/>
      <c r="N22" s="13"/>
      <c r="O22" s="13"/>
    </row>
    <row r="23" spans="1:15" ht="19.5" customHeight="1" x14ac:dyDescent="0.25">
      <c r="A23" s="11" t="s">
        <v>8725</v>
      </c>
      <c r="B23" s="11"/>
      <c r="C23" s="11" t="s">
        <v>8726</v>
      </c>
      <c r="D23" s="11" t="s">
        <v>1883</v>
      </c>
      <c r="E23" s="11"/>
      <c r="F23" s="11"/>
      <c r="G23" s="11" t="s">
        <v>8725</v>
      </c>
      <c r="H23" s="11"/>
      <c r="I23" s="11"/>
      <c r="J23" s="11"/>
      <c r="K23" s="11"/>
      <c r="L23" s="11"/>
      <c r="M23" s="12"/>
      <c r="N23" s="11"/>
      <c r="O23" s="11"/>
    </row>
    <row r="24" spans="1:15" ht="19.5" customHeight="1" x14ac:dyDescent="0.25">
      <c r="A24" s="13" t="s">
        <v>8722</v>
      </c>
      <c r="B24" s="13"/>
      <c r="C24" s="13" t="s">
        <v>8724</v>
      </c>
      <c r="D24" s="13" t="s">
        <v>1883</v>
      </c>
      <c r="E24" s="13" t="s">
        <v>8723</v>
      </c>
      <c r="F24" s="13"/>
      <c r="G24" s="13" t="s">
        <v>8722</v>
      </c>
      <c r="H24" s="13"/>
      <c r="I24" s="13"/>
      <c r="J24" s="13"/>
      <c r="K24" s="13"/>
      <c r="L24" s="13"/>
      <c r="M24" s="14"/>
      <c r="N24" s="13"/>
      <c r="O24" s="13" t="s">
        <v>1916</v>
      </c>
    </row>
    <row r="25" spans="1:15" ht="19.5" customHeight="1" x14ac:dyDescent="0.25">
      <c r="A25" s="11" t="s">
        <v>8720</v>
      </c>
      <c r="B25" s="11"/>
      <c r="C25" s="11" t="s">
        <v>8721</v>
      </c>
      <c r="D25" s="11" t="s">
        <v>1950</v>
      </c>
      <c r="E25" s="11"/>
      <c r="F25" s="11"/>
      <c r="G25" s="11" t="s">
        <v>8720</v>
      </c>
      <c r="H25" s="11"/>
      <c r="I25" s="11"/>
      <c r="J25" s="11"/>
      <c r="K25" s="11"/>
      <c r="L25" s="11"/>
      <c r="M25" s="12"/>
      <c r="N25" s="11"/>
      <c r="O25" s="11" t="s">
        <v>1916</v>
      </c>
    </row>
    <row r="26" spans="1:15" ht="19.5" customHeight="1" x14ac:dyDescent="0.25">
      <c r="A26" s="13" t="s">
        <v>7</v>
      </c>
      <c r="B26" s="13"/>
      <c r="C26" s="13" t="s">
        <v>8719</v>
      </c>
      <c r="D26" s="13" t="s">
        <v>1883</v>
      </c>
      <c r="E26" s="13" t="s">
        <v>8716</v>
      </c>
      <c r="F26" s="13"/>
      <c r="G26" s="13" t="s">
        <v>7</v>
      </c>
      <c r="H26" s="13"/>
      <c r="I26" s="13" t="s">
        <v>8715</v>
      </c>
      <c r="J26" s="13" t="s">
        <v>8714</v>
      </c>
      <c r="K26" s="13" t="s">
        <v>2635</v>
      </c>
      <c r="L26" s="13"/>
      <c r="M26" s="14"/>
      <c r="N26" s="13"/>
      <c r="O26" s="13" t="s">
        <v>1877</v>
      </c>
    </row>
    <row r="27" spans="1:15" ht="19.5" customHeight="1" x14ac:dyDescent="0.25">
      <c r="A27" s="11" t="s">
        <v>7</v>
      </c>
      <c r="B27" s="11"/>
      <c r="C27" s="11" t="s">
        <v>8718</v>
      </c>
      <c r="D27" s="11" t="s">
        <v>1883</v>
      </c>
      <c r="E27" s="11" t="s">
        <v>8716</v>
      </c>
      <c r="F27" s="11"/>
      <c r="G27" s="11" t="s">
        <v>7</v>
      </c>
      <c r="H27" s="11"/>
      <c r="I27" s="11" t="s">
        <v>8715</v>
      </c>
      <c r="J27" s="11" t="s">
        <v>8714</v>
      </c>
      <c r="K27" s="11" t="s">
        <v>2635</v>
      </c>
      <c r="L27" s="11"/>
      <c r="M27" s="12"/>
      <c r="N27" s="11"/>
      <c r="O27" s="11" t="s">
        <v>1877</v>
      </c>
    </row>
    <row r="28" spans="1:15" ht="19.5" customHeight="1" x14ac:dyDescent="0.25">
      <c r="A28" s="13" t="s">
        <v>7</v>
      </c>
      <c r="B28" s="13"/>
      <c r="C28" s="13" t="s">
        <v>8717</v>
      </c>
      <c r="D28" s="13" t="s">
        <v>1883</v>
      </c>
      <c r="E28" s="13" t="s">
        <v>8716</v>
      </c>
      <c r="F28" s="13"/>
      <c r="G28" s="13" t="s">
        <v>7</v>
      </c>
      <c r="H28" s="13"/>
      <c r="I28" s="13" t="s">
        <v>8715</v>
      </c>
      <c r="J28" s="13" t="s">
        <v>8714</v>
      </c>
      <c r="K28" s="13" t="s">
        <v>2635</v>
      </c>
      <c r="L28" s="13"/>
      <c r="M28" s="14"/>
      <c r="N28" s="13"/>
      <c r="O28" s="13" t="s">
        <v>1877</v>
      </c>
    </row>
    <row r="29" spans="1:15" ht="19.5" customHeight="1" x14ac:dyDescent="0.25">
      <c r="A29" s="11" t="s">
        <v>9</v>
      </c>
      <c r="B29" s="11"/>
      <c r="C29" s="11" t="s">
        <v>8713</v>
      </c>
      <c r="D29" s="11" t="s">
        <v>1883</v>
      </c>
      <c r="E29" s="11" t="s">
        <v>8710</v>
      </c>
      <c r="F29" s="11"/>
      <c r="G29" s="11" t="s">
        <v>9</v>
      </c>
      <c r="H29" s="11"/>
      <c r="I29" s="11" t="s">
        <v>8709</v>
      </c>
      <c r="J29" s="11" t="s">
        <v>8708</v>
      </c>
      <c r="K29" s="11" t="s">
        <v>3021</v>
      </c>
      <c r="L29" s="11"/>
      <c r="M29" s="12"/>
      <c r="N29" s="11"/>
      <c r="O29" s="11" t="s">
        <v>1877</v>
      </c>
    </row>
    <row r="30" spans="1:15" ht="19.5" customHeight="1" x14ac:dyDescent="0.25">
      <c r="A30" s="13" t="s">
        <v>9</v>
      </c>
      <c r="B30" s="13"/>
      <c r="C30" s="13" t="s">
        <v>8712</v>
      </c>
      <c r="D30" s="13" t="s">
        <v>1883</v>
      </c>
      <c r="E30" s="13" t="s">
        <v>8710</v>
      </c>
      <c r="F30" s="13"/>
      <c r="G30" s="13" t="s">
        <v>9</v>
      </c>
      <c r="H30" s="13"/>
      <c r="I30" s="13" t="s">
        <v>8709</v>
      </c>
      <c r="J30" s="13" t="s">
        <v>8708</v>
      </c>
      <c r="K30" s="13" t="s">
        <v>3021</v>
      </c>
      <c r="L30" s="13"/>
      <c r="M30" s="14"/>
      <c r="N30" s="13"/>
      <c r="O30" s="13" t="s">
        <v>1877</v>
      </c>
    </row>
    <row r="31" spans="1:15" ht="19.5" customHeight="1" x14ac:dyDescent="0.25">
      <c r="A31" s="11" t="s">
        <v>9</v>
      </c>
      <c r="B31" s="11"/>
      <c r="C31" s="11" t="s">
        <v>8711</v>
      </c>
      <c r="D31" s="11" t="s">
        <v>1883</v>
      </c>
      <c r="E31" s="11" t="s">
        <v>8710</v>
      </c>
      <c r="F31" s="11"/>
      <c r="G31" s="11" t="s">
        <v>9</v>
      </c>
      <c r="H31" s="11"/>
      <c r="I31" s="11" t="s">
        <v>8709</v>
      </c>
      <c r="J31" s="11" t="s">
        <v>8708</v>
      </c>
      <c r="K31" s="11" t="s">
        <v>3021</v>
      </c>
      <c r="L31" s="11"/>
      <c r="M31" s="12"/>
      <c r="N31" s="11"/>
      <c r="O31" s="11" t="s">
        <v>1877</v>
      </c>
    </row>
    <row r="32" spans="1:15" ht="19.5" customHeight="1" x14ac:dyDescent="0.25">
      <c r="A32" s="13" t="s">
        <v>11</v>
      </c>
      <c r="B32" s="13"/>
      <c r="C32" s="13" t="s">
        <v>8707</v>
      </c>
      <c r="D32" s="13" t="s">
        <v>1883</v>
      </c>
      <c r="E32" s="13" t="s">
        <v>8704</v>
      </c>
      <c r="F32" s="13"/>
      <c r="G32" s="13" t="s">
        <v>11</v>
      </c>
      <c r="H32" s="13"/>
      <c r="I32" s="13" t="s">
        <v>8703</v>
      </c>
      <c r="J32" s="13" t="s">
        <v>8702</v>
      </c>
      <c r="K32" s="13" t="s">
        <v>1878</v>
      </c>
      <c r="L32" s="13"/>
      <c r="M32" s="14"/>
      <c r="N32" s="13"/>
      <c r="O32" s="13" t="s">
        <v>1877</v>
      </c>
    </row>
    <row r="33" spans="1:15" ht="19.5" customHeight="1" x14ac:dyDescent="0.25">
      <c r="A33" s="11" t="s">
        <v>11</v>
      </c>
      <c r="B33" s="11"/>
      <c r="C33" s="11" t="s">
        <v>8706</v>
      </c>
      <c r="D33" s="11" t="s">
        <v>1883</v>
      </c>
      <c r="E33" s="11" t="s">
        <v>8704</v>
      </c>
      <c r="F33" s="11"/>
      <c r="G33" s="11" t="s">
        <v>11</v>
      </c>
      <c r="H33" s="11"/>
      <c r="I33" s="11" t="s">
        <v>8703</v>
      </c>
      <c r="J33" s="11" t="s">
        <v>8702</v>
      </c>
      <c r="K33" s="11" t="s">
        <v>1878</v>
      </c>
      <c r="L33" s="11"/>
      <c r="M33" s="12"/>
      <c r="N33" s="11"/>
      <c r="O33" s="11" t="s">
        <v>1877</v>
      </c>
    </row>
    <row r="34" spans="1:15" ht="19.5" customHeight="1" x14ac:dyDescent="0.25">
      <c r="A34" s="13" t="s">
        <v>11</v>
      </c>
      <c r="B34" s="13"/>
      <c r="C34" s="13" t="s">
        <v>8705</v>
      </c>
      <c r="D34" s="13" t="s">
        <v>1883</v>
      </c>
      <c r="E34" s="13" t="s">
        <v>8704</v>
      </c>
      <c r="F34" s="13"/>
      <c r="G34" s="13" t="s">
        <v>11</v>
      </c>
      <c r="H34" s="13"/>
      <c r="I34" s="13" t="s">
        <v>8703</v>
      </c>
      <c r="J34" s="13" t="s">
        <v>8702</v>
      </c>
      <c r="K34" s="13" t="s">
        <v>1878</v>
      </c>
      <c r="L34" s="13"/>
      <c r="M34" s="14"/>
      <c r="N34" s="13"/>
      <c r="O34" s="13" t="s">
        <v>1877</v>
      </c>
    </row>
    <row r="35" spans="1:15" ht="19.5" customHeight="1" x14ac:dyDescent="0.25">
      <c r="A35" s="11" t="s">
        <v>13</v>
      </c>
      <c r="B35" s="11"/>
      <c r="C35" s="11" t="s">
        <v>8701</v>
      </c>
      <c r="D35" s="11" t="s">
        <v>1883</v>
      </c>
      <c r="E35" s="11" t="s">
        <v>8697</v>
      </c>
      <c r="F35" s="11"/>
      <c r="G35" s="11" t="s">
        <v>13</v>
      </c>
      <c r="H35" s="11" t="s">
        <v>8696</v>
      </c>
      <c r="I35" s="11" t="s">
        <v>13</v>
      </c>
      <c r="J35" s="11" t="s">
        <v>8694</v>
      </c>
      <c r="K35" s="11" t="s">
        <v>2401</v>
      </c>
      <c r="L35" s="11"/>
      <c r="M35" s="12"/>
      <c r="N35" s="11"/>
      <c r="O35" s="11" t="s">
        <v>1877</v>
      </c>
    </row>
    <row r="36" spans="1:15" ht="19.5" customHeight="1" x14ac:dyDescent="0.25">
      <c r="A36" s="13" t="s">
        <v>13</v>
      </c>
      <c r="B36" s="13"/>
      <c r="C36" s="13" t="s">
        <v>8700</v>
      </c>
      <c r="D36" s="13" t="s">
        <v>1883</v>
      </c>
      <c r="E36" s="13" t="s">
        <v>8699</v>
      </c>
      <c r="F36" s="13"/>
      <c r="G36" s="13" t="s">
        <v>13</v>
      </c>
      <c r="H36" s="13"/>
      <c r="I36" s="13"/>
      <c r="J36" s="13"/>
      <c r="K36" s="13" t="s">
        <v>2401</v>
      </c>
      <c r="L36" s="13"/>
      <c r="M36" s="14"/>
      <c r="N36" s="13"/>
      <c r="O36" s="13" t="s">
        <v>1916</v>
      </c>
    </row>
    <row r="37" spans="1:15" ht="19.5" customHeight="1" x14ac:dyDescent="0.25">
      <c r="A37" s="11" t="s">
        <v>13</v>
      </c>
      <c r="B37" s="11"/>
      <c r="C37" s="11" t="s">
        <v>8698</v>
      </c>
      <c r="D37" s="11" t="s">
        <v>1883</v>
      </c>
      <c r="E37" s="11" t="s">
        <v>8697</v>
      </c>
      <c r="F37" s="11"/>
      <c r="G37" s="11" t="s">
        <v>13</v>
      </c>
      <c r="H37" s="11" t="s">
        <v>8696</v>
      </c>
      <c r="I37" s="11" t="s">
        <v>8695</v>
      </c>
      <c r="J37" s="11" t="s">
        <v>8694</v>
      </c>
      <c r="K37" s="11" t="s">
        <v>2401</v>
      </c>
      <c r="L37" s="11"/>
      <c r="M37" s="12"/>
      <c r="N37" s="11"/>
      <c r="O37" s="11" t="s">
        <v>1877</v>
      </c>
    </row>
    <row r="38" spans="1:15" ht="19.5" customHeight="1" x14ac:dyDescent="0.25">
      <c r="A38" s="13" t="s">
        <v>15</v>
      </c>
      <c r="B38" s="13"/>
      <c r="C38" s="13" t="s">
        <v>8693</v>
      </c>
      <c r="D38" s="13" t="s">
        <v>1883</v>
      </c>
      <c r="E38" s="13" t="s">
        <v>8690</v>
      </c>
      <c r="F38" s="13"/>
      <c r="G38" s="13" t="s">
        <v>15</v>
      </c>
      <c r="H38" s="13" t="s">
        <v>8689</v>
      </c>
      <c r="I38" s="13" t="s">
        <v>2455</v>
      </c>
      <c r="J38" s="13" t="s">
        <v>8688</v>
      </c>
      <c r="K38" s="13" t="s">
        <v>1901</v>
      </c>
      <c r="L38" s="13"/>
      <c r="M38" s="14"/>
      <c r="N38" s="13"/>
      <c r="O38" s="13" t="s">
        <v>1877</v>
      </c>
    </row>
    <row r="39" spans="1:15" ht="19.5" customHeight="1" x14ac:dyDescent="0.25">
      <c r="A39" s="11" t="s">
        <v>15</v>
      </c>
      <c r="B39" s="11"/>
      <c r="C39" s="11" t="s">
        <v>8692</v>
      </c>
      <c r="D39" s="11" t="s">
        <v>1883</v>
      </c>
      <c r="E39" s="11" t="s">
        <v>8690</v>
      </c>
      <c r="F39" s="11"/>
      <c r="G39" s="11" t="s">
        <v>15</v>
      </c>
      <c r="H39" s="11" t="s">
        <v>8689</v>
      </c>
      <c r="I39" s="11" t="s">
        <v>2455</v>
      </c>
      <c r="J39" s="11" t="s">
        <v>8688</v>
      </c>
      <c r="K39" s="11" t="s">
        <v>1901</v>
      </c>
      <c r="L39" s="11"/>
      <c r="M39" s="12"/>
      <c r="N39" s="11"/>
      <c r="O39" s="11" t="s">
        <v>1877</v>
      </c>
    </row>
    <row r="40" spans="1:15" ht="19.5" customHeight="1" x14ac:dyDescent="0.25">
      <c r="A40" s="13" t="s">
        <v>15</v>
      </c>
      <c r="B40" s="13"/>
      <c r="C40" s="13" t="s">
        <v>8691</v>
      </c>
      <c r="D40" s="13" t="s">
        <v>1883</v>
      </c>
      <c r="E40" s="13" t="s">
        <v>8690</v>
      </c>
      <c r="F40" s="13"/>
      <c r="G40" s="13" t="s">
        <v>15</v>
      </c>
      <c r="H40" s="13" t="s">
        <v>8689</v>
      </c>
      <c r="I40" s="13" t="s">
        <v>2455</v>
      </c>
      <c r="J40" s="13" t="s">
        <v>8688</v>
      </c>
      <c r="K40" s="13" t="s">
        <v>1901</v>
      </c>
      <c r="L40" s="13"/>
      <c r="M40" s="14"/>
      <c r="N40" s="13"/>
      <c r="O40" s="13" t="s">
        <v>1877</v>
      </c>
    </row>
    <row r="41" spans="1:15" ht="19.5" customHeight="1" x14ac:dyDescent="0.25">
      <c r="A41" s="11" t="s">
        <v>1694</v>
      </c>
      <c r="B41" s="11"/>
      <c r="C41" s="11" t="s">
        <v>8687</v>
      </c>
      <c r="D41" s="11" t="s">
        <v>1883</v>
      </c>
      <c r="E41" s="11" t="s">
        <v>8685</v>
      </c>
      <c r="F41" s="11"/>
      <c r="G41" s="11" t="s">
        <v>8684</v>
      </c>
      <c r="H41" s="11"/>
      <c r="I41" s="11" t="s">
        <v>8683</v>
      </c>
      <c r="J41" s="11" t="s">
        <v>8682</v>
      </c>
      <c r="K41" s="11" t="s">
        <v>8681</v>
      </c>
      <c r="L41" s="11"/>
      <c r="M41" s="12"/>
      <c r="N41" s="11"/>
      <c r="O41" s="11" t="s">
        <v>1877</v>
      </c>
    </row>
    <row r="42" spans="1:15" ht="19.5" customHeight="1" x14ac:dyDescent="0.25">
      <c r="A42" s="13" t="s">
        <v>1694</v>
      </c>
      <c r="B42" s="13"/>
      <c r="C42" s="13" t="s">
        <v>8686</v>
      </c>
      <c r="D42" s="13" t="s">
        <v>1883</v>
      </c>
      <c r="E42" s="13" t="s">
        <v>8685</v>
      </c>
      <c r="F42" s="13"/>
      <c r="G42" s="13" t="s">
        <v>8684</v>
      </c>
      <c r="H42" s="13"/>
      <c r="I42" s="13" t="s">
        <v>8683</v>
      </c>
      <c r="J42" s="13" t="s">
        <v>8682</v>
      </c>
      <c r="K42" s="13" t="s">
        <v>8681</v>
      </c>
      <c r="L42" s="13"/>
      <c r="M42" s="14"/>
      <c r="N42" s="13"/>
      <c r="O42" s="13" t="s">
        <v>1877</v>
      </c>
    </row>
    <row r="43" spans="1:15" ht="19.5" customHeight="1" x14ac:dyDescent="0.25">
      <c r="A43" s="11" t="s">
        <v>8677</v>
      </c>
      <c r="B43" s="11"/>
      <c r="C43" s="11" t="s">
        <v>8680</v>
      </c>
      <c r="D43" s="11" t="s">
        <v>1883</v>
      </c>
      <c r="E43" s="11"/>
      <c r="F43" s="11"/>
      <c r="G43" s="11" t="s">
        <v>8677</v>
      </c>
      <c r="H43" s="11"/>
      <c r="I43" s="11"/>
      <c r="J43" s="11"/>
      <c r="K43" s="11"/>
      <c r="L43" s="11"/>
      <c r="M43" s="12"/>
      <c r="N43" s="11"/>
      <c r="O43" s="11"/>
    </row>
    <row r="44" spans="1:15" ht="19.5" customHeight="1" x14ac:dyDescent="0.25">
      <c r="A44" s="13" t="s">
        <v>8677</v>
      </c>
      <c r="B44" s="13"/>
      <c r="C44" s="13" t="s">
        <v>8679</v>
      </c>
      <c r="D44" s="13" t="s">
        <v>1883</v>
      </c>
      <c r="E44" s="13"/>
      <c r="F44" s="13"/>
      <c r="G44" s="13" t="s">
        <v>8677</v>
      </c>
      <c r="H44" s="13"/>
      <c r="I44" s="13"/>
      <c r="J44" s="13"/>
      <c r="K44" s="13"/>
      <c r="L44" s="13"/>
      <c r="M44" s="14"/>
      <c r="N44" s="13"/>
      <c r="O44" s="13"/>
    </row>
    <row r="45" spans="1:15" ht="19.5" customHeight="1" x14ac:dyDescent="0.25">
      <c r="A45" s="11" t="s">
        <v>8677</v>
      </c>
      <c r="B45" s="11"/>
      <c r="C45" s="11" t="s">
        <v>8678</v>
      </c>
      <c r="D45" s="11" t="s">
        <v>1883</v>
      </c>
      <c r="E45" s="11"/>
      <c r="F45" s="11"/>
      <c r="G45" s="11" t="s">
        <v>8677</v>
      </c>
      <c r="H45" s="11"/>
      <c r="I45" s="11"/>
      <c r="J45" s="11"/>
      <c r="K45" s="11"/>
      <c r="L45" s="11"/>
      <c r="M45" s="12"/>
      <c r="N45" s="11"/>
      <c r="O45" s="11"/>
    </row>
    <row r="46" spans="1:15" ht="19.5" customHeight="1" x14ac:dyDescent="0.25">
      <c r="A46" s="13" t="s">
        <v>17</v>
      </c>
      <c r="B46" s="13"/>
      <c r="C46" s="13" t="s">
        <v>8676</v>
      </c>
      <c r="D46" s="13" t="s">
        <v>1883</v>
      </c>
      <c r="E46" s="13" t="s">
        <v>8673</v>
      </c>
      <c r="F46" s="13"/>
      <c r="G46" s="13" t="s">
        <v>17</v>
      </c>
      <c r="H46" s="13" t="s">
        <v>8672</v>
      </c>
      <c r="I46" s="13" t="s">
        <v>8671</v>
      </c>
      <c r="J46" s="13" t="s">
        <v>8670</v>
      </c>
      <c r="K46" s="13" t="s">
        <v>1878</v>
      </c>
      <c r="L46" s="13"/>
      <c r="M46" s="14"/>
      <c r="N46" s="13"/>
      <c r="O46" s="13" t="s">
        <v>1877</v>
      </c>
    </row>
    <row r="47" spans="1:15" ht="19.5" customHeight="1" x14ac:dyDescent="0.25">
      <c r="A47" s="11" t="s">
        <v>17</v>
      </c>
      <c r="B47" s="11"/>
      <c r="C47" s="11" t="s">
        <v>8675</v>
      </c>
      <c r="D47" s="11" t="s">
        <v>1883</v>
      </c>
      <c r="E47" s="11" t="s">
        <v>8673</v>
      </c>
      <c r="F47" s="11"/>
      <c r="G47" s="11" t="s">
        <v>17</v>
      </c>
      <c r="H47" s="11" t="s">
        <v>8672</v>
      </c>
      <c r="I47" s="11" t="s">
        <v>8671</v>
      </c>
      <c r="J47" s="11" t="s">
        <v>8670</v>
      </c>
      <c r="K47" s="11" t="s">
        <v>1878</v>
      </c>
      <c r="L47" s="11"/>
      <c r="M47" s="12"/>
      <c r="N47" s="11"/>
      <c r="O47" s="11" t="s">
        <v>1877</v>
      </c>
    </row>
    <row r="48" spans="1:15" ht="19.5" customHeight="1" x14ac:dyDescent="0.25">
      <c r="A48" s="13" t="s">
        <v>17</v>
      </c>
      <c r="B48" s="13"/>
      <c r="C48" s="13" t="s">
        <v>8674</v>
      </c>
      <c r="D48" s="13" t="s">
        <v>1883</v>
      </c>
      <c r="E48" s="13" t="s">
        <v>8673</v>
      </c>
      <c r="F48" s="13"/>
      <c r="G48" s="13" t="s">
        <v>17</v>
      </c>
      <c r="H48" s="13" t="s">
        <v>8672</v>
      </c>
      <c r="I48" s="13" t="s">
        <v>8671</v>
      </c>
      <c r="J48" s="13" t="s">
        <v>8670</v>
      </c>
      <c r="K48" s="13" t="s">
        <v>1878</v>
      </c>
      <c r="L48" s="13"/>
      <c r="M48" s="14"/>
      <c r="N48" s="13"/>
      <c r="O48" s="13" t="s">
        <v>1877</v>
      </c>
    </row>
    <row r="49" spans="1:15" ht="19.5" customHeight="1" x14ac:dyDescent="0.25">
      <c r="A49" s="11" t="s">
        <v>19</v>
      </c>
      <c r="B49" s="11"/>
      <c r="C49" s="11" t="s">
        <v>8669</v>
      </c>
      <c r="D49" s="11" t="s">
        <v>1883</v>
      </c>
      <c r="E49" s="11" t="s">
        <v>8666</v>
      </c>
      <c r="F49" s="11"/>
      <c r="G49" s="11" t="s">
        <v>19</v>
      </c>
      <c r="H49" s="11" t="s">
        <v>8665</v>
      </c>
      <c r="I49" s="11" t="s">
        <v>8664</v>
      </c>
      <c r="J49" s="11" t="s">
        <v>8659</v>
      </c>
      <c r="K49" s="11" t="s">
        <v>1878</v>
      </c>
      <c r="L49" s="11"/>
      <c r="M49" s="12"/>
      <c r="N49" s="11"/>
      <c r="O49" s="11" t="s">
        <v>1877</v>
      </c>
    </row>
    <row r="50" spans="1:15" ht="19.5" customHeight="1" x14ac:dyDescent="0.25">
      <c r="A50" s="13" t="s">
        <v>19</v>
      </c>
      <c r="B50" s="13"/>
      <c r="C50" s="13" t="s">
        <v>8668</v>
      </c>
      <c r="D50" s="13" t="s">
        <v>1883</v>
      </c>
      <c r="E50" s="13" t="s">
        <v>8666</v>
      </c>
      <c r="F50" s="13"/>
      <c r="G50" s="13" t="s">
        <v>19</v>
      </c>
      <c r="H50" s="13" t="s">
        <v>8665</v>
      </c>
      <c r="I50" s="13" t="s">
        <v>8664</v>
      </c>
      <c r="J50" s="13" t="s">
        <v>8659</v>
      </c>
      <c r="K50" s="13" t="s">
        <v>1878</v>
      </c>
      <c r="L50" s="13"/>
      <c r="M50" s="14"/>
      <c r="N50" s="13"/>
      <c r="O50" s="13" t="s">
        <v>1877</v>
      </c>
    </row>
    <row r="51" spans="1:15" ht="19.5" customHeight="1" x14ac:dyDescent="0.25">
      <c r="A51" s="11" t="s">
        <v>19</v>
      </c>
      <c r="B51" s="11"/>
      <c r="C51" s="11" t="s">
        <v>8667</v>
      </c>
      <c r="D51" s="11" t="s">
        <v>1883</v>
      </c>
      <c r="E51" s="11" t="s">
        <v>8666</v>
      </c>
      <c r="F51" s="11"/>
      <c r="G51" s="11" t="s">
        <v>19</v>
      </c>
      <c r="H51" s="11" t="s">
        <v>8665</v>
      </c>
      <c r="I51" s="11" t="s">
        <v>8664</v>
      </c>
      <c r="J51" s="11" t="s">
        <v>8659</v>
      </c>
      <c r="K51" s="11" t="s">
        <v>1878</v>
      </c>
      <c r="L51" s="11"/>
      <c r="M51" s="12"/>
      <c r="N51" s="11"/>
      <c r="O51" s="11" t="s">
        <v>1877</v>
      </c>
    </row>
    <row r="52" spans="1:15" ht="19.5" customHeight="1" x14ac:dyDescent="0.25">
      <c r="A52" s="13" t="s">
        <v>21</v>
      </c>
      <c r="B52" s="13"/>
      <c r="C52" s="13" t="s">
        <v>8663</v>
      </c>
      <c r="D52" s="13" t="s">
        <v>1883</v>
      </c>
      <c r="E52" s="13" t="s">
        <v>8662</v>
      </c>
      <c r="F52" s="13"/>
      <c r="G52" s="13" t="s">
        <v>21</v>
      </c>
      <c r="H52" s="13" t="s">
        <v>8661</v>
      </c>
      <c r="I52" s="13" t="s">
        <v>8660</v>
      </c>
      <c r="J52" s="13" t="s">
        <v>8659</v>
      </c>
      <c r="K52" s="13" t="s">
        <v>1878</v>
      </c>
      <c r="L52" s="13"/>
      <c r="M52" s="14"/>
      <c r="N52" s="13"/>
      <c r="O52" s="13" t="s">
        <v>1877</v>
      </c>
    </row>
    <row r="53" spans="1:15" ht="19.5" customHeight="1" x14ac:dyDescent="0.25">
      <c r="A53" s="11" t="s">
        <v>8657</v>
      </c>
      <c r="B53" s="11"/>
      <c r="C53" s="11" t="s">
        <v>8658</v>
      </c>
      <c r="D53" s="11" t="s">
        <v>1883</v>
      </c>
      <c r="E53" s="11"/>
      <c r="F53" s="11"/>
      <c r="G53" s="11" t="s">
        <v>8657</v>
      </c>
      <c r="H53" s="11"/>
      <c r="I53" s="11"/>
      <c r="J53" s="11"/>
      <c r="K53" s="11"/>
      <c r="L53" s="11"/>
      <c r="M53" s="12"/>
      <c r="N53" s="11"/>
      <c r="O53" s="11"/>
    </row>
    <row r="54" spans="1:15" ht="19.5" customHeight="1" x14ac:dyDescent="0.25">
      <c r="A54" s="13" t="s">
        <v>8627</v>
      </c>
      <c r="B54" s="13"/>
      <c r="C54" s="13" t="s">
        <v>8656</v>
      </c>
      <c r="D54" s="13" t="s">
        <v>1883</v>
      </c>
      <c r="E54" s="13"/>
      <c r="F54" s="13"/>
      <c r="G54" s="13" t="s">
        <v>8627</v>
      </c>
      <c r="H54" s="13"/>
      <c r="I54" s="13"/>
      <c r="J54" s="13"/>
      <c r="K54" s="13"/>
      <c r="L54" s="13"/>
      <c r="M54" s="14"/>
      <c r="N54" s="13"/>
      <c r="O54" s="13"/>
    </row>
    <row r="55" spans="1:15" ht="19.5" customHeight="1" x14ac:dyDescent="0.25">
      <c r="A55" s="11" t="s">
        <v>8627</v>
      </c>
      <c r="B55" s="11"/>
      <c r="C55" s="11" t="s">
        <v>8655</v>
      </c>
      <c r="D55" s="11" t="s">
        <v>1883</v>
      </c>
      <c r="E55" s="11"/>
      <c r="F55" s="11"/>
      <c r="G55" s="11" t="s">
        <v>8627</v>
      </c>
      <c r="H55" s="11"/>
      <c r="I55" s="11"/>
      <c r="J55" s="11"/>
      <c r="K55" s="11"/>
      <c r="L55" s="11"/>
      <c r="M55" s="12"/>
      <c r="N55" s="11"/>
      <c r="O55" s="11"/>
    </row>
    <row r="56" spans="1:15" ht="19.5" customHeight="1" x14ac:dyDescent="0.25">
      <c r="A56" s="13" t="s">
        <v>8627</v>
      </c>
      <c r="B56" s="13"/>
      <c r="C56" s="13" t="s">
        <v>8654</v>
      </c>
      <c r="D56" s="13" t="s">
        <v>1883</v>
      </c>
      <c r="E56" s="13"/>
      <c r="F56" s="13"/>
      <c r="G56" s="13" t="s">
        <v>8627</v>
      </c>
      <c r="H56" s="13"/>
      <c r="I56" s="13"/>
      <c r="J56" s="13"/>
      <c r="K56" s="13"/>
      <c r="L56" s="13"/>
      <c r="M56" s="14"/>
      <c r="N56" s="13"/>
      <c r="O56" s="13"/>
    </row>
    <row r="57" spans="1:15" ht="19.5" customHeight="1" x14ac:dyDescent="0.25">
      <c r="A57" s="11" t="s">
        <v>8627</v>
      </c>
      <c r="B57" s="11"/>
      <c r="C57" s="11" t="s">
        <v>8653</v>
      </c>
      <c r="D57" s="11" t="s">
        <v>1883</v>
      </c>
      <c r="E57" s="11"/>
      <c r="F57" s="11"/>
      <c r="G57" s="11" t="s">
        <v>8627</v>
      </c>
      <c r="H57" s="11"/>
      <c r="I57" s="11"/>
      <c r="J57" s="11"/>
      <c r="K57" s="11"/>
      <c r="L57" s="11"/>
      <c r="M57" s="12"/>
      <c r="N57" s="11"/>
      <c r="O57" s="11"/>
    </row>
    <row r="58" spans="1:15" ht="19.5" customHeight="1" x14ac:dyDescent="0.25">
      <c r="A58" s="13" t="s">
        <v>8627</v>
      </c>
      <c r="B58" s="13"/>
      <c r="C58" s="13" t="s">
        <v>8652</v>
      </c>
      <c r="D58" s="13" t="s">
        <v>1883</v>
      </c>
      <c r="E58" s="13"/>
      <c r="F58" s="13"/>
      <c r="G58" s="13" t="s">
        <v>8627</v>
      </c>
      <c r="H58" s="13"/>
      <c r="I58" s="13"/>
      <c r="J58" s="13"/>
      <c r="K58" s="13"/>
      <c r="L58" s="13"/>
      <c r="M58" s="14"/>
      <c r="N58" s="13"/>
      <c r="O58" s="13"/>
    </row>
    <row r="59" spans="1:15" ht="19.5" customHeight="1" x14ac:dyDescent="0.25">
      <c r="A59" s="11" t="s">
        <v>8627</v>
      </c>
      <c r="B59" s="11"/>
      <c r="C59" s="11" t="s">
        <v>8651</v>
      </c>
      <c r="D59" s="11" t="s">
        <v>1883</v>
      </c>
      <c r="E59" s="11"/>
      <c r="F59" s="11"/>
      <c r="G59" s="11" t="s">
        <v>8627</v>
      </c>
      <c r="H59" s="11"/>
      <c r="I59" s="11"/>
      <c r="J59" s="11"/>
      <c r="K59" s="11"/>
      <c r="L59" s="11"/>
      <c r="M59" s="12"/>
      <c r="N59" s="11"/>
      <c r="O59" s="11"/>
    </row>
    <row r="60" spans="1:15" ht="19.5" customHeight="1" x14ac:dyDescent="0.25">
      <c r="A60" s="13" t="s">
        <v>8627</v>
      </c>
      <c r="B60" s="13"/>
      <c r="C60" s="13" t="s">
        <v>8650</v>
      </c>
      <c r="D60" s="13" t="s">
        <v>1883</v>
      </c>
      <c r="E60" s="13"/>
      <c r="F60" s="13"/>
      <c r="G60" s="13" t="s">
        <v>8627</v>
      </c>
      <c r="H60" s="13"/>
      <c r="I60" s="13"/>
      <c r="J60" s="13"/>
      <c r="K60" s="13"/>
      <c r="L60" s="13"/>
      <c r="M60" s="14"/>
      <c r="N60" s="13"/>
      <c r="O60" s="13"/>
    </row>
    <row r="61" spans="1:15" ht="19.5" customHeight="1" x14ac:dyDescent="0.25">
      <c r="A61" s="11" t="s">
        <v>8627</v>
      </c>
      <c r="B61" s="11"/>
      <c r="C61" s="11" t="s">
        <v>8649</v>
      </c>
      <c r="D61" s="11" t="s">
        <v>1883</v>
      </c>
      <c r="E61" s="11"/>
      <c r="F61" s="11"/>
      <c r="G61" s="11" t="s">
        <v>8627</v>
      </c>
      <c r="H61" s="11"/>
      <c r="I61" s="11"/>
      <c r="J61" s="11"/>
      <c r="K61" s="11"/>
      <c r="L61" s="11"/>
      <c r="M61" s="12"/>
      <c r="N61" s="11"/>
      <c r="O61" s="11"/>
    </row>
    <row r="62" spans="1:15" ht="19.5" customHeight="1" x14ac:dyDescent="0.25">
      <c r="A62" s="13" t="s">
        <v>8627</v>
      </c>
      <c r="B62" s="13"/>
      <c r="C62" s="13" t="s">
        <v>8648</v>
      </c>
      <c r="D62" s="13" t="s">
        <v>1883</v>
      </c>
      <c r="E62" s="13"/>
      <c r="F62" s="13"/>
      <c r="G62" s="13" t="s">
        <v>8627</v>
      </c>
      <c r="H62" s="13"/>
      <c r="I62" s="13"/>
      <c r="J62" s="13"/>
      <c r="K62" s="13"/>
      <c r="L62" s="13"/>
      <c r="M62" s="14"/>
      <c r="N62" s="13"/>
      <c r="O62" s="13"/>
    </row>
    <row r="63" spans="1:15" ht="19.5" customHeight="1" x14ac:dyDescent="0.25">
      <c r="A63" s="11" t="s">
        <v>8627</v>
      </c>
      <c r="B63" s="11"/>
      <c r="C63" s="11" t="s">
        <v>8647</v>
      </c>
      <c r="D63" s="11" t="s">
        <v>1883</v>
      </c>
      <c r="E63" s="11"/>
      <c r="F63" s="11"/>
      <c r="G63" s="11" t="s">
        <v>8627</v>
      </c>
      <c r="H63" s="11"/>
      <c r="I63" s="11"/>
      <c r="J63" s="11"/>
      <c r="K63" s="11"/>
      <c r="L63" s="11"/>
      <c r="M63" s="12"/>
      <c r="N63" s="11"/>
      <c r="O63" s="11"/>
    </row>
    <row r="64" spans="1:15" ht="19.5" customHeight="1" x14ac:dyDescent="0.25">
      <c r="A64" s="13" t="s">
        <v>8627</v>
      </c>
      <c r="B64" s="13"/>
      <c r="C64" s="13" t="s">
        <v>8646</v>
      </c>
      <c r="D64" s="13" t="s">
        <v>1883</v>
      </c>
      <c r="E64" s="13"/>
      <c r="F64" s="13"/>
      <c r="G64" s="13" t="s">
        <v>8627</v>
      </c>
      <c r="H64" s="13"/>
      <c r="I64" s="13"/>
      <c r="J64" s="13"/>
      <c r="K64" s="13"/>
      <c r="L64" s="13"/>
      <c r="M64" s="14"/>
      <c r="N64" s="13"/>
      <c r="O64" s="13"/>
    </row>
    <row r="65" spans="1:15" ht="19.5" customHeight="1" x14ac:dyDescent="0.25">
      <c r="A65" s="11" t="s">
        <v>8627</v>
      </c>
      <c r="B65" s="11"/>
      <c r="C65" s="11" t="s">
        <v>8645</v>
      </c>
      <c r="D65" s="11" t="s">
        <v>1883</v>
      </c>
      <c r="E65" s="11"/>
      <c r="F65" s="11"/>
      <c r="G65" s="11" t="s">
        <v>8627</v>
      </c>
      <c r="H65" s="11"/>
      <c r="I65" s="11"/>
      <c r="J65" s="11"/>
      <c r="K65" s="11"/>
      <c r="L65" s="11"/>
      <c r="M65" s="12"/>
      <c r="N65" s="11"/>
      <c r="O65" s="11"/>
    </row>
    <row r="66" spans="1:15" ht="19.5" customHeight="1" x14ac:dyDescent="0.25">
      <c r="A66" s="13" t="s">
        <v>8627</v>
      </c>
      <c r="B66" s="13"/>
      <c r="C66" s="13" t="s">
        <v>8644</v>
      </c>
      <c r="D66" s="13" t="s">
        <v>1883</v>
      </c>
      <c r="E66" s="13"/>
      <c r="F66" s="13"/>
      <c r="G66" s="13" t="s">
        <v>8627</v>
      </c>
      <c r="H66" s="13"/>
      <c r="I66" s="13"/>
      <c r="J66" s="13"/>
      <c r="K66" s="13"/>
      <c r="L66" s="13"/>
      <c r="M66" s="14"/>
      <c r="N66" s="13"/>
      <c r="O66" s="13"/>
    </row>
    <row r="67" spans="1:15" ht="19.5" customHeight="1" x14ac:dyDescent="0.25">
      <c r="A67" s="11" t="s">
        <v>8627</v>
      </c>
      <c r="B67" s="11"/>
      <c r="C67" s="11" t="s">
        <v>8643</v>
      </c>
      <c r="D67" s="11" t="s">
        <v>1883</v>
      </c>
      <c r="E67" s="11"/>
      <c r="F67" s="11"/>
      <c r="G67" s="11" t="s">
        <v>8627</v>
      </c>
      <c r="H67" s="11"/>
      <c r="I67" s="11"/>
      <c r="J67" s="11"/>
      <c r="K67" s="11"/>
      <c r="L67" s="11"/>
      <c r="M67" s="12"/>
      <c r="N67" s="11"/>
      <c r="O67" s="11"/>
    </row>
    <row r="68" spans="1:15" ht="19.5" customHeight="1" x14ac:dyDescent="0.25">
      <c r="A68" s="13" t="s">
        <v>8627</v>
      </c>
      <c r="B68" s="13"/>
      <c r="C68" s="13" t="s">
        <v>8642</v>
      </c>
      <c r="D68" s="13" t="s">
        <v>1883</v>
      </c>
      <c r="E68" s="13"/>
      <c r="F68" s="13"/>
      <c r="G68" s="13" t="s">
        <v>8627</v>
      </c>
      <c r="H68" s="13"/>
      <c r="I68" s="13"/>
      <c r="J68" s="13"/>
      <c r="K68" s="13"/>
      <c r="L68" s="13"/>
      <c r="M68" s="14"/>
      <c r="N68" s="13"/>
      <c r="O68" s="13"/>
    </row>
    <row r="69" spans="1:15" ht="19.5" customHeight="1" x14ac:dyDescent="0.25">
      <c r="A69" s="11" t="s">
        <v>8627</v>
      </c>
      <c r="B69" s="11"/>
      <c r="C69" s="11" t="s">
        <v>8641</v>
      </c>
      <c r="D69" s="11" t="s">
        <v>1883</v>
      </c>
      <c r="E69" s="11"/>
      <c r="F69" s="11"/>
      <c r="G69" s="11" t="s">
        <v>8627</v>
      </c>
      <c r="H69" s="11"/>
      <c r="I69" s="11"/>
      <c r="J69" s="11"/>
      <c r="K69" s="11"/>
      <c r="L69" s="11"/>
      <c r="M69" s="12"/>
      <c r="N69" s="11"/>
      <c r="O69" s="11"/>
    </row>
    <row r="70" spans="1:15" ht="19.5" customHeight="1" x14ac:dyDescent="0.25">
      <c r="A70" s="13" t="s">
        <v>8627</v>
      </c>
      <c r="B70" s="13"/>
      <c r="C70" s="13" t="s">
        <v>8640</v>
      </c>
      <c r="D70" s="13" t="s">
        <v>1883</v>
      </c>
      <c r="E70" s="13"/>
      <c r="F70" s="13"/>
      <c r="G70" s="13" t="s">
        <v>8627</v>
      </c>
      <c r="H70" s="13"/>
      <c r="I70" s="13"/>
      <c r="J70" s="13"/>
      <c r="K70" s="13"/>
      <c r="L70" s="13"/>
      <c r="M70" s="14"/>
      <c r="N70" s="13"/>
      <c r="O70" s="13"/>
    </row>
    <row r="71" spans="1:15" ht="19.5" customHeight="1" x14ac:dyDescent="0.25">
      <c r="A71" s="11" t="s">
        <v>8627</v>
      </c>
      <c r="B71" s="11"/>
      <c r="C71" s="11" t="s">
        <v>8639</v>
      </c>
      <c r="D71" s="11" t="s">
        <v>1883</v>
      </c>
      <c r="E71" s="11"/>
      <c r="F71" s="11"/>
      <c r="G71" s="11" t="s">
        <v>8627</v>
      </c>
      <c r="H71" s="11"/>
      <c r="I71" s="11"/>
      <c r="J71" s="11"/>
      <c r="K71" s="11"/>
      <c r="L71" s="11"/>
      <c r="M71" s="12"/>
      <c r="N71" s="11"/>
      <c r="O71" s="11"/>
    </row>
    <row r="72" spans="1:15" ht="19.5" customHeight="1" x14ac:dyDescent="0.25">
      <c r="A72" s="13" t="s">
        <v>8627</v>
      </c>
      <c r="B72" s="13"/>
      <c r="C72" s="13" t="s">
        <v>8638</v>
      </c>
      <c r="D72" s="13" t="s">
        <v>1883</v>
      </c>
      <c r="E72" s="13"/>
      <c r="F72" s="13"/>
      <c r="G72" s="13" t="s">
        <v>8627</v>
      </c>
      <c r="H72" s="13"/>
      <c r="I72" s="13"/>
      <c r="J72" s="13"/>
      <c r="K72" s="13"/>
      <c r="L72" s="13"/>
      <c r="M72" s="14"/>
      <c r="N72" s="13"/>
      <c r="O72" s="13"/>
    </row>
    <row r="73" spans="1:15" ht="19.5" customHeight="1" x14ac:dyDescent="0.25">
      <c r="A73" s="11" t="s">
        <v>8627</v>
      </c>
      <c r="B73" s="11"/>
      <c r="C73" s="11" t="s">
        <v>8637</v>
      </c>
      <c r="D73" s="11" t="s">
        <v>1883</v>
      </c>
      <c r="E73" s="11"/>
      <c r="F73" s="11"/>
      <c r="G73" s="11" t="s">
        <v>8627</v>
      </c>
      <c r="H73" s="11"/>
      <c r="I73" s="11"/>
      <c r="J73" s="11"/>
      <c r="K73" s="11"/>
      <c r="L73" s="11"/>
      <c r="M73" s="12"/>
      <c r="N73" s="11"/>
      <c r="O73" s="11"/>
    </row>
    <row r="74" spans="1:15" ht="19.5" customHeight="1" x14ac:dyDescent="0.25">
      <c r="A74" s="13" t="s">
        <v>8627</v>
      </c>
      <c r="B74" s="13"/>
      <c r="C74" s="13" t="s">
        <v>8636</v>
      </c>
      <c r="D74" s="13" t="s">
        <v>1883</v>
      </c>
      <c r="E74" s="13"/>
      <c r="F74" s="13"/>
      <c r="G74" s="13" t="s">
        <v>8627</v>
      </c>
      <c r="H74" s="13"/>
      <c r="I74" s="13"/>
      <c r="J74" s="13"/>
      <c r="K74" s="13"/>
      <c r="L74" s="13"/>
      <c r="M74" s="14"/>
      <c r="N74" s="13"/>
      <c r="O74" s="13"/>
    </row>
    <row r="75" spans="1:15" ht="19.5" customHeight="1" x14ac:dyDescent="0.25">
      <c r="A75" s="11" t="s">
        <v>8627</v>
      </c>
      <c r="B75" s="11"/>
      <c r="C75" s="11" t="s">
        <v>8635</v>
      </c>
      <c r="D75" s="11" t="s">
        <v>1883</v>
      </c>
      <c r="E75" s="11"/>
      <c r="F75" s="11"/>
      <c r="G75" s="11" t="s">
        <v>8627</v>
      </c>
      <c r="H75" s="11"/>
      <c r="I75" s="11"/>
      <c r="J75" s="11"/>
      <c r="K75" s="11"/>
      <c r="L75" s="11"/>
      <c r="M75" s="12"/>
      <c r="N75" s="11"/>
      <c r="O75" s="11"/>
    </row>
    <row r="76" spans="1:15" ht="19.5" customHeight="1" x14ac:dyDescent="0.25">
      <c r="A76" s="13" t="s">
        <v>8627</v>
      </c>
      <c r="B76" s="13"/>
      <c r="C76" s="13" t="s">
        <v>8634</v>
      </c>
      <c r="D76" s="13" t="s">
        <v>1883</v>
      </c>
      <c r="E76" s="13"/>
      <c r="F76" s="13"/>
      <c r="G76" s="13" t="s">
        <v>8627</v>
      </c>
      <c r="H76" s="13"/>
      <c r="I76" s="13"/>
      <c r="J76" s="13"/>
      <c r="K76" s="13"/>
      <c r="L76" s="13"/>
      <c r="M76" s="14"/>
      <c r="N76" s="13"/>
      <c r="O76" s="13"/>
    </row>
    <row r="77" spans="1:15" ht="19.5" customHeight="1" x14ac:dyDescent="0.25">
      <c r="A77" s="11" t="s">
        <v>8627</v>
      </c>
      <c r="B77" s="11"/>
      <c r="C77" s="11" t="s">
        <v>8633</v>
      </c>
      <c r="D77" s="11" t="s">
        <v>1883</v>
      </c>
      <c r="E77" s="11"/>
      <c r="F77" s="11"/>
      <c r="G77" s="11" t="s">
        <v>8627</v>
      </c>
      <c r="H77" s="11"/>
      <c r="I77" s="11"/>
      <c r="J77" s="11"/>
      <c r="K77" s="11"/>
      <c r="L77" s="11"/>
      <c r="M77" s="12"/>
      <c r="N77" s="11"/>
      <c r="O77" s="11"/>
    </row>
    <row r="78" spans="1:15" ht="19.5" customHeight="1" x14ac:dyDescent="0.25">
      <c r="A78" s="13" t="s">
        <v>8627</v>
      </c>
      <c r="B78" s="13"/>
      <c r="C78" s="13" t="s">
        <v>8632</v>
      </c>
      <c r="D78" s="13" t="s">
        <v>1883</v>
      </c>
      <c r="E78" s="13"/>
      <c r="F78" s="13"/>
      <c r="G78" s="13" t="s">
        <v>8627</v>
      </c>
      <c r="H78" s="13"/>
      <c r="I78" s="13"/>
      <c r="J78" s="13"/>
      <c r="K78" s="13"/>
      <c r="L78" s="13"/>
      <c r="M78" s="14"/>
      <c r="N78" s="13"/>
      <c r="O78" s="13"/>
    </row>
    <row r="79" spans="1:15" ht="19.5" customHeight="1" x14ac:dyDescent="0.25">
      <c r="A79" s="11" t="s">
        <v>8627</v>
      </c>
      <c r="B79" s="11"/>
      <c r="C79" s="11" t="s">
        <v>8631</v>
      </c>
      <c r="D79" s="11" t="s">
        <v>1883</v>
      </c>
      <c r="E79" s="11"/>
      <c r="F79" s="11"/>
      <c r="G79" s="11" t="s">
        <v>8627</v>
      </c>
      <c r="H79" s="11"/>
      <c r="I79" s="11"/>
      <c r="J79" s="11"/>
      <c r="K79" s="11"/>
      <c r="L79" s="11"/>
      <c r="M79" s="12"/>
      <c r="N79" s="11"/>
      <c r="O79" s="11"/>
    </row>
    <row r="80" spans="1:15" ht="19.5" customHeight="1" x14ac:dyDescent="0.25">
      <c r="A80" s="13" t="s">
        <v>8627</v>
      </c>
      <c r="B80" s="13"/>
      <c r="C80" s="13" t="s">
        <v>8630</v>
      </c>
      <c r="D80" s="13" t="s">
        <v>1883</v>
      </c>
      <c r="E80" s="13"/>
      <c r="F80" s="13"/>
      <c r="G80" s="13" t="s">
        <v>8627</v>
      </c>
      <c r="H80" s="13"/>
      <c r="I80" s="13"/>
      <c r="J80" s="13"/>
      <c r="K80" s="13"/>
      <c r="L80" s="13"/>
      <c r="M80" s="14"/>
      <c r="N80" s="13"/>
      <c r="O80" s="13"/>
    </row>
    <row r="81" spans="1:15" ht="19.5" customHeight="1" x14ac:dyDescent="0.25">
      <c r="A81" s="11" t="s">
        <v>8627</v>
      </c>
      <c r="B81" s="11"/>
      <c r="C81" s="11" t="s">
        <v>8629</v>
      </c>
      <c r="D81" s="11" t="s">
        <v>1883</v>
      </c>
      <c r="E81" s="11"/>
      <c r="F81" s="11"/>
      <c r="G81" s="11" t="s">
        <v>8627</v>
      </c>
      <c r="H81" s="11"/>
      <c r="I81" s="11"/>
      <c r="J81" s="11"/>
      <c r="K81" s="11"/>
      <c r="L81" s="11"/>
      <c r="M81" s="12"/>
      <c r="N81" s="11"/>
      <c r="O81" s="11"/>
    </row>
    <row r="82" spans="1:15" ht="19.5" customHeight="1" x14ac:dyDescent="0.25">
      <c r="A82" s="13" t="s">
        <v>8627</v>
      </c>
      <c r="B82" s="13"/>
      <c r="C82" s="13" t="s">
        <v>8628</v>
      </c>
      <c r="D82" s="13" t="s">
        <v>1883</v>
      </c>
      <c r="E82" s="13"/>
      <c r="F82" s="13"/>
      <c r="G82" s="13" t="s">
        <v>8627</v>
      </c>
      <c r="H82" s="13"/>
      <c r="I82" s="13"/>
      <c r="J82" s="13"/>
      <c r="K82" s="13"/>
      <c r="L82" s="13"/>
      <c r="M82" s="14"/>
      <c r="N82" s="13"/>
      <c r="O82" s="13"/>
    </row>
    <row r="83" spans="1:15" ht="19.5" customHeight="1" x14ac:dyDescent="0.25">
      <c r="A83" s="11" t="s">
        <v>23</v>
      </c>
      <c r="B83" s="11"/>
      <c r="C83" s="11" t="s">
        <v>8626</v>
      </c>
      <c r="D83" s="11" t="s">
        <v>1883</v>
      </c>
      <c r="E83" s="11" t="s">
        <v>8625</v>
      </c>
      <c r="F83" s="11"/>
      <c r="G83" s="11" t="s">
        <v>23</v>
      </c>
      <c r="H83" s="11"/>
      <c r="I83" s="11" t="s">
        <v>8624</v>
      </c>
      <c r="J83" s="11" t="s">
        <v>8623</v>
      </c>
      <c r="K83" s="11" t="s">
        <v>8622</v>
      </c>
      <c r="L83" s="11"/>
      <c r="M83" s="12"/>
      <c r="N83" s="11"/>
      <c r="O83" s="11" t="s">
        <v>1877</v>
      </c>
    </row>
    <row r="84" spans="1:15" ht="19.5" customHeight="1" x14ac:dyDescent="0.25">
      <c r="A84" s="13" t="s">
        <v>25</v>
      </c>
      <c r="B84" s="13"/>
      <c r="C84" s="13" t="s">
        <v>8621</v>
      </c>
      <c r="D84" s="13" t="s">
        <v>1883</v>
      </c>
      <c r="E84" s="13" t="s">
        <v>8620</v>
      </c>
      <c r="F84" s="13" t="s">
        <v>8619</v>
      </c>
      <c r="G84" s="13" t="s">
        <v>25</v>
      </c>
      <c r="H84" s="13"/>
      <c r="I84" s="13" t="s">
        <v>8618</v>
      </c>
      <c r="J84" s="13" t="s">
        <v>8617</v>
      </c>
      <c r="K84" s="13" t="s">
        <v>2033</v>
      </c>
      <c r="L84" s="13"/>
      <c r="M84" s="14"/>
      <c r="N84" s="13"/>
      <c r="O84" s="13" t="s">
        <v>2028</v>
      </c>
    </row>
    <row r="85" spans="1:15" ht="19.5" customHeight="1" x14ac:dyDescent="0.25">
      <c r="A85" s="11" t="s">
        <v>8615</v>
      </c>
      <c r="B85" s="11"/>
      <c r="C85" s="11" t="s">
        <v>8616</v>
      </c>
      <c r="D85" s="11" t="s">
        <v>1883</v>
      </c>
      <c r="E85" s="11" t="s">
        <v>1952</v>
      </c>
      <c r="F85" s="11"/>
      <c r="G85" s="11" t="s">
        <v>8615</v>
      </c>
      <c r="H85" s="11"/>
      <c r="I85" s="11"/>
      <c r="J85" s="11"/>
      <c r="K85" s="11" t="s">
        <v>1952</v>
      </c>
      <c r="L85" s="11"/>
      <c r="M85" s="12"/>
      <c r="N85" s="11"/>
      <c r="O85" s="11" t="s">
        <v>1951</v>
      </c>
    </row>
    <row r="86" spans="1:15" ht="19.5" customHeight="1" x14ac:dyDescent="0.25">
      <c r="A86" s="13" t="s">
        <v>8605</v>
      </c>
      <c r="B86" s="13"/>
      <c r="C86" s="13" t="s">
        <v>8614</v>
      </c>
      <c r="D86" s="13" t="s">
        <v>1883</v>
      </c>
      <c r="E86" s="13"/>
      <c r="F86" s="13"/>
      <c r="G86" s="13" t="s">
        <v>8605</v>
      </c>
      <c r="H86" s="13"/>
      <c r="I86" s="13"/>
      <c r="J86" s="13"/>
      <c r="K86" s="13"/>
      <c r="L86" s="13"/>
      <c r="M86" s="14"/>
      <c r="N86" s="13"/>
      <c r="O86" s="13"/>
    </row>
    <row r="87" spans="1:15" ht="19.5" customHeight="1" x14ac:dyDescent="0.25">
      <c r="A87" s="11" t="s">
        <v>8605</v>
      </c>
      <c r="B87" s="11"/>
      <c r="C87" s="11" t="s">
        <v>8613</v>
      </c>
      <c r="D87" s="11" t="s">
        <v>1883</v>
      </c>
      <c r="E87" s="11"/>
      <c r="F87" s="11"/>
      <c r="G87" s="11" t="s">
        <v>8605</v>
      </c>
      <c r="H87" s="11"/>
      <c r="I87" s="11"/>
      <c r="J87" s="11"/>
      <c r="K87" s="11"/>
      <c r="L87" s="11"/>
      <c r="M87" s="12"/>
      <c r="N87" s="11"/>
      <c r="O87" s="11"/>
    </row>
    <row r="88" spans="1:15" ht="19.5" customHeight="1" x14ac:dyDescent="0.25">
      <c r="A88" s="13" t="s">
        <v>8605</v>
      </c>
      <c r="B88" s="13"/>
      <c r="C88" s="13" t="s">
        <v>8612</v>
      </c>
      <c r="D88" s="13" t="s">
        <v>1883</v>
      </c>
      <c r="E88" s="13"/>
      <c r="F88" s="13"/>
      <c r="G88" s="13" t="s">
        <v>8605</v>
      </c>
      <c r="H88" s="13"/>
      <c r="I88" s="13"/>
      <c r="J88" s="13"/>
      <c r="K88" s="13"/>
      <c r="L88" s="13"/>
      <c r="M88" s="14"/>
      <c r="N88" s="13"/>
      <c r="O88" s="13"/>
    </row>
    <row r="89" spans="1:15" ht="19.5" customHeight="1" x14ac:dyDescent="0.25">
      <c r="A89" s="11" t="s">
        <v>8605</v>
      </c>
      <c r="B89" s="11"/>
      <c r="C89" s="11" t="s">
        <v>8611</v>
      </c>
      <c r="D89" s="11" t="s">
        <v>1883</v>
      </c>
      <c r="E89" s="11"/>
      <c r="F89" s="11"/>
      <c r="G89" s="11" t="s">
        <v>8605</v>
      </c>
      <c r="H89" s="11"/>
      <c r="I89" s="11"/>
      <c r="J89" s="11"/>
      <c r="K89" s="11"/>
      <c r="L89" s="11"/>
      <c r="M89" s="12"/>
      <c r="N89" s="11"/>
      <c r="O89" s="11"/>
    </row>
    <row r="90" spans="1:15" ht="19.5" customHeight="1" x14ac:dyDescent="0.25">
      <c r="A90" s="13" t="s">
        <v>8605</v>
      </c>
      <c r="B90" s="13"/>
      <c r="C90" s="13" t="s">
        <v>8610</v>
      </c>
      <c r="D90" s="13" t="s">
        <v>1883</v>
      </c>
      <c r="E90" s="13"/>
      <c r="F90" s="13"/>
      <c r="G90" s="13" t="s">
        <v>8605</v>
      </c>
      <c r="H90" s="13"/>
      <c r="I90" s="13"/>
      <c r="J90" s="13"/>
      <c r="K90" s="13"/>
      <c r="L90" s="13"/>
      <c r="M90" s="14"/>
      <c r="N90" s="13"/>
      <c r="O90" s="13"/>
    </row>
    <row r="91" spans="1:15" ht="19.5" customHeight="1" x14ac:dyDescent="0.25">
      <c r="A91" s="11" t="s">
        <v>8605</v>
      </c>
      <c r="B91" s="11"/>
      <c r="C91" s="11" t="s">
        <v>8609</v>
      </c>
      <c r="D91" s="11" t="s">
        <v>1883</v>
      </c>
      <c r="E91" s="11"/>
      <c r="F91" s="11"/>
      <c r="G91" s="11" t="s">
        <v>8605</v>
      </c>
      <c r="H91" s="11"/>
      <c r="I91" s="11"/>
      <c r="J91" s="11"/>
      <c r="K91" s="11"/>
      <c r="L91" s="11"/>
      <c r="M91" s="12"/>
      <c r="N91" s="11"/>
      <c r="O91" s="11"/>
    </row>
    <row r="92" spans="1:15" ht="19.5" customHeight="1" x14ac:dyDescent="0.25">
      <c r="A92" s="13" t="s">
        <v>8605</v>
      </c>
      <c r="B92" s="13"/>
      <c r="C92" s="13" t="s">
        <v>8608</v>
      </c>
      <c r="D92" s="13" t="s">
        <v>1883</v>
      </c>
      <c r="E92" s="13"/>
      <c r="F92" s="13"/>
      <c r="G92" s="13" t="s">
        <v>8605</v>
      </c>
      <c r="H92" s="13"/>
      <c r="I92" s="13"/>
      <c r="J92" s="13"/>
      <c r="K92" s="13"/>
      <c r="L92" s="13"/>
      <c r="M92" s="14"/>
      <c r="N92" s="13"/>
      <c r="O92" s="13"/>
    </row>
    <row r="93" spans="1:15" ht="19.5" customHeight="1" x14ac:dyDescent="0.25">
      <c r="A93" s="11" t="s">
        <v>8605</v>
      </c>
      <c r="B93" s="11"/>
      <c r="C93" s="11" t="s">
        <v>8607</v>
      </c>
      <c r="D93" s="11" t="s">
        <v>1883</v>
      </c>
      <c r="E93" s="11"/>
      <c r="F93" s="11"/>
      <c r="G93" s="11" t="s">
        <v>8605</v>
      </c>
      <c r="H93" s="11"/>
      <c r="I93" s="11"/>
      <c r="J93" s="11"/>
      <c r="K93" s="11"/>
      <c r="L93" s="11"/>
      <c r="M93" s="12"/>
      <c r="N93" s="11"/>
      <c r="O93" s="11"/>
    </row>
    <row r="94" spans="1:15" ht="19.5" customHeight="1" x14ac:dyDescent="0.25">
      <c r="A94" s="13" t="s">
        <v>8605</v>
      </c>
      <c r="B94" s="13"/>
      <c r="C94" s="13" t="s">
        <v>8606</v>
      </c>
      <c r="D94" s="13" t="s">
        <v>1883</v>
      </c>
      <c r="E94" s="13"/>
      <c r="F94" s="13"/>
      <c r="G94" s="13" t="s">
        <v>8605</v>
      </c>
      <c r="H94" s="13"/>
      <c r="I94" s="13"/>
      <c r="J94" s="13"/>
      <c r="K94" s="13"/>
      <c r="L94" s="13"/>
      <c r="M94" s="14"/>
      <c r="N94" s="13"/>
      <c r="O94" s="13"/>
    </row>
    <row r="95" spans="1:15" ht="19.5" customHeight="1" x14ac:dyDescent="0.25">
      <c r="A95" s="11" t="s">
        <v>8603</v>
      </c>
      <c r="B95" s="11"/>
      <c r="C95" s="11" t="s">
        <v>8604</v>
      </c>
      <c r="D95" s="11" t="s">
        <v>1883</v>
      </c>
      <c r="E95" s="11"/>
      <c r="F95" s="11"/>
      <c r="G95" s="11" t="s">
        <v>8603</v>
      </c>
      <c r="H95" s="11"/>
      <c r="I95" s="11"/>
      <c r="J95" s="11"/>
      <c r="K95" s="11"/>
      <c r="L95" s="11"/>
      <c r="M95" s="12"/>
      <c r="N95" s="11"/>
      <c r="O95" s="11"/>
    </row>
    <row r="96" spans="1:15" ht="19.5" customHeight="1" x14ac:dyDescent="0.25">
      <c r="A96" s="13" t="s">
        <v>2495</v>
      </c>
      <c r="B96" s="13"/>
      <c r="C96" s="13" t="s">
        <v>8602</v>
      </c>
      <c r="D96" s="13" t="s">
        <v>1883</v>
      </c>
      <c r="E96" s="13"/>
      <c r="F96" s="13"/>
      <c r="G96" s="13" t="s">
        <v>2495</v>
      </c>
      <c r="H96" s="13"/>
      <c r="I96" s="13"/>
      <c r="J96" s="13"/>
      <c r="K96" s="13"/>
      <c r="L96" s="13"/>
      <c r="M96" s="14"/>
      <c r="N96" s="13"/>
      <c r="O96" s="13"/>
    </row>
    <row r="97" spans="1:15" ht="19.5" customHeight="1" x14ac:dyDescent="0.25">
      <c r="A97" s="11" t="s">
        <v>2495</v>
      </c>
      <c r="B97" s="11"/>
      <c r="C97" s="11" t="s">
        <v>8601</v>
      </c>
      <c r="D97" s="11" t="s">
        <v>1883</v>
      </c>
      <c r="E97" s="11"/>
      <c r="F97" s="11"/>
      <c r="G97" s="11" t="s">
        <v>2495</v>
      </c>
      <c r="H97" s="11"/>
      <c r="I97" s="11"/>
      <c r="J97" s="11"/>
      <c r="K97" s="11"/>
      <c r="L97" s="11"/>
      <c r="M97" s="12"/>
      <c r="N97" s="11"/>
      <c r="O97" s="11"/>
    </row>
    <row r="98" spans="1:15" ht="19.5" customHeight="1" x14ac:dyDescent="0.25">
      <c r="A98" s="13" t="s">
        <v>3854</v>
      </c>
      <c r="B98" s="13"/>
      <c r="C98" s="13" t="s">
        <v>8600</v>
      </c>
      <c r="D98" s="13" t="s">
        <v>1883</v>
      </c>
      <c r="E98" s="13"/>
      <c r="F98" s="13"/>
      <c r="G98" s="13" t="s">
        <v>3854</v>
      </c>
      <c r="H98" s="13"/>
      <c r="I98" s="13"/>
      <c r="J98" s="13"/>
      <c r="K98" s="13"/>
      <c r="L98" s="13"/>
      <c r="M98" s="14"/>
      <c r="N98" s="13"/>
      <c r="O98" s="13"/>
    </row>
    <row r="99" spans="1:15" ht="19.5" customHeight="1" x14ac:dyDescent="0.25">
      <c r="A99" s="11" t="s">
        <v>8598</v>
      </c>
      <c r="B99" s="11"/>
      <c r="C99" s="11" t="s">
        <v>8599</v>
      </c>
      <c r="D99" s="11" t="s">
        <v>1883</v>
      </c>
      <c r="E99" s="11"/>
      <c r="F99" s="11"/>
      <c r="G99" s="11" t="s">
        <v>8598</v>
      </c>
      <c r="H99" s="11"/>
      <c r="I99" s="11"/>
      <c r="J99" s="11"/>
      <c r="K99" s="11"/>
      <c r="L99" s="11"/>
      <c r="M99" s="12"/>
      <c r="N99" s="11"/>
      <c r="O99" s="11"/>
    </row>
    <row r="100" spans="1:15" ht="19.5" customHeight="1" x14ac:dyDescent="0.25">
      <c r="A100" s="13" t="s">
        <v>8588</v>
      </c>
      <c r="B100" s="13"/>
      <c r="C100" s="13" t="s">
        <v>8597</v>
      </c>
      <c r="D100" s="13" t="s">
        <v>1883</v>
      </c>
      <c r="E100" s="13"/>
      <c r="F100" s="13"/>
      <c r="G100" s="13" t="s">
        <v>8588</v>
      </c>
      <c r="H100" s="13"/>
      <c r="I100" s="13"/>
      <c r="J100" s="13"/>
      <c r="K100" s="13"/>
      <c r="L100" s="13"/>
      <c r="M100" s="14"/>
      <c r="N100" s="13"/>
      <c r="O100" s="13"/>
    </row>
    <row r="101" spans="1:15" ht="19.5" customHeight="1" x14ac:dyDescent="0.25">
      <c r="A101" s="11" t="s">
        <v>8588</v>
      </c>
      <c r="B101" s="11"/>
      <c r="C101" s="11" t="s">
        <v>8596</v>
      </c>
      <c r="D101" s="11" t="s">
        <v>1883</v>
      </c>
      <c r="E101" s="11"/>
      <c r="F101" s="11"/>
      <c r="G101" s="11" t="s">
        <v>8588</v>
      </c>
      <c r="H101" s="11"/>
      <c r="I101" s="11"/>
      <c r="J101" s="11"/>
      <c r="K101" s="11"/>
      <c r="L101" s="11"/>
      <c r="M101" s="12"/>
      <c r="N101" s="11"/>
      <c r="O101" s="11"/>
    </row>
    <row r="102" spans="1:15" ht="19.5" customHeight="1" x14ac:dyDescent="0.25">
      <c r="A102" s="13" t="s">
        <v>8588</v>
      </c>
      <c r="B102" s="13"/>
      <c r="C102" s="13" t="s">
        <v>8595</v>
      </c>
      <c r="D102" s="13" t="s">
        <v>1883</v>
      </c>
      <c r="E102" s="13"/>
      <c r="F102" s="13"/>
      <c r="G102" s="13" t="s">
        <v>8588</v>
      </c>
      <c r="H102" s="13"/>
      <c r="I102" s="13"/>
      <c r="J102" s="13"/>
      <c r="K102" s="13"/>
      <c r="L102" s="13"/>
      <c r="M102" s="14"/>
      <c r="N102" s="13"/>
      <c r="O102" s="13"/>
    </row>
    <row r="103" spans="1:15" ht="19.5" customHeight="1" x14ac:dyDescent="0.25">
      <c r="A103" s="11" t="s">
        <v>8588</v>
      </c>
      <c r="B103" s="11"/>
      <c r="C103" s="11" t="s">
        <v>8594</v>
      </c>
      <c r="D103" s="11" t="s">
        <v>1883</v>
      </c>
      <c r="E103" s="11"/>
      <c r="F103" s="11"/>
      <c r="G103" s="11" t="s">
        <v>8588</v>
      </c>
      <c r="H103" s="11"/>
      <c r="I103" s="11"/>
      <c r="J103" s="11"/>
      <c r="K103" s="11"/>
      <c r="L103" s="11"/>
      <c r="M103" s="12"/>
      <c r="N103" s="11"/>
      <c r="O103" s="11"/>
    </row>
    <row r="104" spans="1:15" ht="19.5" customHeight="1" x14ac:dyDescent="0.25">
      <c r="A104" s="13" t="s">
        <v>8588</v>
      </c>
      <c r="B104" s="13"/>
      <c r="C104" s="13" t="s">
        <v>8593</v>
      </c>
      <c r="D104" s="13" t="s">
        <v>1883</v>
      </c>
      <c r="E104" s="13"/>
      <c r="F104" s="13"/>
      <c r="G104" s="13" t="s">
        <v>8588</v>
      </c>
      <c r="H104" s="13"/>
      <c r="I104" s="13"/>
      <c r="J104" s="13"/>
      <c r="K104" s="13"/>
      <c r="L104" s="13"/>
      <c r="M104" s="14"/>
      <c r="N104" s="13"/>
      <c r="O104" s="13"/>
    </row>
    <row r="105" spans="1:15" ht="19.5" customHeight="1" x14ac:dyDescent="0.25">
      <c r="A105" s="11" t="s">
        <v>8588</v>
      </c>
      <c r="B105" s="11"/>
      <c r="C105" s="11" t="s">
        <v>8592</v>
      </c>
      <c r="D105" s="11" t="s">
        <v>1883</v>
      </c>
      <c r="E105" s="11"/>
      <c r="F105" s="11"/>
      <c r="G105" s="11" t="s">
        <v>8588</v>
      </c>
      <c r="H105" s="11"/>
      <c r="I105" s="11"/>
      <c r="J105" s="11"/>
      <c r="K105" s="11"/>
      <c r="L105" s="11"/>
      <c r="M105" s="12"/>
      <c r="N105" s="11"/>
      <c r="O105" s="11"/>
    </row>
    <row r="106" spans="1:15" ht="19.5" customHeight="1" x14ac:dyDescent="0.25">
      <c r="A106" s="13" t="s">
        <v>8588</v>
      </c>
      <c r="B106" s="13"/>
      <c r="C106" s="13" t="s">
        <v>8591</v>
      </c>
      <c r="D106" s="13" t="s">
        <v>1883</v>
      </c>
      <c r="E106" s="13"/>
      <c r="F106" s="13"/>
      <c r="G106" s="13" t="s">
        <v>8588</v>
      </c>
      <c r="H106" s="13"/>
      <c r="I106" s="13"/>
      <c r="J106" s="13"/>
      <c r="K106" s="13"/>
      <c r="L106" s="13"/>
      <c r="M106" s="14"/>
      <c r="N106" s="13"/>
      <c r="O106" s="13"/>
    </row>
    <row r="107" spans="1:15" ht="19.5" customHeight="1" x14ac:dyDescent="0.25">
      <c r="A107" s="11" t="s">
        <v>8588</v>
      </c>
      <c r="B107" s="11"/>
      <c r="C107" s="11" t="s">
        <v>8590</v>
      </c>
      <c r="D107" s="11" t="s">
        <v>1883</v>
      </c>
      <c r="E107" s="11"/>
      <c r="F107" s="11"/>
      <c r="G107" s="11" t="s">
        <v>8588</v>
      </c>
      <c r="H107" s="11"/>
      <c r="I107" s="11"/>
      <c r="J107" s="11"/>
      <c r="K107" s="11"/>
      <c r="L107" s="11"/>
      <c r="M107" s="12"/>
      <c r="N107" s="11"/>
      <c r="O107" s="11"/>
    </row>
    <row r="108" spans="1:15" ht="19.5" customHeight="1" x14ac:dyDescent="0.25">
      <c r="A108" s="13" t="s">
        <v>8588</v>
      </c>
      <c r="B108" s="13"/>
      <c r="C108" s="13" t="s">
        <v>8589</v>
      </c>
      <c r="D108" s="13" t="s">
        <v>1883</v>
      </c>
      <c r="E108" s="13"/>
      <c r="F108" s="13"/>
      <c r="G108" s="13" t="s">
        <v>8588</v>
      </c>
      <c r="H108" s="13"/>
      <c r="I108" s="13"/>
      <c r="J108" s="13"/>
      <c r="K108" s="13"/>
      <c r="L108" s="13"/>
      <c r="M108" s="14"/>
      <c r="N108" s="13"/>
      <c r="O108" s="13"/>
    </row>
    <row r="109" spans="1:15" ht="19.5" customHeight="1" x14ac:dyDescent="0.25">
      <c r="A109" s="11" t="s">
        <v>8585</v>
      </c>
      <c r="B109" s="11"/>
      <c r="C109" s="11" t="s">
        <v>8587</v>
      </c>
      <c r="D109" s="11" t="s">
        <v>1883</v>
      </c>
      <c r="E109" s="11" t="s">
        <v>8586</v>
      </c>
      <c r="F109" s="11"/>
      <c r="G109" s="11" t="s">
        <v>8585</v>
      </c>
      <c r="H109" s="11"/>
      <c r="I109" s="11"/>
      <c r="J109" s="11"/>
      <c r="K109" s="11"/>
      <c r="L109" s="11"/>
      <c r="M109" s="12"/>
      <c r="N109" s="11"/>
      <c r="O109" s="11" t="s">
        <v>1916</v>
      </c>
    </row>
    <row r="110" spans="1:15" ht="19.5" customHeight="1" x14ac:dyDescent="0.25">
      <c r="A110" s="13" t="s">
        <v>8583</v>
      </c>
      <c r="B110" s="13"/>
      <c r="C110" s="13" t="s">
        <v>8584</v>
      </c>
      <c r="D110" s="13" t="s">
        <v>1883</v>
      </c>
      <c r="E110" s="13"/>
      <c r="F110" s="13"/>
      <c r="G110" s="13" t="s">
        <v>8583</v>
      </c>
      <c r="H110" s="13"/>
      <c r="I110" s="13"/>
      <c r="J110" s="13"/>
      <c r="K110" s="13"/>
      <c r="L110" s="13"/>
      <c r="M110" s="14"/>
      <c r="N110" s="13"/>
      <c r="O110" s="13"/>
    </row>
    <row r="111" spans="1:15" ht="19.5" customHeight="1" x14ac:dyDescent="0.25">
      <c r="A111" s="11" t="s">
        <v>8581</v>
      </c>
      <c r="B111" s="11"/>
      <c r="C111" s="11" t="s">
        <v>8582</v>
      </c>
      <c r="D111" s="11" t="s">
        <v>1883</v>
      </c>
      <c r="E111" s="11"/>
      <c r="F111" s="11"/>
      <c r="G111" s="11" t="s">
        <v>8581</v>
      </c>
      <c r="H111" s="11"/>
      <c r="I111" s="11"/>
      <c r="J111" s="11"/>
      <c r="K111" s="11"/>
      <c r="L111" s="11"/>
      <c r="M111" s="12"/>
      <c r="N111" s="11"/>
      <c r="O111" s="11"/>
    </row>
    <row r="112" spans="1:15" ht="19.5" customHeight="1" x14ac:dyDescent="0.25">
      <c r="A112" s="13" t="s">
        <v>8579</v>
      </c>
      <c r="B112" s="13"/>
      <c r="C112" s="13" t="s">
        <v>8580</v>
      </c>
      <c r="D112" s="13" t="s">
        <v>1883</v>
      </c>
      <c r="E112" s="13"/>
      <c r="F112" s="13"/>
      <c r="G112" s="13" t="s">
        <v>8579</v>
      </c>
      <c r="H112" s="13"/>
      <c r="I112" s="13"/>
      <c r="J112" s="13"/>
      <c r="K112" s="13"/>
      <c r="L112" s="13"/>
      <c r="M112" s="14"/>
      <c r="N112" s="13"/>
      <c r="O112" s="13"/>
    </row>
    <row r="113" spans="1:15" ht="19.5" customHeight="1" x14ac:dyDescent="0.25">
      <c r="A113" s="11" t="s">
        <v>27</v>
      </c>
      <c r="B113" s="11"/>
      <c r="C113" s="11" t="s">
        <v>8578</v>
      </c>
      <c r="D113" s="11" t="s">
        <v>1883</v>
      </c>
      <c r="E113" s="11" t="s">
        <v>8577</v>
      </c>
      <c r="F113" s="11" t="s">
        <v>8576</v>
      </c>
      <c r="G113" s="11" t="s">
        <v>27</v>
      </c>
      <c r="H113" s="11"/>
      <c r="I113" s="11" t="s">
        <v>8575</v>
      </c>
      <c r="J113" s="11" t="s">
        <v>8574</v>
      </c>
      <c r="K113" s="11" t="s">
        <v>1952</v>
      </c>
      <c r="L113" s="11"/>
      <c r="M113" s="12"/>
      <c r="N113" s="11"/>
      <c r="O113" s="11" t="s">
        <v>2028</v>
      </c>
    </row>
    <row r="114" spans="1:15" ht="19.5" customHeight="1" x14ac:dyDescent="0.25">
      <c r="A114" s="13" t="s">
        <v>8569</v>
      </c>
      <c r="B114" s="13"/>
      <c r="C114" s="13" t="s">
        <v>8573</v>
      </c>
      <c r="D114" s="13" t="s">
        <v>1883</v>
      </c>
      <c r="E114" s="13" t="s">
        <v>8572</v>
      </c>
      <c r="F114" s="13"/>
      <c r="G114" s="13" t="s">
        <v>8569</v>
      </c>
      <c r="H114" s="13"/>
      <c r="I114" s="13"/>
      <c r="J114" s="13"/>
      <c r="K114" s="13" t="s">
        <v>1952</v>
      </c>
      <c r="L114" s="13"/>
      <c r="M114" s="14"/>
      <c r="N114" s="13"/>
      <c r="O114" s="13" t="s">
        <v>1951</v>
      </c>
    </row>
    <row r="115" spans="1:15" ht="19.5" customHeight="1" x14ac:dyDescent="0.25">
      <c r="A115" s="11" t="s">
        <v>8569</v>
      </c>
      <c r="B115" s="11"/>
      <c r="C115" s="11" t="s">
        <v>8571</v>
      </c>
      <c r="D115" s="11" t="s">
        <v>1883</v>
      </c>
      <c r="E115" s="11" t="s">
        <v>8570</v>
      </c>
      <c r="F115" s="11"/>
      <c r="G115" s="11" t="s">
        <v>8569</v>
      </c>
      <c r="H115" s="11"/>
      <c r="I115" s="11" t="s">
        <v>8568</v>
      </c>
      <c r="J115" s="11" t="s">
        <v>8567</v>
      </c>
      <c r="K115" s="11" t="s">
        <v>1952</v>
      </c>
      <c r="L115" s="11"/>
      <c r="M115" s="12"/>
      <c r="N115" s="11"/>
      <c r="O115" s="11" t="s">
        <v>1951</v>
      </c>
    </row>
    <row r="116" spans="1:15" ht="19.5" customHeight="1" x14ac:dyDescent="0.25">
      <c r="A116" s="13" t="s">
        <v>8565</v>
      </c>
      <c r="B116" s="13"/>
      <c r="C116" s="13" t="s">
        <v>8566</v>
      </c>
      <c r="D116" s="13" t="s">
        <v>1883</v>
      </c>
      <c r="E116" s="13"/>
      <c r="F116" s="13"/>
      <c r="G116" s="13" t="s">
        <v>8565</v>
      </c>
      <c r="H116" s="13"/>
      <c r="I116" s="13"/>
      <c r="J116" s="13"/>
      <c r="K116" s="13"/>
      <c r="L116" s="13"/>
      <c r="M116" s="14"/>
      <c r="N116" s="13"/>
      <c r="O116" s="13"/>
    </row>
    <row r="117" spans="1:15" ht="19.5" customHeight="1" x14ac:dyDescent="0.25">
      <c r="A117" s="11" t="s">
        <v>8562</v>
      </c>
      <c r="B117" s="11"/>
      <c r="C117" s="11" t="s">
        <v>8564</v>
      </c>
      <c r="D117" s="11" t="s">
        <v>1883</v>
      </c>
      <c r="E117" s="11" t="s">
        <v>8563</v>
      </c>
      <c r="F117" s="11"/>
      <c r="G117" s="11" t="s">
        <v>8562</v>
      </c>
      <c r="H117" s="11"/>
      <c r="I117" s="11" t="s">
        <v>8561</v>
      </c>
      <c r="J117" s="11" t="s">
        <v>8560</v>
      </c>
      <c r="K117" s="11" t="s">
        <v>1952</v>
      </c>
      <c r="L117" s="11"/>
      <c r="M117" s="12"/>
      <c r="N117" s="11"/>
      <c r="O117" s="11" t="s">
        <v>1951</v>
      </c>
    </row>
    <row r="118" spans="1:15" ht="19.5" customHeight="1" x14ac:dyDescent="0.25">
      <c r="A118" s="13" t="s">
        <v>1387</v>
      </c>
      <c r="B118" s="13"/>
      <c r="C118" s="13" t="s">
        <v>8559</v>
      </c>
      <c r="D118" s="13" t="s">
        <v>1883</v>
      </c>
      <c r="E118" s="13" t="s">
        <v>8558</v>
      </c>
      <c r="F118" s="13"/>
      <c r="G118" s="13" t="s">
        <v>8557</v>
      </c>
      <c r="H118" s="13"/>
      <c r="I118" s="13" t="s">
        <v>2710</v>
      </c>
      <c r="J118" s="13" t="s">
        <v>8556</v>
      </c>
      <c r="K118" s="13" t="s">
        <v>8555</v>
      </c>
      <c r="L118" s="13"/>
      <c r="M118" s="14"/>
      <c r="N118" s="13"/>
      <c r="O118" s="13" t="s">
        <v>1877</v>
      </c>
    </row>
    <row r="119" spans="1:15" ht="19.5" customHeight="1" x14ac:dyDescent="0.25">
      <c r="A119" s="11" t="s">
        <v>29</v>
      </c>
      <c r="B119" s="11"/>
      <c r="C119" s="11" t="s">
        <v>8554</v>
      </c>
      <c r="D119" s="11" t="s">
        <v>1883</v>
      </c>
      <c r="E119" s="11" t="s">
        <v>8551</v>
      </c>
      <c r="F119" s="11"/>
      <c r="G119" s="11" t="s">
        <v>29</v>
      </c>
      <c r="H119" s="11" t="s">
        <v>8550</v>
      </c>
      <c r="I119" s="11" t="s">
        <v>8549</v>
      </c>
      <c r="J119" s="11" t="s">
        <v>8548</v>
      </c>
      <c r="K119" s="11" t="s">
        <v>8547</v>
      </c>
      <c r="L119" s="11"/>
      <c r="M119" s="12"/>
      <c r="N119" s="11"/>
      <c r="O119" s="11" t="s">
        <v>1877</v>
      </c>
    </row>
    <row r="120" spans="1:15" ht="19.5" customHeight="1" x14ac:dyDescent="0.25">
      <c r="A120" s="13" t="s">
        <v>29</v>
      </c>
      <c r="B120" s="13"/>
      <c r="C120" s="13" t="s">
        <v>8553</v>
      </c>
      <c r="D120" s="13" t="s">
        <v>1883</v>
      </c>
      <c r="E120" s="13" t="s">
        <v>8551</v>
      </c>
      <c r="F120" s="13"/>
      <c r="G120" s="13" t="s">
        <v>29</v>
      </c>
      <c r="H120" s="13" t="s">
        <v>8550</v>
      </c>
      <c r="I120" s="13" t="s">
        <v>8549</v>
      </c>
      <c r="J120" s="13" t="s">
        <v>8548</v>
      </c>
      <c r="K120" s="13" t="s">
        <v>8547</v>
      </c>
      <c r="L120" s="13"/>
      <c r="M120" s="14"/>
      <c r="N120" s="13"/>
      <c r="O120" s="13" t="s">
        <v>1877</v>
      </c>
    </row>
    <row r="121" spans="1:15" ht="19.5" customHeight="1" x14ac:dyDescent="0.25">
      <c r="A121" s="11" t="s">
        <v>29</v>
      </c>
      <c r="B121" s="11"/>
      <c r="C121" s="11" t="s">
        <v>8552</v>
      </c>
      <c r="D121" s="11" t="s">
        <v>1883</v>
      </c>
      <c r="E121" s="11" t="s">
        <v>8551</v>
      </c>
      <c r="F121" s="11"/>
      <c r="G121" s="11" t="s">
        <v>29</v>
      </c>
      <c r="H121" s="11" t="s">
        <v>8550</v>
      </c>
      <c r="I121" s="11" t="s">
        <v>8549</v>
      </c>
      <c r="J121" s="11" t="s">
        <v>8548</v>
      </c>
      <c r="K121" s="11" t="s">
        <v>8547</v>
      </c>
      <c r="L121" s="11"/>
      <c r="M121" s="12"/>
      <c r="N121" s="11"/>
      <c r="O121" s="11" t="s">
        <v>1877</v>
      </c>
    </row>
    <row r="122" spans="1:15" ht="19.5" customHeight="1" x14ac:dyDescent="0.25">
      <c r="A122" s="13" t="s">
        <v>1767</v>
      </c>
      <c r="B122" s="13"/>
      <c r="C122" s="13" t="s">
        <v>8546</v>
      </c>
      <c r="D122" s="13" t="s">
        <v>1883</v>
      </c>
      <c r="E122" s="13" t="s">
        <v>8545</v>
      </c>
      <c r="F122" s="13"/>
      <c r="G122" s="13" t="s">
        <v>1767</v>
      </c>
      <c r="H122" s="13"/>
      <c r="I122" s="13" t="s">
        <v>8544</v>
      </c>
      <c r="J122" s="13" t="s">
        <v>8543</v>
      </c>
      <c r="K122" s="13" t="s">
        <v>8542</v>
      </c>
      <c r="L122" s="13"/>
      <c r="M122" s="14"/>
      <c r="N122" s="13"/>
      <c r="O122" s="13" t="s">
        <v>1877</v>
      </c>
    </row>
    <row r="123" spans="1:15" ht="19.5" customHeight="1" x14ac:dyDescent="0.25">
      <c r="A123" s="11" t="s">
        <v>1060</v>
      </c>
      <c r="B123" s="11"/>
      <c r="C123" s="11" t="s">
        <v>1059</v>
      </c>
      <c r="D123" s="11" t="s">
        <v>1883</v>
      </c>
      <c r="E123" s="11" t="s">
        <v>8541</v>
      </c>
      <c r="F123" s="11"/>
      <c r="G123" s="11" t="s">
        <v>1060</v>
      </c>
      <c r="H123" s="11" t="s">
        <v>8540</v>
      </c>
      <c r="I123" s="11" t="s">
        <v>8539</v>
      </c>
      <c r="J123" s="11" t="s">
        <v>8538</v>
      </c>
      <c r="K123" s="11" t="s">
        <v>1952</v>
      </c>
      <c r="L123" s="11"/>
      <c r="M123" s="12"/>
      <c r="N123" s="11"/>
      <c r="O123" s="11" t="s">
        <v>1945</v>
      </c>
    </row>
    <row r="124" spans="1:15" ht="19.5" customHeight="1" x14ac:dyDescent="0.25">
      <c r="A124" s="13" t="s">
        <v>31</v>
      </c>
      <c r="B124" s="13"/>
      <c r="C124" s="13" t="s">
        <v>8537</v>
      </c>
      <c r="D124" s="13" t="s">
        <v>1883</v>
      </c>
      <c r="E124" s="13" t="s">
        <v>8536</v>
      </c>
      <c r="F124" s="13" t="s">
        <v>8535</v>
      </c>
      <c r="G124" s="13" t="s">
        <v>31</v>
      </c>
      <c r="H124" s="13" t="s">
        <v>8534</v>
      </c>
      <c r="I124" s="13" t="s">
        <v>8533</v>
      </c>
      <c r="J124" s="13" t="s">
        <v>8532</v>
      </c>
      <c r="K124" s="13" t="s">
        <v>1952</v>
      </c>
      <c r="L124" s="13"/>
      <c r="M124" s="14"/>
      <c r="N124" s="13"/>
      <c r="O124" s="13" t="s">
        <v>2028</v>
      </c>
    </row>
    <row r="125" spans="1:15" ht="19.5" customHeight="1" x14ac:dyDescent="0.25">
      <c r="A125" s="11" t="s">
        <v>1590</v>
      </c>
      <c r="B125" s="11"/>
      <c r="C125" s="11" t="s">
        <v>8531</v>
      </c>
      <c r="D125" s="11" t="s">
        <v>1883</v>
      </c>
      <c r="E125" s="11" t="s">
        <v>8530</v>
      </c>
      <c r="F125" s="11"/>
      <c r="G125" s="11" t="s">
        <v>1590</v>
      </c>
      <c r="H125" s="11"/>
      <c r="I125" s="11" t="s">
        <v>8529</v>
      </c>
      <c r="J125" s="11" t="s">
        <v>8528</v>
      </c>
      <c r="K125" s="11" t="s">
        <v>1952</v>
      </c>
      <c r="L125" s="11"/>
      <c r="M125" s="12"/>
      <c r="N125" s="11"/>
      <c r="O125" s="11" t="s">
        <v>2028</v>
      </c>
    </row>
    <row r="126" spans="1:15" ht="19.5" customHeight="1" x14ac:dyDescent="0.25">
      <c r="A126" s="13" t="s">
        <v>956</v>
      </c>
      <c r="B126" s="13"/>
      <c r="C126" s="13" t="s">
        <v>8527</v>
      </c>
      <c r="D126" s="13" t="s">
        <v>1883</v>
      </c>
      <c r="E126" s="13" t="s">
        <v>8526</v>
      </c>
      <c r="F126" s="13"/>
      <c r="G126" s="13" t="s">
        <v>956</v>
      </c>
      <c r="H126" s="13" t="s">
        <v>8525</v>
      </c>
      <c r="I126" s="13" t="s">
        <v>8524</v>
      </c>
      <c r="J126" s="13" t="s">
        <v>8523</v>
      </c>
      <c r="K126" s="13" t="s">
        <v>2313</v>
      </c>
      <c r="L126" s="13"/>
      <c r="M126" s="14"/>
      <c r="N126" s="13"/>
      <c r="O126" s="13" t="s">
        <v>1877</v>
      </c>
    </row>
    <row r="127" spans="1:15" ht="19.5" customHeight="1" x14ac:dyDescent="0.25">
      <c r="A127" s="11" t="s">
        <v>8521</v>
      </c>
      <c r="B127" s="11"/>
      <c r="C127" s="11" t="s">
        <v>8522</v>
      </c>
      <c r="D127" s="11" t="s">
        <v>1883</v>
      </c>
      <c r="E127" s="11"/>
      <c r="F127" s="11"/>
      <c r="G127" s="11" t="s">
        <v>8521</v>
      </c>
      <c r="H127" s="11"/>
      <c r="I127" s="11"/>
      <c r="J127" s="11"/>
      <c r="K127" s="11"/>
      <c r="L127" s="11"/>
      <c r="M127" s="12"/>
      <c r="N127" s="11"/>
      <c r="O127" s="11"/>
    </row>
    <row r="128" spans="1:15" ht="19.5" customHeight="1" x14ac:dyDescent="0.25">
      <c r="A128" s="13" t="s">
        <v>8519</v>
      </c>
      <c r="B128" s="13"/>
      <c r="C128" s="13" t="s">
        <v>8520</v>
      </c>
      <c r="D128" s="13" t="s">
        <v>1883</v>
      </c>
      <c r="E128" s="13"/>
      <c r="F128" s="13"/>
      <c r="G128" s="13" t="s">
        <v>8519</v>
      </c>
      <c r="H128" s="13"/>
      <c r="I128" s="13"/>
      <c r="J128" s="13"/>
      <c r="K128" s="13"/>
      <c r="L128" s="13"/>
      <c r="M128" s="14"/>
      <c r="N128" s="13"/>
      <c r="O128" s="13"/>
    </row>
    <row r="129" spans="1:15" ht="19.5" customHeight="1" x14ac:dyDescent="0.25">
      <c r="A129" s="11" t="s">
        <v>8516</v>
      </c>
      <c r="B129" s="11"/>
      <c r="C129" s="11" t="s">
        <v>8518</v>
      </c>
      <c r="D129" s="11" t="s">
        <v>1883</v>
      </c>
      <c r="E129" s="11" t="s">
        <v>8517</v>
      </c>
      <c r="F129" s="11"/>
      <c r="G129" s="11" t="s">
        <v>8516</v>
      </c>
      <c r="H129" s="11"/>
      <c r="I129" s="11" t="s">
        <v>8515</v>
      </c>
      <c r="J129" s="11" t="s">
        <v>8514</v>
      </c>
      <c r="K129" s="11" t="s">
        <v>2441</v>
      </c>
      <c r="L129" s="11"/>
      <c r="M129" s="12"/>
      <c r="N129" s="11"/>
      <c r="O129" s="11" t="s">
        <v>1877</v>
      </c>
    </row>
    <row r="130" spans="1:15" ht="19.5" customHeight="1" x14ac:dyDescent="0.25">
      <c r="A130" s="13" t="s">
        <v>8511</v>
      </c>
      <c r="B130" s="13"/>
      <c r="C130" s="13" t="s">
        <v>8513</v>
      </c>
      <c r="D130" s="13" t="s">
        <v>2368</v>
      </c>
      <c r="E130" s="13" t="s">
        <v>8512</v>
      </c>
      <c r="F130" s="13"/>
      <c r="G130" s="13" t="s">
        <v>8511</v>
      </c>
      <c r="H130" s="13"/>
      <c r="I130" s="13" t="s">
        <v>8510</v>
      </c>
      <c r="J130" s="13" t="s">
        <v>8509</v>
      </c>
      <c r="K130" s="13" t="s">
        <v>2635</v>
      </c>
      <c r="L130" s="13"/>
      <c r="M130" s="14"/>
      <c r="N130" s="13"/>
      <c r="O130" s="13" t="s">
        <v>2470</v>
      </c>
    </row>
    <row r="131" spans="1:15" ht="19.5" customHeight="1" x14ac:dyDescent="0.25">
      <c r="A131" s="11" t="s">
        <v>33</v>
      </c>
      <c r="B131" s="11"/>
      <c r="C131" s="11" t="s">
        <v>8508</v>
      </c>
      <c r="D131" s="11" t="s">
        <v>2368</v>
      </c>
      <c r="E131" s="11" t="s">
        <v>8507</v>
      </c>
      <c r="F131" s="11"/>
      <c r="G131" s="11" t="s">
        <v>33</v>
      </c>
      <c r="H131" s="11"/>
      <c r="I131" s="11"/>
      <c r="J131" s="11"/>
      <c r="K131" s="11" t="s">
        <v>8506</v>
      </c>
      <c r="L131" s="11"/>
      <c r="M131" s="12"/>
      <c r="N131" s="11"/>
      <c r="O131" s="11" t="s">
        <v>2466</v>
      </c>
    </row>
    <row r="132" spans="1:15" ht="19.5" customHeight="1" x14ac:dyDescent="0.25">
      <c r="A132" s="13" t="s">
        <v>8503</v>
      </c>
      <c r="B132" s="13"/>
      <c r="C132" s="13" t="s">
        <v>8505</v>
      </c>
      <c r="D132" s="13" t="s">
        <v>1883</v>
      </c>
      <c r="E132" s="13" t="s">
        <v>8504</v>
      </c>
      <c r="F132" s="13"/>
      <c r="G132" s="13" t="s">
        <v>8503</v>
      </c>
      <c r="H132" s="13"/>
      <c r="I132" s="13"/>
      <c r="J132" s="13"/>
      <c r="K132" s="13"/>
      <c r="L132" s="13"/>
      <c r="M132" s="14"/>
      <c r="N132" s="13"/>
      <c r="O132" s="13"/>
    </row>
    <row r="133" spans="1:15" ht="19.5" customHeight="1" x14ac:dyDescent="0.25">
      <c r="A133" s="11" t="s">
        <v>8500</v>
      </c>
      <c r="B133" s="11"/>
      <c r="C133" s="11" t="s">
        <v>8502</v>
      </c>
      <c r="D133" s="11" t="s">
        <v>2368</v>
      </c>
      <c r="E133" s="11" t="s">
        <v>8501</v>
      </c>
      <c r="F133" s="11"/>
      <c r="G133" s="11" t="s">
        <v>8500</v>
      </c>
      <c r="H133" s="11"/>
      <c r="I133" s="11"/>
      <c r="J133" s="11"/>
      <c r="K133" s="11"/>
      <c r="L133" s="11"/>
      <c r="M133" s="12"/>
      <c r="N133" s="11"/>
      <c r="O133" s="11" t="s">
        <v>8379</v>
      </c>
    </row>
    <row r="134" spans="1:15" ht="19.5" customHeight="1" x14ac:dyDescent="0.25">
      <c r="A134" s="13" t="s">
        <v>1629</v>
      </c>
      <c r="B134" s="13"/>
      <c r="C134" s="13" t="s">
        <v>8499</v>
      </c>
      <c r="D134" s="13" t="s">
        <v>1883</v>
      </c>
      <c r="E134" s="13" t="s">
        <v>8498</v>
      </c>
      <c r="F134" s="13"/>
      <c r="G134" s="13" t="s">
        <v>1629</v>
      </c>
      <c r="H134" s="13"/>
      <c r="I134" s="13" t="s">
        <v>8497</v>
      </c>
      <c r="J134" s="13" t="s">
        <v>8496</v>
      </c>
      <c r="K134" s="13" t="s">
        <v>3791</v>
      </c>
      <c r="L134" s="13"/>
      <c r="M134" s="14"/>
      <c r="N134" s="13"/>
      <c r="O134" s="13" t="s">
        <v>2364</v>
      </c>
    </row>
    <row r="135" spans="1:15" ht="19.5" customHeight="1" x14ac:dyDescent="0.25">
      <c r="A135" s="11" t="s">
        <v>35</v>
      </c>
      <c r="B135" s="11"/>
      <c r="C135" s="11" t="s">
        <v>8495</v>
      </c>
      <c r="D135" s="11" t="s">
        <v>2368</v>
      </c>
      <c r="E135" s="11" t="s">
        <v>8490</v>
      </c>
      <c r="F135" s="11"/>
      <c r="G135" s="11" t="s">
        <v>35</v>
      </c>
      <c r="H135" s="11" t="s">
        <v>8489</v>
      </c>
      <c r="I135" s="11" t="s">
        <v>8492</v>
      </c>
      <c r="J135" s="11" t="s">
        <v>8487</v>
      </c>
      <c r="K135" s="11" t="s">
        <v>2093</v>
      </c>
      <c r="L135" s="11"/>
      <c r="M135" s="12"/>
      <c r="N135" s="11"/>
      <c r="O135" s="11" t="s">
        <v>2470</v>
      </c>
    </row>
    <row r="136" spans="1:15" ht="19.5" customHeight="1" x14ac:dyDescent="0.25">
      <c r="A136" s="13" t="s">
        <v>35</v>
      </c>
      <c r="B136" s="13"/>
      <c r="C136" s="13" t="s">
        <v>8494</v>
      </c>
      <c r="D136" s="13" t="s">
        <v>2368</v>
      </c>
      <c r="E136" s="13" t="s">
        <v>8490</v>
      </c>
      <c r="F136" s="13"/>
      <c r="G136" s="13" t="s">
        <v>35</v>
      </c>
      <c r="H136" s="13" t="s">
        <v>8489</v>
      </c>
      <c r="I136" s="13" t="s">
        <v>8492</v>
      </c>
      <c r="J136" s="13" t="s">
        <v>8487</v>
      </c>
      <c r="K136" s="13" t="s">
        <v>2093</v>
      </c>
      <c r="L136" s="13"/>
      <c r="M136" s="14"/>
      <c r="N136" s="13"/>
      <c r="O136" s="13" t="s">
        <v>2470</v>
      </c>
    </row>
    <row r="137" spans="1:15" ht="19.5" customHeight="1" x14ac:dyDescent="0.25">
      <c r="A137" s="11" t="s">
        <v>35</v>
      </c>
      <c r="B137" s="11"/>
      <c r="C137" s="11" t="s">
        <v>8493</v>
      </c>
      <c r="D137" s="11" t="s">
        <v>2368</v>
      </c>
      <c r="E137" s="11" t="s">
        <v>8490</v>
      </c>
      <c r="F137" s="11"/>
      <c r="G137" s="11" t="s">
        <v>35</v>
      </c>
      <c r="H137" s="11" t="s">
        <v>8489</v>
      </c>
      <c r="I137" s="11" t="s">
        <v>8492</v>
      </c>
      <c r="J137" s="11" t="s">
        <v>8487</v>
      </c>
      <c r="K137" s="11" t="s">
        <v>2093</v>
      </c>
      <c r="L137" s="11"/>
      <c r="M137" s="12"/>
      <c r="N137" s="11"/>
      <c r="O137" s="11" t="s">
        <v>2470</v>
      </c>
    </row>
    <row r="138" spans="1:15" ht="19.5" customHeight="1" x14ac:dyDescent="0.25">
      <c r="A138" s="13" t="s">
        <v>35</v>
      </c>
      <c r="B138" s="13"/>
      <c r="C138" s="13" t="s">
        <v>8491</v>
      </c>
      <c r="D138" s="13" t="s">
        <v>2368</v>
      </c>
      <c r="E138" s="13" t="s">
        <v>8490</v>
      </c>
      <c r="F138" s="13"/>
      <c r="G138" s="13" t="s">
        <v>35</v>
      </c>
      <c r="H138" s="13" t="s">
        <v>8489</v>
      </c>
      <c r="I138" s="13" t="s">
        <v>8488</v>
      </c>
      <c r="J138" s="13" t="s">
        <v>8487</v>
      </c>
      <c r="K138" s="13" t="s">
        <v>2093</v>
      </c>
      <c r="L138" s="13"/>
      <c r="M138" s="14"/>
      <c r="N138" s="13"/>
      <c r="O138" s="13" t="s">
        <v>2466</v>
      </c>
    </row>
    <row r="139" spans="1:15" ht="19.5" customHeight="1" x14ac:dyDescent="0.25">
      <c r="A139" s="11" t="s">
        <v>8485</v>
      </c>
      <c r="B139" s="11"/>
      <c r="C139" s="11" t="s">
        <v>8486</v>
      </c>
      <c r="D139" s="11" t="s">
        <v>1883</v>
      </c>
      <c r="E139" s="11" t="s">
        <v>8477</v>
      </c>
      <c r="F139" s="11"/>
      <c r="G139" s="11" t="s">
        <v>8485</v>
      </c>
      <c r="H139" s="11" t="s">
        <v>8484</v>
      </c>
      <c r="I139" s="11" t="s">
        <v>8483</v>
      </c>
      <c r="J139" s="11" t="s">
        <v>8482</v>
      </c>
      <c r="K139" s="11" t="s">
        <v>2467</v>
      </c>
      <c r="L139" s="11"/>
      <c r="M139" s="12"/>
      <c r="N139" s="11"/>
      <c r="O139" s="11" t="s">
        <v>2470</v>
      </c>
    </row>
    <row r="140" spans="1:15" ht="19.5" customHeight="1" x14ac:dyDescent="0.25">
      <c r="A140" s="13" t="s">
        <v>36</v>
      </c>
      <c r="B140" s="13"/>
      <c r="C140" s="13" t="s">
        <v>8481</v>
      </c>
      <c r="D140" s="13" t="s">
        <v>2368</v>
      </c>
      <c r="E140" s="13" t="s">
        <v>8480</v>
      </c>
      <c r="F140" s="13"/>
      <c r="G140" s="13" t="s">
        <v>36</v>
      </c>
      <c r="H140" s="13"/>
      <c r="I140" s="13"/>
      <c r="J140" s="13"/>
      <c r="K140" s="13" t="s">
        <v>2467</v>
      </c>
      <c r="L140" s="13"/>
      <c r="M140" s="14"/>
      <c r="N140" s="13"/>
      <c r="O140" s="13" t="s">
        <v>2466</v>
      </c>
    </row>
    <row r="141" spans="1:15" ht="19.5" customHeight="1" x14ac:dyDescent="0.25">
      <c r="A141" s="11" t="s">
        <v>36</v>
      </c>
      <c r="B141" s="11"/>
      <c r="C141" s="11" t="s">
        <v>8479</v>
      </c>
      <c r="D141" s="11" t="s">
        <v>1883</v>
      </c>
      <c r="E141" s="11" t="s">
        <v>8477</v>
      </c>
      <c r="F141" s="11"/>
      <c r="G141" s="11" t="s">
        <v>36</v>
      </c>
      <c r="H141" s="11"/>
      <c r="I141" s="11"/>
      <c r="J141" s="11"/>
      <c r="K141" s="11" t="s">
        <v>2467</v>
      </c>
      <c r="L141" s="11"/>
      <c r="M141" s="12"/>
      <c r="N141" s="11"/>
      <c r="O141" s="11" t="s">
        <v>2470</v>
      </c>
    </row>
    <row r="142" spans="1:15" ht="19.5" customHeight="1" x14ac:dyDescent="0.25">
      <c r="A142" s="13" t="s">
        <v>36</v>
      </c>
      <c r="B142" s="13"/>
      <c r="C142" s="13" t="s">
        <v>8478</v>
      </c>
      <c r="D142" s="13" t="s">
        <v>1883</v>
      </c>
      <c r="E142" s="13" t="s">
        <v>8477</v>
      </c>
      <c r="F142" s="13"/>
      <c r="G142" s="13" t="s">
        <v>36</v>
      </c>
      <c r="H142" s="13"/>
      <c r="I142" s="13"/>
      <c r="J142" s="13"/>
      <c r="K142" s="13" t="s">
        <v>2467</v>
      </c>
      <c r="L142" s="13"/>
      <c r="M142" s="14"/>
      <c r="N142" s="13"/>
      <c r="O142" s="13" t="s">
        <v>2470</v>
      </c>
    </row>
    <row r="143" spans="1:15" ht="19.5" customHeight="1" x14ac:dyDescent="0.25">
      <c r="A143" s="11" t="s">
        <v>36</v>
      </c>
      <c r="B143" s="11"/>
      <c r="C143" s="11" t="s">
        <v>8476</v>
      </c>
      <c r="D143" s="11" t="s">
        <v>1883</v>
      </c>
      <c r="E143" s="11" t="s">
        <v>8475</v>
      </c>
      <c r="F143" s="11"/>
      <c r="G143" s="11" t="s">
        <v>36</v>
      </c>
      <c r="H143" s="11"/>
      <c r="I143" s="11"/>
      <c r="J143" s="11"/>
      <c r="K143" s="11" t="s">
        <v>2467</v>
      </c>
      <c r="L143" s="11"/>
      <c r="M143" s="12"/>
      <c r="N143" s="11"/>
      <c r="O143" s="11"/>
    </row>
    <row r="144" spans="1:15" ht="19.5" customHeight="1" x14ac:dyDescent="0.25">
      <c r="A144" s="13" t="s">
        <v>8472</v>
      </c>
      <c r="B144" s="13"/>
      <c r="C144" s="13" t="s">
        <v>8474</v>
      </c>
      <c r="D144" s="13" t="s">
        <v>2368</v>
      </c>
      <c r="E144" s="13" t="s">
        <v>8473</v>
      </c>
      <c r="F144" s="13"/>
      <c r="G144" s="13" t="s">
        <v>8472</v>
      </c>
      <c r="H144" s="13"/>
      <c r="I144" s="13" t="s">
        <v>2633</v>
      </c>
      <c r="J144" s="13" t="s">
        <v>8471</v>
      </c>
      <c r="K144" s="13" t="s">
        <v>8470</v>
      </c>
      <c r="L144" s="13"/>
      <c r="M144" s="14"/>
      <c r="N144" s="13"/>
      <c r="O144" s="13" t="s">
        <v>2364</v>
      </c>
    </row>
    <row r="145" spans="1:15" ht="19.5" customHeight="1" x14ac:dyDescent="0.25">
      <c r="A145" s="11" t="s">
        <v>8467</v>
      </c>
      <c r="B145" s="11"/>
      <c r="C145" s="11" t="s">
        <v>8469</v>
      </c>
      <c r="D145" s="11" t="s">
        <v>1883</v>
      </c>
      <c r="E145" s="11" t="s">
        <v>8468</v>
      </c>
      <c r="F145" s="11"/>
      <c r="G145" s="11" t="s">
        <v>8467</v>
      </c>
      <c r="H145" s="11"/>
      <c r="I145" s="11" t="s">
        <v>8466</v>
      </c>
      <c r="J145" s="11" t="s">
        <v>8465</v>
      </c>
      <c r="K145" s="11" t="s">
        <v>8442</v>
      </c>
      <c r="L145" s="11"/>
      <c r="M145" s="12"/>
      <c r="N145" s="11"/>
      <c r="O145" s="11" t="s">
        <v>2364</v>
      </c>
    </row>
    <row r="146" spans="1:15" ht="19.5" customHeight="1" x14ac:dyDescent="0.25">
      <c r="A146" s="13" t="s">
        <v>38</v>
      </c>
      <c r="B146" s="13"/>
      <c r="C146" s="13" t="s">
        <v>8464</v>
      </c>
      <c r="D146" s="13" t="s">
        <v>2368</v>
      </c>
      <c r="E146" s="13" t="s">
        <v>8455</v>
      </c>
      <c r="F146" s="13"/>
      <c r="G146" s="13" t="s">
        <v>38</v>
      </c>
      <c r="H146" s="13"/>
      <c r="I146" s="13" t="s">
        <v>8454</v>
      </c>
      <c r="J146" s="13" t="s">
        <v>8453</v>
      </c>
      <c r="K146" s="13" t="s">
        <v>1878</v>
      </c>
      <c r="L146" s="13"/>
      <c r="M146" s="14"/>
      <c r="N146" s="13"/>
      <c r="O146" s="13" t="s">
        <v>2364</v>
      </c>
    </row>
    <row r="147" spans="1:15" ht="19.5" customHeight="1" x14ac:dyDescent="0.25">
      <c r="A147" s="11" t="s">
        <v>38</v>
      </c>
      <c r="B147" s="11"/>
      <c r="C147" s="11" t="s">
        <v>8463</v>
      </c>
      <c r="D147" s="11" t="s">
        <v>2368</v>
      </c>
      <c r="E147" s="11" t="s">
        <v>8455</v>
      </c>
      <c r="F147" s="11"/>
      <c r="G147" s="11" t="s">
        <v>38</v>
      </c>
      <c r="H147" s="11"/>
      <c r="I147" s="11" t="s">
        <v>8454</v>
      </c>
      <c r="J147" s="11" t="s">
        <v>8453</v>
      </c>
      <c r="K147" s="11" t="s">
        <v>1878</v>
      </c>
      <c r="L147" s="11"/>
      <c r="M147" s="12"/>
      <c r="N147" s="11"/>
      <c r="O147" s="11" t="s">
        <v>2364</v>
      </c>
    </row>
    <row r="148" spans="1:15" ht="19.5" customHeight="1" x14ac:dyDescent="0.25">
      <c r="A148" s="13" t="s">
        <v>38</v>
      </c>
      <c r="B148" s="13"/>
      <c r="C148" s="13" t="s">
        <v>8462</v>
      </c>
      <c r="D148" s="13" t="s">
        <v>1883</v>
      </c>
      <c r="E148" s="13" t="s">
        <v>8461</v>
      </c>
      <c r="F148" s="13"/>
      <c r="G148" s="13" t="s">
        <v>38</v>
      </c>
      <c r="H148" s="13"/>
      <c r="I148" s="13"/>
      <c r="J148" s="13"/>
      <c r="K148" s="13" t="s">
        <v>1878</v>
      </c>
      <c r="L148" s="13"/>
      <c r="M148" s="14"/>
      <c r="N148" s="13"/>
      <c r="O148" s="13" t="s">
        <v>2364</v>
      </c>
    </row>
    <row r="149" spans="1:15" ht="19.5" customHeight="1" x14ac:dyDescent="0.25">
      <c r="A149" s="11" t="s">
        <v>8459</v>
      </c>
      <c r="B149" s="11"/>
      <c r="C149" s="11" t="s">
        <v>8460</v>
      </c>
      <c r="D149" s="11" t="s">
        <v>1883</v>
      </c>
      <c r="E149" s="11" t="s">
        <v>8420</v>
      </c>
      <c r="F149" s="11"/>
      <c r="G149" s="11" t="s">
        <v>8459</v>
      </c>
      <c r="H149" s="11"/>
      <c r="I149" s="11"/>
      <c r="J149" s="11"/>
      <c r="K149" s="11" t="s">
        <v>1878</v>
      </c>
      <c r="L149" s="11"/>
      <c r="M149" s="12"/>
      <c r="N149" s="11"/>
      <c r="O149" s="11"/>
    </row>
    <row r="150" spans="1:15" ht="19.5" customHeight="1" x14ac:dyDescent="0.25">
      <c r="A150" s="13" t="s">
        <v>38</v>
      </c>
      <c r="B150" s="13"/>
      <c r="C150" s="13" t="s">
        <v>8458</v>
      </c>
      <c r="D150" s="13" t="s">
        <v>1883</v>
      </c>
      <c r="E150" s="13" t="s">
        <v>8457</v>
      </c>
      <c r="F150" s="13"/>
      <c r="G150" s="13" t="s">
        <v>38</v>
      </c>
      <c r="H150" s="13"/>
      <c r="I150" s="13"/>
      <c r="J150" s="13"/>
      <c r="K150" s="13" t="s">
        <v>1878</v>
      </c>
      <c r="L150" s="13"/>
      <c r="M150" s="14"/>
      <c r="N150" s="13"/>
      <c r="O150" s="13" t="s">
        <v>8379</v>
      </c>
    </row>
    <row r="151" spans="1:15" ht="19.5" customHeight="1" x14ac:dyDescent="0.25">
      <c r="A151" s="11" t="s">
        <v>38</v>
      </c>
      <c r="B151" s="11"/>
      <c r="C151" s="11" t="s">
        <v>8456</v>
      </c>
      <c r="D151" s="11" t="s">
        <v>2368</v>
      </c>
      <c r="E151" s="11" t="s">
        <v>8455</v>
      </c>
      <c r="F151" s="11"/>
      <c r="G151" s="11" t="s">
        <v>38</v>
      </c>
      <c r="H151" s="11"/>
      <c r="I151" s="11" t="s">
        <v>8454</v>
      </c>
      <c r="J151" s="11" t="s">
        <v>8453</v>
      </c>
      <c r="K151" s="11" t="s">
        <v>1878</v>
      </c>
      <c r="L151" s="11"/>
      <c r="M151" s="12"/>
      <c r="N151" s="11"/>
      <c r="O151" s="11" t="s">
        <v>2364</v>
      </c>
    </row>
    <row r="152" spans="1:15" ht="19.5" customHeight="1" x14ac:dyDescent="0.25">
      <c r="A152" s="13" t="s">
        <v>8450</v>
      </c>
      <c r="B152" s="13"/>
      <c r="C152" s="13" t="s">
        <v>8452</v>
      </c>
      <c r="D152" s="13" t="s">
        <v>2368</v>
      </c>
      <c r="E152" s="13" t="s">
        <v>8451</v>
      </c>
      <c r="F152" s="13"/>
      <c r="G152" s="13" t="s">
        <v>8450</v>
      </c>
      <c r="H152" s="13"/>
      <c r="I152" s="13"/>
      <c r="J152" s="13"/>
      <c r="K152" s="13"/>
      <c r="L152" s="13"/>
      <c r="M152" s="14"/>
      <c r="N152" s="13"/>
      <c r="O152" s="13" t="s">
        <v>8379</v>
      </c>
    </row>
    <row r="153" spans="1:15" ht="19.5" customHeight="1" x14ac:dyDescent="0.25">
      <c r="A153" s="11" t="s">
        <v>40</v>
      </c>
      <c r="B153" s="11"/>
      <c r="C153" s="11" t="s">
        <v>8449</v>
      </c>
      <c r="D153" s="11" t="s">
        <v>2368</v>
      </c>
      <c r="E153" s="11" t="s">
        <v>8446</v>
      </c>
      <c r="F153" s="11"/>
      <c r="G153" s="11" t="s">
        <v>40</v>
      </c>
      <c r="H153" s="11" t="s">
        <v>8445</v>
      </c>
      <c r="I153" s="11" t="s">
        <v>8444</v>
      </c>
      <c r="J153" s="11" t="s">
        <v>8443</v>
      </c>
      <c r="K153" s="11" t="s">
        <v>8442</v>
      </c>
      <c r="L153" s="11"/>
      <c r="M153" s="12"/>
      <c r="N153" s="11"/>
      <c r="O153" s="11" t="s">
        <v>2364</v>
      </c>
    </row>
    <row r="154" spans="1:15" ht="19.5" customHeight="1" x14ac:dyDescent="0.25">
      <c r="A154" s="13" t="s">
        <v>40</v>
      </c>
      <c r="B154" s="13"/>
      <c r="C154" s="13" t="s">
        <v>8448</v>
      </c>
      <c r="D154" s="13" t="s">
        <v>2368</v>
      </c>
      <c r="E154" s="13" t="s">
        <v>8446</v>
      </c>
      <c r="F154" s="13"/>
      <c r="G154" s="13" t="s">
        <v>40</v>
      </c>
      <c r="H154" s="13" t="s">
        <v>8445</v>
      </c>
      <c r="I154" s="13" t="s">
        <v>8444</v>
      </c>
      <c r="J154" s="13" t="s">
        <v>8443</v>
      </c>
      <c r="K154" s="13" t="s">
        <v>8442</v>
      </c>
      <c r="L154" s="13"/>
      <c r="M154" s="14"/>
      <c r="N154" s="13"/>
      <c r="O154" s="13" t="s">
        <v>2364</v>
      </c>
    </row>
    <row r="155" spans="1:15" ht="19.5" customHeight="1" x14ac:dyDescent="0.25">
      <c r="A155" s="11" t="s">
        <v>40</v>
      </c>
      <c r="B155" s="11"/>
      <c r="C155" s="11" t="s">
        <v>8447</v>
      </c>
      <c r="D155" s="11" t="s">
        <v>2368</v>
      </c>
      <c r="E155" s="11" t="s">
        <v>8446</v>
      </c>
      <c r="F155" s="11"/>
      <c r="G155" s="11" t="s">
        <v>40</v>
      </c>
      <c r="H155" s="11" t="s">
        <v>8445</v>
      </c>
      <c r="I155" s="11" t="s">
        <v>8444</v>
      </c>
      <c r="J155" s="11" t="s">
        <v>8443</v>
      </c>
      <c r="K155" s="11" t="s">
        <v>8442</v>
      </c>
      <c r="L155" s="11"/>
      <c r="M155" s="12"/>
      <c r="N155" s="11"/>
      <c r="O155" s="11" t="s">
        <v>2364</v>
      </c>
    </row>
    <row r="156" spans="1:15" ht="19.5" customHeight="1" x14ac:dyDescent="0.25">
      <c r="A156" s="13" t="s">
        <v>8439</v>
      </c>
      <c r="B156" s="13"/>
      <c r="C156" s="13" t="s">
        <v>8441</v>
      </c>
      <c r="D156" s="13" t="s">
        <v>2368</v>
      </c>
      <c r="E156" s="13" t="s">
        <v>8440</v>
      </c>
      <c r="F156" s="13"/>
      <c r="G156" s="13" t="s">
        <v>8439</v>
      </c>
      <c r="H156" s="13"/>
      <c r="I156" s="13"/>
      <c r="J156" s="13"/>
      <c r="K156" s="13"/>
      <c r="L156" s="13"/>
      <c r="M156" s="14"/>
      <c r="N156" s="13"/>
      <c r="O156" s="13" t="s">
        <v>8379</v>
      </c>
    </row>
    <row r="157" spans="1:15" ht="19.5" customHeight="1" x14ac:dyDescent="0.25">
      <c r="A157" s="11" t="s">
        <v>8436</v>
      </c>
      <c r="B157" s="11"/>
      <c r="C157" s="11" t="s">
        <v>8438</v>
      </c>
      <c r="D157" s="11" t="s">
        <v>1883</v>
      </c>
      <c r="E157" s="11" t="s">
        <v>8437</v>
      </c>
      <c r="F157" s="11"/>
      <c r="G157" s="11" t="s">
        <v>8436</v>
      </c>
      <c r="H157" s="11"/>
      <c r="I157" s="11"/>
      <c r="J157" s="11"/>
      <c r="K157" s="11"/>
      <c r="L157" s="11"/>
      <c r="M157" s="12"/>
      <c r="N157" s="11"/>
      <c r="O157" s="11" t="s">
        <v>8379</v>
      </c>
    </row>
    <row r="158" spans="1:15" ht="19.5" customHeight="1" x14ac:dyDescent="0.25">
      <c r="A158" s="13" t="s">
        <v>8434</v>
      </c>
      <c r="B158" s="13"/>
      <c r="C158" s="13" t="s">
        <v>8435</v>
      </c>
      <c r="D158" s="13" t="s">
        <v>2368</v>
      </c>
      <c r="E158" s="13"/>
      <c r="F158" s="13"/>
      <c r="G158" s="13" t="s">
        <v>8434</v>
      </c>
      <c r="H158" s="13"/>
      <c r="I158" s="13"/>
      <c r="J158" s="13"/>
      <c r="K158" s="13"/>
      <c r="L158" s="13"/>
      <c r="M158" s="14"/>
      <c r="N158" s="13"/>
      <c r="O158" s="13" t="s">
        <v>8379</v>
      </c>
    </row>
    <row r="159" spans="1:15" ht="19.5" customHeight="1" x14ac:dyDescent="0.25">
      <c r="A159" s="11" t="s">
        <v>42</v>
      </c>
      <c r="B159" s="11"/>
      <c r="C159" s="11" t="s">
        <v>8433</v>
      </c>
      <c r="D159" s="11" t="s">
        <v>2368</v>
      </c>
      <c r="E159" s="11" t="s">
        <v>8431</v>
      </c>
      <c r="F159" s="11"/>
      <c r="G159" s="11" t="s">
        <v>42</v>
      </c>
      <c r="H159" s="11"/>
      <c r="I159" s="11" t="s">
        <v>8428</v>
      </c>
      <c r="J159" s="11" t="s">
        <v>8427</v>
      </c>
      <c r="K159" s="11" t="s">
        <v>8426</v>
      </c>
      <c r="L159" s="11"/>
      <c r="M159" s="12"/>
      <c r="N159" s="11"/>
      <c r="O159" s="11" t="s">
        <v>2466</v>
      </c>
    </row>
    <row r="160" spans="1:15" ht="19.5" customHeight="1" x14ac:dyDescent="0.25">
      <c r="A160" s="13" t="s">
        <v>42</v>
      </c>
      <c r="B160" s="13"/>
      <c r="C160" s="13" t="s">
        <v>8432</v>
      </c>
      <c r="D160" s="13" t="s">
        <v>1883</v>
      </c>
      <c r="E160" s="13" t="s">
        <v>8431</v>
      </c>
      <c r="F160" s="13"/>
      <c r="G160" s="13" t="s">
        <v>42</v>
      </c>
      <c r="H160" s="13"/>
      <c r="I160" s="13"/>
      <c r="J160" s="13"/>
      <c r="K160" s="13" t="s">
        <v>8426</v>
      </c>
      <c r="L160" s="13"/>
      <c r="M160" s="14"/>
      <c r="N160" s="13"/>
      <c r="O160" s="13" t="s">
        <v>2470</v>
      </c>
    </row>
    <row r="161" spans="1:15" ht="19.5" customHeight="1" x14ac:dyDescent="0.25">
      <c r="A161" s="11" t="s">
        <v>42</v>
      </c>
      <c r="B161" s="11"/>
      <c r="C161" s="11" t="s">
        <v>8430</v>
      </c>
      <c r="D161" s="11" t="s">
        <v>1883</v>
      </c>
      <c r="E161" s="11" t="s">
        <v>8429</v>
      </c>
      <c r="F161" s="11"/>
      <c r="G161" s="11" t="s">
        <v>42</v>
      </c>
      <c r="H161" s="11"/>
      <c r="I161" s="11" t="s">
        <v>8428</v>
      </c>
      <c r="J161" s="11" t="s">
        <v>8427</v>
      </c>
      <c r="K161" s="11" t="s">
        <v>8426</v>
      </c>
      <c r="L161" s="11"/>
      <c r="M161" s="12"/>
      <c r="N161" s="11"/>
      <c r="O161" s="11" t="s">
        <v>2470</v>
      </c>
    </row>
    <row r="162" spans="1:15" ht="19.5" customHeight="1" x14ac:dyDescent="0.25">
      <c r="A162" s="13" t="s">
        <v>8409</v>
      </c>
      <c r="B162" s="13"/>
      <c r="C162" s="13" t="s">
        <v>8425</v>
      </c>
      <c r="D162" s="13" t="s">
        <v>1883</v>
      </c>
      <c r="E162" s="13" t="s">
        <v>8424</v>
      </c>
      <c r="F162" s="13"/>
      <c r="G162" s="13" t="s">
        <v>8409</v>
      </c>
      <c r="H162" s="13"/>
      <c r="I162" s="13"/>
      <c r="J162" s="13"/>
      <c r="K162" s="13" t="s">
        <v>1878</v>
      </c>
      <c r="L162" s="13"/>
      <c r="M162" s="14"/>
      <c r="N162" s="13"/>
      <c r="O162" s="13"/>
    </row>
    <row r="163" spans="1:15" ht="19.5" customHeight="1" x14ac:dyDescent="0.25">
      <c r="A163" s="11" t="s">
        <v>8409</v>
      </c>
      <c r="B163" s="11"/>
      <c r="C163" s="11" t="s">
        <v>8423</v>
      </c>
      <c r="D163" s="11" t="s">
        <v>1883</v>
      </c>
      <c r="E163" s="11" t="s">
        <v>8422</v>
      </c>
      <c r="F163" s="11"/>
      <c r="G163" s="11" t="s">
        <v>8409</v>
      </c>
      <c r="H163" s="11"/>
      <c r="I163" s="11"/>
      <c r="J163" s="11"/>
      <c r="K163" s="11" t="s">
        <v>1878</v>
      </c>
      <c r="L163" s="11"/>
      <c r="M163" s="12"/>
      <c r="N163" s="11"/>
      <c r="O163" s="11"/>
    </row>
    <row r="164" spans="1:15" ht="19.5" customHeight="1" x14ac:dyDescent="0.25">
      <c r="A164" s="13" t="s">
        <v>8409</v>
      </c>
      <c r="B164" s="13"/>
      <c r="C164" s="13" t="s">
        <v>8421</v>
      </c>
      <c r="D164" s="13" t="s">
        <v>1883</v>
      </c>
      <c r="E164" s="13" t="s">
        <v>8420</v>
      </c>
      <c r="F164" s="13"/>
      <c r="G164" s="13" t="s">
        <v>8409</v>
      </c>
      <c r="H164" s="13"/>
      <c r="I164" s="13"/>
      <c r="J164" s="13"/>
      <c r="K164" s="13" t="s">
        <v>1878</v>
      </c>
      <c r="L164" s="13"/>
      <c r="M164" s="14"/>
      <c r="N164" s="13"/>
      <c r="O164" s="13"/>
    </row>
    <row r="165" spans="1:15" ht="19.5" customHeight="1" x14ac:dyDescent="0.25">
      <c r="A165" s="11" t="s">
        <v>8409</v>
      </c>
      <c r="B165" s="11"/>
      <c r="C165" s="11" t="s">
        <v>8419</v>
      </c>
      <c r="D165" s="11" t="s">
        <v>1883</v>
      </c>
      <c r="E165" s="11" t="s">
        <v>8418</v>
      </c>
      <c r="F165" s="11"/>
      <c r="G165" s="11" t="s">
        <v>8409</v>
      </c>
      <c r="H165" s="11"/>
      <c r="I165" s="11"/>
      <c r="J165" s="11"/>
      <c r="K165" s="11" t="s">
        <v>1878</v>
      </c>
      <c r="L165" s="11"/>
      <c r="M165" s="12"/>
      <c r="N165" s="11"/>
      <c r="O165" s="11"/>
    </row>
    <row r="166" spans="1:15" ht="19.5" customHeight="1" x14ac:dyDescent="0.25">
      <c r="A166" s="13" t="s">
        <v>8409</v>
      </c>
      <c r="B166" s="13"/>
      <c r="C166" s="13" t="s">
        <v>8417</v>
      </c>
      <c r="D166" s="13" t="s">
        <v>1883</v>
      </c>
      <c r="E166" s="13" t="s">
        <v>8416</v>
      </c>
      <c r="F166" s="13"/>
      <c r="G166" s="13" t="s">
        <v>8409</v>
      </c>
      <c r="H166" s="13"/>
      <c r="I166" s="13"/>
      <c r="J166" s="13"/>
      <c r="K166" s="13" t="s">
        <v>1878</v>
      </c>
      <c r="L166" s="13"/>
      <c r="M166" s="14"/>
      <c r="N166" s="13"/>
      <c r="O166" s="13"/>
    </row>
    <row r="167" spans="1:15" ht="19.5" customHeight="1" x14ac:dyDescent="0.25">
      <c r="A167" s="11" t="s">
        <v>8409</v>
      </c>
      <c r="B167" s="11"/>
      <c r="C167" s="11" t="s">
        <v>8415</v>
      </c>
      <c r="D167" s="11" t="s">
        <v>1883</v>
      </c>
      <c r="E167" s="11" t="s">
        <v>8414</v>
      </c>
      <c r="F167" s="11"/>
      <c r="G167" s="11" t="s">
        <v>8409</v>
      </c>
      <c r="H167" s="11"/>
      <c r="I167" s="11"/>
      <c r="J167" s="11"/>
      <c r="K167" s="11" t="s">
        <v>1878</v>
      </c>
      <c r="L167" s="11"/>
      <c r="M167" s="12"/>
      <c r="N167" s="11"/>
      <c r="O167" s="11"/>
    </row>
    <row r="168" spans="1:15" ht="19.5" customHeight="1" x14ac:dyDescent="0.25">
      <c r="A168" s="13" t="s">
        <v>8409</v>
      </c>
      <c r="B168" s="13"/>
      <c r="C168" s="13" t="s">
        <v>8413</v>
      </c>
      <c r="D168" s="13" t="s">
        <v>1883</v>
      </c>
      <c r="E168" s="13" t="s">
        <v>8412</v>
      </c>
      <c r="F168" s="13"/>
      <c r="G168" s="13" t="s">
        <v>8409</v>
      </c>
      <c r="H168" s="13"/>
      <c r="I168" s="13"/>
      <c r="J168" s="13"/>
      <c r="K168" s="13" t="s">
        <v>1878</v>
      </c>
      <c r="L168" s="13"/>
      <c r="M168" s="14"/>
      <c r="N168" s="13"/>
      <c r="O168" s="13"/>
    </row>
    <row r="169" spans="1:15" ht="19.5" customHeight="1" x14ac:dyDescent="0.25">
      <c r="A169" s="11" t="s">
        <v>8409</v>
      </c>
      <c r="B169" s="11"/>
      <c r="C169" s="11" t="s">
        <v>8411</v>
      </c>
      <c r="D169" s="11" t="s">
        <v>1883</v>
      </c>
      <c r="E169" s="11" t="s">
        <v>8410</v>
      </c>
      <c r="F169" s="11"/>
      <c r="G169" s="11" t="s">
        <v>8409</v>
      </c>
      <c r="H169" s="11"/>
      <c r="I169" s="11"/>
      <c r="J169" s="11"/>
      <c r="K169" s="11" t="s">
        <v>1878</v>
      </c>
      <c r="L169" s="11"/>
      <c r="M169" s="12"/>
      <c r="N169" s="11"/>
      <c r="O169" s="11"/>
    </row>
    <row r="170" spans="1:15" ht="19.5" customHeight="1" x14ac:dyDescent="0.25">
      <c r="A170" s="13" t="s">
        <v>44</v>
      </c>
      <c r="B170" s="13"/>
      <c r="C170" s="13" t="s">
        <v>8408</v>
      </c>
      <c r="D170" s="13" t="s">
        <v>2368</v>
      </c>
      <c r="E170" s="13" t="s">
        <v>8405</v>
      </c>
      <c r="F170" s="13"/>
      <c r="G170" s="13" t="s">
        <v>44</v>
      </c>
      <c r="H170" s="13" t="s">
        <v>8404</v>
      </c>
      <c r="I170" s="13" t="s">
        <v>8403</v>
      </c>
      <c r="J170" s="13" t="s">
        <v>8402</v>
      </c>
      <c r="K170" s="13" t="s">
        <v>1878</v>
      </c>
      <c r="L170" s="13"/>
      <c r="M170" s="14"/>
      <c r="N170" s="13"/>
      <c r="O170" s="13" t="s">
        <v>2364</v>
      </c>
    </row>
    <row r="171" spans="1:15" ht="19.5" customHeight="1" x14ac:dyDescent="0.25">
      <c r="A171" s="11" t="s">
        <v>44</v>
      </c>
      <c r="B171" s="11"/>
      <c r="C171" s="11" t="s">
        <v>8407</v>
      </c>
      <c r="D171" s="11" t="s">
        <v>2368</v>
      </c>
      <c r="E171" s="11" t="s">
        <v>8405</v>
      </c>
      <c r="F171" s="11"/>
      <c r="G171" s="11" t="s">
        <v>44</v>
      </c>
      <c r="H171" s="11" t="s">
        <v>8404</v>
      </c>
      <c r="I171" s="11" t="s">
        <v>8403</v>
      </c>
      <c r="J171" s="11" t="s">
        <v>8402</v>
      </c>
      <c r="K171" s="11" t="s">
        <v>1878</v>
      </c>
      <c r="L171" s="11"/>
      <c r="M171" s="12"/>
      <c r="N171" s="11"/>
      <c r="O171" s="11" t="s">
        <v>2364</v>
      </c>
    </row>
    <row r="172" spans="1:15" ht="19.5" customHeight="1" x14ac:dyDescent="0.25">
      <c r="A172" s="13" t="s">
        <v>44</v>
      </c>
      <c r="B172" s="13"/>
      <c r="C172" s="13" t="s">
        <v>8406</v>
      </c>
      <c r="D172" s="13" t="s">
        <v>2368</v>
      </c>
      <c r="E172" s="13" t="s">
        <v>8405</v>
      </c>
      <c r="F172" s="13"/>
      <c r="G172" s="13" t="s">
        <v>44</v>
      </c>
      <c r="H172" s="13" t="s">
        <v>8404</v>
      </c>
      <c r="I172" s="13" t="s">
        <v>8403</v>
      </c>
      <c r="J172" s="13" t="s">
        <v>8402</v>
      </c>
      <c r="K172" s="13" t="s">
        <v>1878</v>
      </c>
      <c r="L172" s="13"/>
      <c r="M172" s="14"/>
      <c r="N172" s="13"/>
      <c r="O172" s="13" t="s">
        <v>2364</v>
      </c>
    </row>
    <row r="173" spans="1:15" ht="19.5" customHeight="1" x14ac:dyDescent="0.25">
      <c r="A173" s="11" t="s">
        <v>8395</v>
      </c>
      <c r="B173" s="11"/>
      <c r="C173" s="11" t="s">
        <v>8401</v>
      </c>
      <c r="D173" s="11" t="s">
        <v>1883</v>
      </c>
      <c r="E173" s="11" t="s">
        <v>8400</v>
      </c>
      <c r="F173" s="11"/>
      <c r="G173" s="11" t="s">
        <v>8395</v>
      </c>
      <c r="H173" s="11"/>
      <c r="I173" s="11"/>
      <c r="J173" s="11"/>
      <c r="K173" s="11"/>
      <c r="L173" s="11"/>
      <c r="M173" s="12"/>
      <c r="N173" s="11"/>
      <c r="O173" s="11"/>
    </row>
    <row r="174" spans="1:15" ht="19.5" customHeight="1" x14ac:dyDescent="0.25">
      <c r="A174" s="13" t="s">
        <v>8395</v>
      </c>
      <c r="B174" s="13"/>
      <c r="C174" s="13" t="s">
        <v>8399</v>
      </c>
      <c r="D174" s="13" t="s">
        <v>1883</v>
      </c>
      <c r="E174" s="13" t="s">
        <v>8398</v>
      </c>
      <c r="F174" s="13"/>
      <c r="G174" s="13" t="s">
        <v>8395</v>
      </c>
      <c r="H174" s="13"/>
      <c r="I174" s="13"/>
      <c r="J174" s="13"/>
      <c r="K174" s="13"/>
      <c r="L174" s="13"/>
      <c r="M174" s="14"/>
      <c r="N174" s="13"/>
      <c r="O174" s="13"/>
    </row>
    <row r="175" spans="1:15" ht="19.5" customHeight="1" x14ac:dyDescent="0.25">
      <c r="A175" s="11" t="s">
        <v>8395</v>
      </c>
      <c r="B175" s="11"/>
      <c r="C175" s="11" t="s">
        <v>8397</v>
      </c>
      <c r="D175" s="11" t="s">
        <v>1883</v>
      </c>
      <c r="E175" s="11" t="s">
        <v>8396</v>
      </c>
      <c r="F175" s="11"/>
      <c r="G175" s="11" t="s">
        <v>8395</v>
      </c>
      <c r="H175" s="11"/>
      <c r="I175" s="11"/>
      <c r="J175" s="11"/>
      <c r="K175" s="11"/>
      <c r="L175" s="11"/>
      <c r="M175" s="12"/>
      <c r="N175" s="11"/>
      <c r="O175" s="11"/>
    </row>
    <row r="176" spans="1:15" ht="19.5" customHeight="1" x14ac:dyDescent="0.25">
      <c r="A176" s="13" t="s">
        <v>8392</v>
      </c>
      <c r="B176" s="13"/>
      <c r="C176" s="13" t="s">
        <v>8394</v>
      </c>
      <c r="D176" s="13" t="s">
        <v>1883</v>
      </c>
      <c r="E176" s="13" t="s">
        <v>8393</v>
      </c>
      <c r="F176" s="13"/>
      <c r="G176" s="13" t="s">
        <v>8392</v>
      </c>
      <c r="H176" s="13"/>
      <c r="I176" s="13"/>
      <c r="J176" s="13"/>
      <c r="K176" s="13"/>
      <c r="L176" s="13"/>
      <c r="M176" s="14"/>
      <c r="N176" s="13"/>
      <c r="O176" s="13"/>
    </row>
    <row r="177" spans="1:15" ht="19.5" customHeight="1" x14ac:dyDescent="0.25">
      <c r="A177" s="11" t="s">
        <v>1432</v>
      </c>
      <c r="B177" s="11"/>
      <c r="C177" s="11" t="s">
        <v>8391</v>
      </c>
      <c r="D177" s="11" t="s">
        <v>2368</v>
      </c>
      <c r="E177" s="11"/>
      <c r="F177" s="11"/>
      <c r="G177" s="11" t="s">
        <v>1432</v>
      </c>
      <c r="H177" s="11"/>
      <c r="I177" s="11" t="s">
        <v>8390</v>
      </c>
      <c r="J177" s="11"/>
      <c r="K177" s="11" t="s">
        <v>2313</v>
      </c>
      <c r="L177" s="11"/>
      <c r="M177" s="12"/>
      <c r="N177" s="11"/>
      <c r="O177" s="11" t="s">
        <v>2364</v>
      </c>
    </row>
    <row r="178" spans="1:15" ht="19.5" customHeight="1" x14ac:dyDescent="0.25">
      <c r="A178" s="13" t="s">
        <v>46</v>
      </c>
      <c r="B178" s="13"/>
      <c r="C178" s="13" t="s">
        <v>8389</v>
      </c>
      <c r="D178" s="13" t="s">
        <v>2368</v>
      </c>
      <c r="E178" s="13" t="s">
        <v>8385</v>
      </c>
      <c r="F178" s="13"/>
      <c r="G178" s="13" t="s">
        <v>46</v>
      </c>
      <c r="H178" s="13"/>
      <c r="I178" s="13" t="s">
        <v>8384</v>
      </c>
      <c r="J178" s="13" t="s">
        <v>8383</v>
      </c>
      <c r="K178" s="13" t="s">
        <v>1878</v>
      </c>
      <c r="L178" s="13"/>
      <c r="M178" s="14"/>
      <c r="N178" s="13"/>
      <c r="O178" s="13" t="s">
        <v>2466</v>
      </c>
    </row>
    <row r="179" spans="1:15" ht="19.5" customHeight="1" x14ac:dyDescent="0.25">
      <c r="A179" s="11" t="s">
        <v>46</v>
      </c>
      <c r="B179" s="11"/>
      <c r="C179" s="11" t="s">
        <v>8388</v>
      </c>
      <c r="D179" s="11" t="s">
        <v>2368</v>
      </c>
      <c r="E179" s="11" t="s">
        <v>8385</v>
      </c>
      <c r="F179" s="11"/>
      <c r="G179" s="11" t="s">
        <v>46</v>
      </c>
      <c r="H179" s="11"/>
      <c r="I179" s="11" t="s">
        <v>8384</v>
      </c>
      <c r="J179" s="11" t="s">
        <v>8383</v>
      </c>
      <c r="K179" s="11" t="s">
        <v>1878</v>
      </c>
      <c r="L179" s="11"/>
      <c r="M179" s="12"/>
      <c r="N179" s="11"/>
      <c r="O179" s="11" t="s">
        <v>2364</v>
      </c>
    </row>
    <row r="180" spans="1:15" ht="19.5" customHeight="1" x14ac:dyDescent="0.25">
      <c r="A180" s="13" t="s">
        <v>46</v>
      </c>
      <c r="B180" s="13"/>
      <c r="C180" s="13" t="s">
        <v>8387</v>
      </c>
      <c r="D180" s="13" t="s">
        <v>2368</v>
      </c>
      <c r="E180" s="13" t="s">
        <v>8385</v>
      </c>
      <c r="F180" s="13"/>
      <c r="G180" s="13" t="s">
        <v>46</v>
      </c>
      <c r="H180" s="13"/>
      <c r="I180" s="13" t="s">
        <v>8384</v>
      </c>
      <c r="J180" s="13" t="s">
        <v>8383</v>
      </c>
      <c r="K180" s="13" t="s">
        <v>1878</v>
      </c>
      <c r="L180" s="13"/>
      <c r="M180" s="14"/>
      <c r="N180" s="13"/>
      <c r="O180" s="13" t="s">
        <v>2364</v>
      </c>
    </row>
    <row r="181" spans="1:15" ht="19.5" customHeight="1" x14ac:dyDescent="0.25">
      <c r="A181" s="11" t="s">
        <v>46</v>
      </c>
      <c r="B181" s="11"/>
      <c r="C181" s="11" t="s">
        <v>8386</v>
      </c>
      <c r="D181" s="11" t="s">
        <v>2368</v>
      </c>
      <c r="E181" s="11" t="s">
        <v>8385</v>
      </c>
      <c r="F181" s="11"/>
      <c r="G181" s="11" t="s">
        <v>46</v>
      </c>
      <c r="H181" s="11"/>
      <c r="I181" s="11" t="s">
        <v>8384</v>
      </c>
      <c r="J181" s="11" t="s">
        <v>8383</v>
      </c>
      <c r="K181" s="11" t="s">
        <v>1878</v>
      </c>
      <c r="L181" s="11"/>
      <c r="M181" s="12"/>
      <c r="N181" s="11"/>
      <c r="O181" s="11" t="s">
        <v>2364</v>
      </c>
    </row>
    <row r="182" spans="1:15" ht="19.5" customHeight="1" x14ac:dyDescent="0.25">
      <c r="A182" s="13" t="s">
        <v>8380</v>
      </c>
      <c r="B182" s="13"/>
      <c r="C182" s="13" t="s">
        <v>8382</v>
      </c>
      <c r="D182" s="13" t="s">
        <v>2368</v>
      </c>
      <c r="E182" s="13" t="s">
        <v>8381</v>
      </c>
      <c r="F182" s="13"/>
      <c r="G182" s="13" t="s">
        <v>8380</v>
      </c>
      <c r="H182" s="13"/>
      <c r="I182" s="13"/>
      <c r="J182" s="13"/>
      <c r="K182" s="13"/>
      <c r="L182" s="13"/>
      <c r="M182" s="14"/>
      <c r="N182" s="13"/>
      <c r="O182" s="13" t="s">
        <v>8379</v>
      </c>
    </row>
    <row r="183" spans="1:15" ht="19.5" customHeight="1" x14ac:dyDescent="0.25">
      <c r="A183" s="11" t="s">
        <v>8376</v>
      </c>
      <c r="B183" s="11"/>
      <c r="C183" s="11" t="s">
        <v>8378</v>
      </c>
      <c r="D183" s="11" t="s">
        <v>1883</v>
      </c>
      <c r="E183" s="11" t="s">
        <v>8377</v>
      </c>
      <c r="F183" s="11"/>
      <c r="G183" s="11" t="s">
        <v>8376</v>
      </c>
      <c r="H183" s="11"/>
      <c r="I183" s="11"/>
      <c r="J183" s="11"/>
      <c r="K183" s="11"/>
      <c r="L183" s="11"/>
      <c r="M183" s="12"/>
      <c r="N183" s="11"/>
      <c r="O183" s="11"/>
    </row>
    <row r="184" spans="1:15" ht="19.5" customHeight="1" x14ac:dyDescent="0.25">
      <c r="A184" s="13" t="s">
        <v>48</v>
      </c>
      <c r="B184" s="13"/>
      <c r="C184" s="13" t="s">
        <v>8375</v>
      </c>
      <c r="D184" s="13" t="s">
        <v>2368</v>
      </c>
      <c r="E184" s="13" t="s">
        <v>8371</v>
      </c>
      <c r="F184" s="13"/>
      <c r="G184" s="13" t="s">
        <v>48</v>
      </c>
      <c r="H184" s="13"/>
      <c r="I184" s="13" t="s">
        <v>8370</v>
      </c>
      <c r="J184" s="13" t="s">
        <v>8369</v>
      </c>
      <c r="K184" s="13" t="s">
        <v>2093</v>
      </c>
      <c r="L184" s="13"/>
      <c r="M184" s="14"/>
      <c r="N184" s="13"/>
      <c r="O184" s="13" t="s">
        <v>2364</v>
      </c>
    </row>
    <row r="185" spans="1:15" ht="19.5" customHeight="1" x14ac:dyDescent="0.25">
      <c r="A185" s="11" t="s">
        <v>48</v>
      </c>
      <c r="B185" s="11"/>
      <c r="C185" s="11" t="s">
        <v>8374</v>
      </c>
      <c r="D185" s="11" t="s">
        <v>2368</v>
      </c>
      <c r="E185" s="11" t="s">
        <v>8371</v>
      </c>
      <c r="F185" s="11"/>
      <c r="G185" s="11" t="s">
        <v>48</v>
      </c>
      <c r="H185" s="11"/>
      <c r="I185" s="11" t="s">
        <v>8370</v>
      </c>
      <c r="J185" s="11" t="s">
        <v>8369</v>
      </c>
      <c r="K185" s="11" t="s">
        <v>2093</v>
      </c>
      <c r="L185" s="11"/>
      <c r="M185" s="12"/>
      <c r="N185" s="11"/>
      <c r="O185" s="11" t="s">
        <v>2466</v>
      </c>
    </row>
    <row r="186" spans="1:15" ht="19.5" customHeight="1" x14ac:dyDescent="0.25">
      <c r="A186" s="13" t="s">
        <v>48</v>
      </c>
      <c r="B186" s="13"/>
      <c r="C186" s="13" t="s">
        <v>8373</v>
      </c>
      <c r="D186" s="13" t="s">
        <v>2368</v>
      </c>
      <c r="E186" s="13" t="s">
        <v>8371</v>
      </c>
      <c r="F186" s="13"/>
      <c r="G186" s="13" t="s">
        <v>48</v>
      </c>
      <c r="H186" s="13"/>
      <c r="I186" s="13" t="s">
        <v>8370</v>
      </c>
      <c r="J186" s="13" t="s">
        <v>8369</v>
      </c>
      <c r="K186" s="13" t="s">
        <v>2093</v>
      </c>
      <c r="L186" s="13"/>
      <c r="M186" s="14"/>
      <c r="N186" s="13"/>
      <c r="O186" s="13" t="s">
        <v>2364</v>
      </c>
    </row>
    <row r="187" spans="1:15" ht="19.5" customHeight="1" x14ac:dyDescent="0.25">
      <c r="A187" s="11" t="s">
        <v>48</v>
      </c>
      <c r="B187" s="11"/>
      <c r="C187" s="11" t="s">
        <v>8372</v>
      </c>
      <c r="D187" s="11" t="s">
        <v>2368</v>
      </c>
      <c r="E187" s="11" t="s">
        <v>8371</v>
      </c>
      <c r="F187" s="11"/>
      <c r="G187" s="11" t="s">
        <v>48</v>
      </c>
      <c r="H187" s="11"/>
      <c r="I187" s="11" t="s">
        <v>8370</v>
      </c>
      <c r="J187" s="11" t="s">
        <v>8369</v>
      </c>
      <c r="K187" s="11" t="s">
        <v>2093</v>
      </c>
      <c r="L187" s="11"/>
      <c r="M187" s="12"/>
      <c r="N187" s="11"/>
      <c r="O187" s="11" t="s">
        <v>2364</v>
      </c>
    </row>
    <row r="188" spans="1:15" ht="19.5" customHeight="1" x14ac:dyDescent="0.25">
      <c r="A188" s="13" t="s">
        <v>8366</v>
      </c>
      <c r="B188" s="13"/>
      <c r="C188" s="13" t="s">
        <v>8368</v>
      </c>
      <c r="D188" s="13" t="s">
        <v>2368</v>
      </c>
      <c r="E188" s="13" t="s">
        <v>8367</v>
      </c>
      <c r="F188" s="13"/>
      <c r="G188" s="13" t="s">
        <v>8366</v>
      </c>
      <c r="H188" s="13"/>
      <c r="I188" s="13" t="s">
        <v>8365</v>
      </c>
      <c r="J188" s="13" t="s">
        <v>8364</v>
      </c>
      <c r="K188" s="13" t="s">
        <v>1878</v>
      </c>
      <c r="L188" s="13"/>
      <c r="M188" s="14"/>
      <c r="N188" s="13"/>
      <c r="O188" s="13" t="s">
        <v>2364</v>
      </c>
    </row>
    <row r="189" spans="1:15" ht="19.5" customHeight="1" x14ac:dyDescent="0.25">
      <c r="A189" s="11" t="s">
        <v>50</v>
      </c>
      <c r="B189" s="11"/>
      <c r="C189" s="11" t="s">
        <v>8363</v>
      </c>
      <c r="D189" s="11" t="s">
        <v>2368</v>
      </c>
      <c r="E189" s="11" t="s">
        <v>8360</v>
      </c>
      <c r="F189" s="11"/>
      <c r="G189" s="11" t="s">
        <v>50</v>
      </c>
      <c r="H189" s="11"/>
      <c r="I189" s="11" t="s">
        <v>8359</v>
      </c>
      <c r="J189" s="11" t="s">
        <v>8358</v>
      </c>
      <c r="K189" s="11" t="s">
        <v>1878</v>
      </c>
      <c r="L189" s="11"/>
      <c r="M189" s="12"/>
      <c r="N189" s="11"/>
      <c r="O189" s="11" t="s">
        <v>2364</v>
      </c>
    </row>
    <row r="190" spans="1:15" ht="19.5" customHeight="1" x14ac:dyDescent="0.25">
      <c r="A190" s="13" t="s">
        <v>50</v>
      </c>
      <c r="B190" s="13"/>
      <c r="C190" s="13" t="s">
        <v>8362</v>
      </c>
      <c r="D190" s="13" t="s">
        <v>2368</v>
      </c>
      <c r="E190" s="13" t="s">
        <v>8360</v>
      </c>
      <c r="F190" s="13"/>
      <c r="G190" s="13" t="s">
        <v>50</v>
      </c>
      <c r="H190" s="13"/>
      <c r="I190" s="13" t="s">
        <v>8359</v>
      </c>
      <c r="J190" s="13" t="s">
        <v>8358</v>
      </c>
      <c r="K190" s="13" t="s">
        <v>1878</v>
      </c>
      <c r="L190" s="13"/>
      <c r="M190" s="14"/>
      <c r="N190" s="13"/>
      <c r="O190" s="13" t="s">
        <v>2364</v>
      </c>
    </row>
    <row r="191" spans="1:15" ht="19.5" customHeight="1" x14ac:dyDescent="0.25">
      <c r="A191" s="11" t="s">
        <v>50</v>
      </c>
      <c r="B191" s="11"/>
      <c r="C191" s="11" t="s">
        <v>8361</v>
      </c>
      <c r="D191" s="11" t="s">
        <v>2368</v>
      </c>
      <c r="E191" s="11" t="s">
        <v>8360</v>
      </c>
      <c r="F191" s="11"/>
      <c r="G191" s="11" t="s">
        <v>50</v>
      </c>
      <c r="H191" s="11"/>
      <c r="I191" s="11" t="s">
        <v>8359</v>
      </c>
      <c r="J191" s="11" t="s">
        <v>8358</v>
      </c>
      <c r="K191" s="11" t="s">
        <v>1878</v>
      </c>
      <c r="L191" s="11"/>
      <c r="M191" s="12"/>
      <c r="N191" s="11"/>
      <c r="O191" s="11" t="s">
        <v>2364</v>
      </c>
    </row>
    <row r="192" spans="1:15" ht="19.5" customHeight="1" x14ac:dyDescent="0.25">
      <c r="A192" s="13" t="s">
        <v>52</v>
      </c>
      <c r="B192" s="13"/>
      <c r="C192" s="13" t="s">
        <v>8357</v>
      </c>
      <c r="D192" s="13" t="s">
        <v>2368</v>
      </c>
      <c r="E192" s="13" t="s">
        <v>8354</v>
      </c>
      <c r="F192" s="13"/>
      <c r="G192" s="13" t="s">
        <v>52</v>
      </c>
      <c r="H192" s="13"/>
      <c r="I192" s="13" t="s">
        <v>8353</v>
      </c>
      <c r="J192" s="13" t="s">
        <v>8352</v>
      </c>
      <c r="K192" s="13" t="s">
        <v>8349</v>
      </c>
      <c r="L192" s="13"/>
      <c r="M192" s="14"/>
      <c r="N192" s="13"/>
      <c r="O192" s="13" t="s">
        <v>2470</v>
      </c>
    </row>
    <row r="193" spans="1:15" ht="19.5" customHeight="1" x14ac:dyDescent="0.25">
      <c r="A193" s="11" t="s">
        <v>52</v>
      </c>
      <c r="B193" s="11"/>
      <c r="C193" s="11" t="s">
        <v>8356</v>
      </c>
      <c r="D193" s="11" t="s">
        <v>2368</v>
      </c>
      <c r="E193" s="11" t="s">
        <v>8354</v>
      </c>
      <c r="F193" s="11"/>
      <c r="G193" s="11" t="s">
        <v>52</v>
      </c>
      <c r="H193" s="11"/>
      <c r="I193" s="11" t="s">
        <v>8353</v>
      </c>
      <c r="J193" s="11" t="s">
        <v>8352</v>
      </c>
      <c r="K193" s="11" t="s">
        <v>8349</v>
      </c>
      <c r="L193" s="11"/>
      <c r="M193" s="12"/>
      <c r="N193" s="11"/>
      <c r="O193" s="11" t="s">
        <v>2470</v>
      </c>
    </row>
    <row r="194" spans="1:15" ht="19.5" customHeight="1" x14ac:dyDescent="0.25">
      <c r="A194" s="13" t="s">
        <v>52</v>
      </c>
      <c r="B194" s="13"/>
      <c r="C194" s="13" t="s">
        <v>8355</v>
      </c>
      <c r="D194" s="13" t="s">
        <v>2368</v>
      </c>
      <c r="E194" s="13" t="s">
        <v>8354</v>
      </c>
      <c r="F194" s="13"/>
      <c r="G194" s="13" t="s">
        <v>52</v>
      </c>
      <c r="H194" s="13"/>
      <c r="I194" s="13" t="s">
        <v>8353</v>
      </c>
      <c r="J194" s="13" t="s">
        <v>8352</v>
      </c>
      <c r="K194" s="13" t="s">
        <v>8349</v>
      </c>
      <c r="L194" s="13"/>
      <c r="M194" s="14"/>
      <c r="N194" s="13"/>
      <c r="O194" s="13" t="s">
        <v>2470</v>
      </c>
    </row>
    <row r="195" spans="1:15" ht="19.5" customHeight="1" x14ac:dyDescent="0.25">
      <c r="A195" s="11" t="s">
        <v>52</v>
      </c>
      <c r="B195" s="11"/>
      <c r="C195" s="11" t="s">
        <v>8351</v>
      </c>
      <c r="D195" s="11" t="s">
        <v>2368</v>
      </c>
      <c r="E195" s="11" t="s">
        <v>8350</v>
      </c>
      <c r="F195" s="11"/>
      <c r="G195" s="11" t="s">
        <v>52</v>
      </c>
      <c r="H195" s="11"/>
      <c r="I195" s="11"/>
      <c r="J195" s="11"/>
      <c r="K195" s="11" t="s">
        <v>8349</v>
      </c>
      <c r="L195" s="11"/>
      <c r="M195" s="12"/>
      <c r="N195" s="11"/>
      <c r="O195" s="11" t="s">
        <v>2466</v>
      </c>
    </row>
    <row r="196" spans="1:15" ht="19.5" customHeight="1" x14ac:dyDescent="0.25">
      <c r="A196" s="13" t="s">
        <v>1757</v>
      </c>
      <c r="B196" s="13"/>
      <c r="C196" s="13" t="s">
        <v>8348</v>
      </c>
      <c r="D196" s="13" t="s">
        <v>1883</v>
      </c>
      <c r="E196" s="13" t="s">
        <v>8347</v>
      </c>
      <c r="F196" s="13"/>
      <c r="G196" s="13" t="s">
        <v>8346</v>
      </c>
      <c r="H196" s="13"/>
      <c r="I196" s="13" t="s">
        <v>8345</v>
      </c>
      <c r="J196" s="13" t="s">
        <v>8344</v>
      </c>
      <c r="K196" s="13" t="s">
        <v>8343</v>
      </c>
      <c r="L196" s="13"/>
      <c r="M196" s="14"/>
      <c r="N196" s="13"/>
      <c r="O196" s="13" t="s">
        <v>2364</v>
      </c>
    </row>
    <row r="197" spans="1:15" ht="19.5" customHeight="1" x14ac:dyDescent="0.25">
      <c r="A197" s="11" t="s">
        <v>54</v>
      </c>
      <c r="B197" s="11"/>
      <c r="C197" s="11" t="s">
        <v>8342</v>
      </c>
      <c r="D197" s="11" t="s">
        <v>2368</v>
      </c>
      <c r="E197" s="11" t="s">
        <v>8337</v>
      </c>
      <c r="F197" s="11"/>
      <c r="G197" s="11" t="s">
        <v>54</v>
      </c>
      <c r="H197" s="11" t="s">
        <v>8336</v>
      </c>
      <c r="I197" s="11" t="s">
        <v>8335</v>
      </c>
      <c r="J197" s="11" t="s">
        <v>8334</v>
      </c>
      <c r="K197" s="11" t="s">
        <v>2453</v>
      </c>
      <c r="L197" s="11"/>
      <c r="M197" s="12"/>
      <c r="N197" s="11"/>
      <c r="O197" s="11" t="s">
        <v>2470</v>
      </c>
    </row>
    <row r="198" spans="1:15" ht="19.5" customHeight="1" x14ac:dyDescent="0.25">
      <c r="A198" s="13" t="s">
        <v>54</v>
      </c>
      <c r="B198" s="13"/>
      <c r="C198" s="13" t="s">
        <v>8341</v>
      </c>
      <c r="D198" s="13" t="s">
        <v>2368</v>
      </c>
      <c r="E198" s="13" t="s">
        <v>8337</v>
      </c>
      <c r="F198" s="13"/>
      <c r="G198" s="13" t="s">
        <v>54</v>
      </c>
      <c r="H198" s="13" t="s">
        <v>8336</v>
      </c>
      <c r="I198" s="13" t="s">
        <v>8335</v>
      </c>
      <c r="J198" s="13" t="s">
        <v>8334</v>
      </c>
      <c r="K198" s="13" t="s">
        <v>2453</v>
      </c>
      <c r="L198" s="13"/>
      <c r="M198" s="14"/>
      <c r="N198" s="13"/>
      <c r="O198" s="13" t="s">
        <v>2470</v>
      </c>
    </row>
    <row r="199" spans="1:15" ht="19.5" customHeight="1" x14ac:dyDescent="0.25">
      <c r="A199" s="11" t="s">
        <v>54</v>
      </c>
      <c r="B199" s="11"/>
      <c r="C199" s="11" t="s">
        <v>8340</v>
      </c>
      <c r="D199" s="11" t="s">
        <v>2368</v>
      </c>
      <c r="E199" s="11" t="s">
        <v>8339</v>
      </c>
      <c r="F199" s="11"/>
      <c r="G199" s="11" t="s">
        <v>54</v>
      </c>
      <c r="H199" s="11"/>
      <c r="I199" s="11"/>
      <c r="J199" s="11"/>
      <c r="K199" s="11" t="s">
        <v>2453</v>
      </c>
      <c r="L199" s="11"/>
      <c r="M199" s="12"/>
      <c r="N199" s="11"/>
      <c r="O199" s="11" t="s">
        <v>2466</v>
      </c>
    </row>
    <row r="200" spans="1:15" ht="19.5" customHeight="1" x14ac:dyDescent="0.25">
      <c r="A200" s="13" t="s">
        <v>54</v>
      </c>
      <c r="B200" s="13"/>
      <c r="C200" s="13" t="s">
        <v>8338</v>
      </c>
      <c r="D200" s="13" t="s">
        <v>2368</v>
      </c>
      <c r="E200" s="13" t="s">
        <v>8337</v>
      </c>
      <c r="F200" s="13"/>
      <c r="G200" s="13" t="s">
        <v>54</v>
      </c>
      <c r="H200" s="13" t="s">
        <v>8336</v>
      </c>
      <c r="I200" s="13" t="s">
        <v>8335</v>
      </c>
      <c r="J200" s="13" t="s">
        <v>8334</v>
      </c>
      <c r="K200" s="13" t="s">
        <v>2453</v>
      </c>
      <c r="L200" s="13"/>
      <c r="M200" s="14"/>
      <c r="N200" s="13"/>
      <c r="O200" s="13" t="s">
        <v>2470</v>
      </c>
    </row>
    <row r="201" spans="1:15" ht="19.5" customHeight="1" x14ac:dyDescent="0.25">
      <c r="A201" s="11" t="s">
        <v>8778</v>
      </c>
      <c r="B201" s="11"/>
      <c r="C201" s="11" t="s">
        <v>8779</v>
      </c>
      <c r="D201" s="11" t="s">
        <v>1883</v>
      </c>
      <c r="E201" s="11"/>
      <c r="F201" s="11"/>
      <c r="G201" s="11" t="s">
        <v>8778</v>
      </c>
      <c r="H201" s="11"/>
      <c r="I201" s="11"/>
      <c r="J201" s="11"/>
      <c r="K201" s="11"/>
      <c r="L201" s="11"/>
      <c r="M201" s="12"/>
      <c r="N201" s="11"/>
      <c r="O201" s="11"/>
    </row>
    <row r="202" spans="1:15" ht="19.5" customHeight="1" x14ac:dyDescent="0.25">
      <c r="A202" s="13" t="s">
        <v>1379</v>
      </c>
      <c r="B202" s="13"/>
      <c r="C202" s="13" t="s">
        <v>8333</v>
      </c>
      <c r="D202" s="13" t="s">
        <v>2368</v>
      </c>
      <c r="E202" s="13" t="s">
        <v>8332</v>
      </c>
      <c r="F202" s="13"/>
      <c r="G202" s="13" t="s">
        <v>1379</v>
      </c>
      <c r="H202" s="13"/>
      <c r="I202" s="13" t="s">
        <v>8331</v>
      </c>
      <c r="J202" s="13" t="s">
        <v>8330</v>
      </c>
      <c r="K202" s="13" t="s">
        <v>2953</v>
      </c>
      <c r="L202" s="13"/>
      <c r="M202" s="14"/>
      <c r="N202" s="13"/>
      <c r="O202" s="13" t="s">
        <v>2470</v>
      </c>
    </row>
    <row r="203" spans="1:15" ht="19.5" customHeight="1" x14ac:dyDescent="0.25">
      <c r="A203" s="11" t="s">
        <v>8327</v>
      </c>
      <c r="B203" s="11"/>
      <c r="C203" s="11" t="s">
        <v>8329</v>
      </c>
      <c r="D203" s="11" t="s">
        <v>2368</v>
      </c>
      <c r="E203" s="11" t="s">
        <v>8328</v>
      </c>
      <c r="F203" s="11"/>
      <c r="G203" s="11" t="s">
        <v>8327</v>
      </c>
      <c r="H203" s="11"/>
      <c r="I203" s="11" t="s">
        <v>8326</v>
      </c>
      <c r="J203" s="11" t="s">
        <v>8325</v>
      </c>
      <c r="K203" s="11" t="s">
        <v>2093</v>
      </c>
      <c r="L203" s="11"/>
      <c r="M203" s="12"/>
      <c r="N203" s="11"/>
      <c r="O203" s="11" t="s">
        <v>2364</v>
      </c>
    </row>
    <row r="204" spans="1:15" ht="19.5" customHeight="1" x14ac:dyDescent="0.25">
      <c r="A204" s="13" t="s">
        <v>56</v>
      </c>
      <c r="B204" s="13"/>
      <c r="C204" s="13" t="s">
        <v>8324</v>
      </c>
      <c r="D204" s="13" t="s">
        <v>1950</v>
      </c>
      <c r="E204" s="13" t="s">
        <v>8323</v>
      </c>
      <c r="F204" s="13"/>
      <c r="G204" s="13" t="s">
        <v>56</v>
      </c>
      <c r="H204" s="13" t="s">
        <v>8322</v>
      </c>
      <c r="I204" s="13" t="s">
        <v>8321</v>
      </c>
      <c r="J204" s="13"/>
      <c r="K204" s="13" t="s">
        <v>1908</v>
      </c>
      <c r="L204" s="13"/>
      <c r="M204" s="14"/>
      <c r="N204" s="13"/>
      <c r="O204" s="13" t="s">
        <v>2470</v>
      </c>
    </row>
    <row r="205" spans="1:15" ht="19.5" customHeight="1" x14ac:dyDescent="0.25">
      <c r="A205" s="11" t="s">
        <v>8899</v>
      </c>
      <c r="B205" s="11"/>
      <c r="C205" s="11" t="s">
        <v>8900</v>
      </c>
      <c r="D205" s="11" t="s">
        <v>2368</v>
      </c>
      <c r="E205" s="11" t="s">
        <v>8901</v>
      </c>
      <c r="F205" s="11"/>
      <c r="G205" s="11"/>
      <c r="H205" s="11"/>
      <c r="I205" s="11"/>
      <c r="J205" s="11"/>
      <c r="K205" s="11"/>
      <c r="L205" s="11"/>
      <c r="M205" s="12"/>
      <c r="N205" s="11"/>
      <c r="O205" s="11"/>
    </row>
    <row r="206" spans="1:15" ht="19.5" customHeight="1" x14ac:dyDescent="0.25">
      <c r="A206" s="13" t="s">
        <v>58</v>
      </c>
      <c r="B206" s="13"/>
      <c r="C206" s="13" t="s">
        <v>8320</v>
      </c>
      <c r="D206" s="13" t="s">
        <v>1883</v>
      </c>
      <c r="E206" s="13" t="s">
        <v>8316</v>
      </c>
      <c r="F206" s="13" t="s">
        <v>8319</v>
      </c>
      <c r="G206" s="13" t="s">
        <v>58</v>
      </c>
      <c r="H206" s="13" t="s">
        <v>8314</v>
      </c>
      <c r="I206" s="13" t="s">
        <v>8313</v>
      </c>
      <c r="J206" s="13" t="s">
        <v>8312</v>
      </c>
      <c r="K206" s="13" t="s">
        <v>2313</v>
      </c>
      <c r="L206" s="13"/>
      <c r="M206" s="14"/>
      <c r="N206" s="13"/>
      <c r="O206" s="13" t="s">
        <v>1877</v>
      </c>
    </row>
    <row r="207" spans="1:15" ht="19.5" customHeight="1" x14ac:dyDescent="0.25">
      <c r="A207" s="11" t="s">
        <v>58</v>
      </c>
      <c r="B207" s="11"/>
      <c r="C207" s="11" t="s">
        <v>8318</v>
      </c>
      <c r="D207" s="11" t="s">
        <v>1883</v>
      </c>
      <c r="E207" s="11" t="s">
        <v>8316</v>
      </c>
      <c r="F207" s="11" t="s">
        <v>8315</v>
      </c>
      <c r="G207" s="11" t="s">
        <v>58</v>
      </c>
      <c r="H207" s="11" t="s">
        <v>8314</v>
      </c>
      <c r="I207" s="11" t="s">
        <v>8313</v>
      </c>
      <c r="J207" s="11" t="s">
        <v>8312</v>
      </c>
      <c r="K207" s="11" t="s">
        <v>2313</v>
      </c>
      <c r="L207" s="11"/>
      <c r="M207" s="12"/>
      <c r="N207" s="11"/>
      <c r="O207" s="11" t="s">
        <v>1877</v>
      </c>
    </row>
    <row r="208" spans="1:15" ht="19.5" customHeight="1" x14ac:dyDescent="0.25">
      <c r="A208" s="13" t="s">
        <v>58</v>
      </c>
      <c r="B208" s="13"/>
      <c r="C208" s="13" t="s">
        <v>8317</v>
      </c>
      <c r="D208" s="13" t="s">
        <v>1883</v>
      </c>
      <c r="E208" s="13" t="s">
        <v>8316</v>
      </c>
      <c r="F208" s="13" t="s">
        <v>8315</v>
      </c>
      <c r="G208" s="13" t="s">
        <v>58</v>
      </c>
      <c r="H208" s="13" t="s">
        <v>8314</v>
      </c>
      <c r="I208" s="13" t="s">
        <v>8313</v>
      </c>
      <c r="J208" s="13" t="s">
        <v>8312</v>
      </c>
      <c r="K208" s="13" t="s">
        <v>2313</v>
      </c>
      <c r="L208" s="13"/>
      <c r="M208" s="14"/>
      <c r="N208" s="13"/>
      <c r="O208" s="13" t="s">
        <v>1877</v>
      </c>
    </row>
    <row r="209" spans="1:15" ht="19.5" customHeight="1" x14ac:dyDescent="0.25">
      <c r="A209" s="11" t="s">
        <v>805</v>
      </c>
      <c r="B209" s="11"/>
      <c r="C209" s="11" t="s">
        <v>8311</v>
      </c>
      <c r="D209" s="11" t="s">
        <v>1883</v>
      </c>
      <c r="E209" s="11" t="s">
        <v>8800</v>
      </c>
      <c r="F209" s="11"/>
      <c r="G209" s="11" t="s">
        <v>805</v>
      </c>
      <c r="H209" s="11"/>
      <c r="I209" s="11" t="s">
        <v>8308</v>
      </c>
      <c r="J209" s="11" t="s">
        <v>8307</v>
      </c>
      <c r="K209" s="11" t="s">
        <v>2313</v>
      </c>
      <c r="L209" s="11"/>
      <c r="M209" s="12"/>
      <c r="N209" s="11"/>
      <c r="O209" s="11" t="s">
        <v>1877</v>
      </c>
    </row>
    <row r="210" spans="1:15" ht="19.5" customHeight="1" x14ac:dyDescent="0.25">
      <c r="A210" s="13" t="s">
        <v>805</v>
      </c>
      <c r="B210" s="13"/>
      <c r="C210" s="13" t="s">
        <v>8310</v>
      </c>
      <c r="D210" s="13" t="s">
        <v>1883</v>
      </c>
      <c r="E210" s="13" t="s">
        <v>8800</v>
      </c>
      <c r="F210" s="13"/>
      <c r="G210" s="13" t="s">
        <v>805</v>
      </c>
      <c r="H210" s="13"/>
      <c r="I210" s="13" t="s">
        <v>8308</v>
      </c>
      <c r="J210" s="13" t="s">
        <v>8307</v>
      </c>
      <c r="K210" s="13" t="s">
        <v>2313</v>
      </c>
      <c r="L210" s="13"/>
      <c r="M210" s="14"/>
      <c r="N210" s="13"/>
      <c r="O210" s="13" t="s">
        <v>1877</v>
      </c>
    </row>
    <row r="211" spans="1:15" ht="19.5" customHeight="1" x14ac:dyDescent="0.25">
      <c r="A211" s="11" t="s">
        <v>805</v>
      </c>
      <c r="B211" s="11"/>
      <c r="C211" s="11" t="s">
        <v>8309</v>
      </c>
      <c r="D211" s="11" t="s">
        <v>1883</v>
      </c>
      <c r="E211" s="11" t="s">
        <v>8800</v>
      </c>
      <c r="F211" s="11"/>
      <c r="G211" s="11" t="s">
        <v>805</v>
      </c>
      <c r="H211" s="11"/>
      <c r="I211" s="11" t="s">
        <v>8308</v>
      </c>
      <c r="J211" s="11" t="s">
        <v>8307</v>
      </c>
      <c r="K211" s="11" t="s">
        <v>2313</v>
      </c>
      <c r="L211" s="11"/>
      <c r="M211" s="12"/>
      <c r="N211" s="11"/>
      <c r="O211" s="11" t="s">
        <v>1877</v>
      </c>
    </row>
    <row r="212" spans="1:15" ht="19.5" customHeight="1" x14ac:dyDescent="0.25">
      <c r="A212" s="13" t="s">
        <v>8304</v>
      </c>
      <c r="B212" s="13"/>
      <c r="C212" s="13" t="s">
        <v>8306</v>
      </c>
      <c r="D212" s="13" t="s">
        <v>1950</v>
      </c>
      <c r="E212" s="13" t="s">
        <v>8305</v>
      </c>
      <c r="F212" s="13"/>
      <c r="G212" s="13" t="s">
        <v>8304</v>
      </c>
      <c r="H212" s="13"/>
      <c r="I212" s="13" t="s">
        <v>8303</v>
      </c>
      <c r="J212" s="13"/>
      <c r="K212" s="13" t="s">
        <v>2033</v>
      </c>
      <c r="L212" s="13"/>
      <c r="M212" s="14"/>
      <c r="N212" s="13"/>
      <c r="O212" s="13" t="s">
        <v>1945</v>
      </c>
    </row>
    <row r="213" spans="1:15" ht="19.5" customHeight="1" x14ac:dyDescent="0.25">
      <c r="A213" s="11" t="s">
        <v>1572</v>
      </c>
      <c r="B213" s="11"/>
      <c r="C213" s="11" t="s">
        <v>1571</v>
      </c>
      <c r="D213" s="11" t="s">
        <v>1883</v>
      </c>
      <c r="E213" s="11" t="s">
        <v>3885</v>
      </c>
      <c r="F213" s="11"/>
      <c r="G213" s="11" t="s">
        <v>1572</v>
      </c>
      <c r="H213" s="11"/>
      <c r="I213" s="11" t="s">
        <v>3059</v>
      </c>
      <c r="J213" s="11" t="s">
        <v>8302</v>
      </c>
      <c r="K213" s="11" t="s">
        <v>1952</v>
      </c>
      <c r="L213" s="11"/>
      <c r="M213" s="12"/>
      <c r="N213" s="11"/>
      <c r="O213" s="11" t="s">
        <v>1945</v>
      </c>
    </row>
    <row r="214" spans="1:15" ht="19.5" customHeight="1" x14ac:dyDescent="0.25">
      <c r="A214" s="13" t="s">
        <v>1378</v>
      </c>
      <c r="B214" s="13"/>
      <c r="C214" s="13" t="s">
        <v>8301</v>
      </c>
      <c r="D214" s="13" t="s">
        <v>1950</v>
      </c>
      <c r="E214" s="13"/>
      <c r="F214" s="13"/>
      <c r="G214" s="13" t="s">
        <v>1378</v>
      </c>
      <c r="H214" s="13"/>
      <c r="I214" s="13"/>
      <c r="J214" s="13"/>
      <c r="K214" s="13"/>
      <c r="L214" s="13"/>
      <c r="M214" s="14"/>
      <c r="N214" s="13"/>
      <c r="O214" s="13" t="s">
        <v>1945</v>
      </c>
    </row>
    <row r="215" spans="1:15" ht="19.5" customHeight="1" x14ac:dyDescent="0.25">
      <c r="A215" s="11" t="s">
        <v>1378</v>
      </c>
      <c r="B215" s="11"/>
      <c r="C215" s="11" t="s">
        <v>8300</v>
      </c>
      <c r="D215" s="11" t="s">
        <v>1950</v>
      </c>
      <c r="E215" s="11"/>
      <c r="F215" s="11"/>
      <c r="G215" s="11" t="s">
        <v>1378</v>
      </c>
      <c r="H215" s="11"/>
      <c r="I215" s="11"/>
      <c r="J215" s="11"/>
      <c r="K215" s="11"/>
      <c r="L215" s="11"/>
      <c r="M215" s="12"/>
      <c r="N215" s="11"/>
      <c r="O215" s="11" t="s">
        <v>1916</v>
      </c>
    </row>
    <row r="216" spans="1:15" ht="19.5" customHeight="1" x14ac:dyDescent="0.25">
      <c r="A216" s="13" t="s">
        <v>8297</v>
      </c>
      <c r="B216" s="13"/>
      <c r="C216" s="13" t="s">
        <v>8299</v>
      </c>
      <c r="D216" s="13" t="s">
        <v>1950</v>
      </c>
      <c r="E216" s="13" t="s">
        <v>8298</v>
      </c>
      <c r="F216" s="13"/>
      <c r="G216" s="13" t="s">
        <v>8297</v>
      </c>
      <c r="H216" s="13"/>
      <c r="I216" s="13" t="s">
        <v>8296</v>
      </c>
      <c r="J216" s="13" t="s">
        <v>8295</v>
      </c>
      <c r="K216" s="13" t="s">
        <v>1952</v>
      </c>
      <c r="L216" s="13"/>
      <c r="M216" s="14"/>
      <c r="N216" s="13"/>
      <c r="O216" s="13" t="s">
        <v>1945</v>
      </c>
    </row>
    <row r="217" spans="1:15" ht="19.5" customHeight="1" x14ac:dyDescent="0.25">
      <c r="A217" s="11" t="s">
        <v>1681</v>
      </c>
      <c r="B217" s="11"/>
      <c r="C217" s="11" t="s">
        <v>8294</v>
      </c>
      <c r="D217" s="11" t="s">
        <v>1883</v>
      </c>
      <c r="E217" s="11" t="s">
        <v>8293</v>
      </c>
      <c r="F217" s="11"/>
      <c r="G217" s="11" t="s">
        <v>1681</v>
      </c>
      <c r="H217" s="11"/>
      <c r="I217" s="11" t="s">
        <v>8292</v>
      </c>
      <c r="J217" s="11" t="s">
        <v>8291</v>
      </c>
      <c r="K217" s="11" t="s">
        <v>2313</v>
      </c>
      <c r="L217" s="11"/>
      <c r="M217" s="12"/>
      <c r="N217" s="11"/>
      <c r="O217" s="11" t="s">
        <v>1877</v>
      </c>
    </row>
    <row r="218" spans="1:15" ht="19.5" customHeight="1" x14ac:dyDescent="0.25">
      <c r="A218" s="13" t="s">
        <v>8289</v>
      </c>
      <c r="B218" s="13"/>
      <c r="C218" s="13" t="s">
        <v>8290</v>
      </c>
      <c r="D218" s="13" t="s">
        <v>1883</v>
      </c>
      <c r="E218" s="13"/>
      <c r="F218" s="13"/>
      <c r="G218" s="13" t="s">
        <v>8289</v>
      </c>
      <c r="H218" s="13"/>
      <c r="I218" s="13"/>
      <c r="J218" s="13"/>
      <c r="K218" s="13"/>
      <c r="L218" s="13"/>
      <c r="M218" s="14"/>
      <c r="N218" s="13"/>
      <c r="O218" s="13"/>
    </row>
    <row r="219" spans="1:15" ht="19.5" customHeight="1" x14ac:dyDescent="0.25">
      <c r="A219" s="11" t="s">
        <v>8286</v>
      </c>
      <c r="B219" s="11"/>
      <c r="C219" s="11" t="s">
        <v>8288</v>
      </c>
      <c r="D219" s="11" t="s">
        <v>1883</v>
      </c>
      <c r="E219" s="11" t="s">
        <v>8287</v>
      </c>
      <c r="F219" s="11"/>
      <c r="G219" s="11" t="s">
        <v>8286</v>
      </c>
      <c r="H219" s="11"/>
      <c r="I219" s="11"/>
      <c r="J219" s="11"/>
      <c r="K219" s="11"/>
      <c r="L219" s="11"/>
      <c r="M219" s="12"/>
      <c r="N219" s="11"/>
      <c r="O219" s="11"/>
    </row>
    <row r="220" spans="1:15" ht="19.5" customHeight="1" x14ac:dyDescent="0.25">
      <c r="A220" s="13" t="s">
        <v>1239</v>
      </c>
      <c r="B220" s="13"/>
      <c r="C220" s="13" t="s">
        <v>8285</v>
      </c>
      <c r="D220" s="13" t="s">
        <v>1883</v>
      </c>
      <c r="E220" s="13" t="s">
        <v>8284</v>
      </c>
      <c r="F220" s="13"/>
      <c r="G220" s="13" t="s">
        <v>1239</v>
      </c>
      <c r="H220" s="13"/>
      <c r="I220" s="13" t="s">
        <v>8283</v>
      </c>
      <c r="J220" s="13" t="s">
        <v>8282</v>
      </c>
      <c r="K220" s="13" t="s">
        <v>8281</v>
      </c>
      <c r="L220" s="13"/>
      <c r="M220" s="14"/>
      <c r="N220" s="13"/>
      <c r="O220" s="13" t="s">
        <v>1877</v>
      </c>
    </row>
    <row r="221" spans="1:15" ht="19.5" customHeight="1" x14ac:dyDescent="0.25">
      <c r="A221" s="11" t="s">
        <v>8278</v>
      </c>
      <c r="B221" s="11"/>
      <c r="C221" s="11" t="s">
        <v>8280</v>
      </c>
      <c r="D221" s="11" t="s">
        <v>1950</v>
      </c>
      <c r="E221" s="11" t="s">
        <v>2806</v>
      </c>
      <c r="F221" s="11"/>
      <c r="G221" s="11" t="s">
        <v>8278</v>
      </c>
      <c r="H221" s="11"/>
      <c r="I221" s="11"/>
      <c r="J221" s="11"/>
      <c r="K221" s="11"/>
      <c r="L221" s="11"/>
      <c r="M221" s="12"/>
      <c r="N221" s="11"/>
      <c r="O221" s="11" t="s">
        <v>2805</v>
      </c>
    </row>
    <row r="222" spans="1:15" ht="19.5" customHeight="1" x14ac:dyDescent="0.25">
      <c r="A222" s="13" t="s">
        <v>8278</v>
      </c>
      <c r="B222" s="13"/>
      <c r="C222" s="13" t="s">
        <v>8279</v>
      </c>
      <c r="D222" s="13" t="s">
        <v>1950</v>
      </c>
      <c r="E222" s="13" t="s">
        <v>1952</v>
      </c>
      <c r="F222" s="13"/>
      <c r="G222" s="13" t="s">
        <v>8278</v>
      </c>
      <c r="H222" s="13"/>
      <c r="I222" s="13"/>
      <c r="J222" s="13"/>
      <c r="K222" s="13"/>
      <c r="L222" s="13"/>
      <c r="M222" s="14"/>
      <c r="N222" s="13"/>
      <c r="O222" s="13" t="s">
        <v>2808</v>
      </c>
    </row>
    <row r="223" spans="1:15" ht="19.5" customHeight="1" x14ac:dyDescent="0.25">
      <c r="A223" s="11" t="s">
        <v>62</v>
      </c>
      <c r="B223" s="11"/>
      <c r="C223" s="11" t="s">
        <v>8277</v>
      </c>
      <c r="D223" s="11" t="s">
        <v>1883</v>
      </c>
      <c r="E223" s="11" t="s">
        <v>8274</v>
      </c>
      <c r="F223" s="11"/>
      <c r="G223" s="11" t="s">
        <v>62</v>
      </c>
      <c r="H223" s="11"/>
      <c r="I223" s="11" t="s">
        <v>8273</v>
      </c>
      <c r="J223" s="11" t="s">
        <v>8272</v>
      </c>
      <c r="K223" s="11" t="s">
        <v>2313</v>
      </c>
      <c r="L223" s="11"/>
      <c r="M223" s="12"/>
      <c r="N223" s="11"/>
      <c r="O223" s="11" t="s">
        <v>1877</v>
      </c>
    </row>
    <row r="224" spans="1:15" ht="19.5" customHeight="1" x14ac:dyDescent="0.25">
      <c r="A224" s="13" t="s">
        <v>62</v>
      </c>
      <c r="B224" s="13"/>
      <c r="C224" s="13" t="s">
        <v>8276</v>
      </c>
      <c r="D224" s="13" t="s">
        <v>1883</v>
      </c>
      <c r="E224" s="13" t="s">
        <v>8274</v>
      </c>
      <c r="F224" s="13"/>
      <c r="G224" s="13" t="s">
        <v>62</v>
      </c>
      <c r="H224" s="13"/>
      <c r="I224" s="13" t="s">
        <v>8273</v>
      </c>
      <c r="J224" s="13" t="s">
        <v>8272</v>
      </c>
      <c r="K224" s="13" t="s">
        <v>2313</v>
      </c>
      <c r="L224" s="13"/>
      <c r="M224" s="14"/>
      <c r="N224" s="13"/>
      <c r="O224" s="13" t="s">
        <v>1877</v>
      </c>
    </row>
    <row r="225" spans="1:15" ht="19.5" customHeight="1" x14ac:dyDescent="0.25">
      <c r="A225" s="11" t="s">
        <v>62</v>
      </c>
      <c r="B225" s="11"/>
      <c r="C225" s="11" t="s">
        <v>8275</v>
      </c>
      <c r="D225" s="11" t="s">
        <v>1883</v>
      </c>
      <c r="E225" s="11" t="s">
        <v>8274</v>
      </c>
      <c r="F225" s="11"/>
      <c r="G225" s="11" t="s">
        <v>62</v>
      </c>
      <c r="H225" s="11"/>
      <c r="I225" s="11" t="s">
        <v>8273</v>
      </c>
      <c r="J225" s="11" t="s">
        <v>8272</v>
      </c>
      <c r="K225" s="11" t="s">
        <v>2313</v>
      </c>
      <c r="L225" s="11"/>
      <c r="M225" s="12"/>
      <c r="N225" s="11"/>
      <c r="O225" s="11" t="s">
        <v>1877</v>
      </c>
    </row>
    <row r="226" spans="1:15" ht="19.5" customHeight="1" x14ac:dyDescent="0.25">
      <c r="A226" s="13" t="s">
        <v>1823</v>
      </c>
      <c r="B226" s="13"/>
      <c r="C226" s="13" t="s">
        <v>1822</v>
      </c>
      <c r="D226" s="13" t="s">
        <v>1883</v>
      </c>
      <c r="E226" s="13" t="s">
        <v>8271</v>
      </c>
      <c r="F226" s="13"/>
      <c r="G226" s="13" t="s">
        <v>1823</v>
      </c>
      <c r="H226" s="13"/>
      <c r="I226" s="13" t="s">
        <v>8270</v>
      </c>
      <c r="J226" s="13" t="s">
        <v>8269</v>
      </c>
      <c r="K226" s="13" t="s">
        <v>8268</v>
      </c>
      <c r="L226" s="13"/>
      <c r="M226" s="14"/>
      <c r="N226" s="13"/>
      <c r="O226" s="13" t="s">
        <v>1877</v>
      </c>
    </row>
    <row r="227" spans="1:15" ht="19.5" customHeight="1" x14ac:dyDescent="0.25">
      <c r="A227" s="11" t="s">
        <v>8266</v>
      </c>
      <c r="B227" s="11"/>
      <c r="C227" s="11" t="s">
        <v>8267</v>
      </c>
      <c r="D227" s="11" t="s">
        <v>1883</v>
      </c>
      <c r="E227" s="11" t="s">
        <v>1952</v>
      </c>
      <c r="F227" s="11"/>
      <c r="G227" s="11" t="s">
        <v>8266</v>
      </c>
      <c r="H227" s="11"/>
      <c r="I227" s="11"/>
      <c r="J227" s="11"/>
      <c r="K227" s="11" t="s">
        <v>1952</v>
      </c>
      <c r="L227" s="11"/>
      <c r="M227" s="12"/>
      <c r="N227" s="11"/>
      <c r="O227" s="11" t="s">
        <v>1951</v>
      </c>
    </row>
    <row r="228" spans="1:15" ht="19.5" customHeight="1" x14ac:dyDescent="0.25">
      <c r="A228" s="13" t="s">
        <v>8264</v>
      </c>
      <c r="B228" s="13"/>
      <c r="C228" s="13" t="s">
        <v>8265</v>
      </c>
      <c r="D228" s="13" t="s">
        <v>1883</v>
      </c>
      <c r="E228" s="13"/>
      <c r="F228" s="13"/>
      <c r="G228" s="13" t="s">
        <v>8264</v>
      </c>
      <c r="H228" s="13"/>
      <c r="I228" s="13"/>
      <c r="J228" s="13"/>
      <c r="K228" s="13" t="s">
        <v>1952</v>
      </c>
      <c r="L228" s="13"/>
      <c r="M228" s="14"/>
      <c r="N228" s="13"/>
      <c r="O228" s="13" t="s">
        <v>1951</v>
      </c>
    </row>
    <row r="229" spans="1:15" ht="19.5" customHeight="1" x14ac:dyDescent="0.25">
      <c r="A229" s="11" t="s">
        <v>8262</v>
      </c>
      <c r="B229" s="11"/>
      <c r="C229" s="11" t="s">
        <v>1371</v>
      </c>
      <c r="D229" s="11" t="s">
        <v>1883</v>
      </c>
      <c r="E229" s="11" t="s">
        <v>8263</v>
      </c>
      <c r="F229" s="11"/>
      <c r="G229" s="11" t="s">
        <v>8262</v>
      </c>
      <c r="H229" s="11"/>
      <c r="I229" s="11" t="s">
        <v>8261</v>
      </c>
      <c r="J229" s="11" t="s">
        <v>3946</v>
      </c>
      <c r="K229" s="11" t="s">
        <v>1952</v>
      </c>
      <c r="L229" s="11"/>
      <c r="M229" s="12"/>
      <c r="N229" s="11"/>
      <c r="O229" s="11" t="s">
        <v>1951</v>
      </c>
    </row>
    <row r="230" spans="1:15" ht="19.5" customHeight="1" x14ac:dyDescent="0.25">
      <c r="A230" s="13" t="s">
        <v>64</v>
      </c>
      <c r="B230" s="13"/>
      <c r="C230" s="13" t="s">
        <v>8260</v>
      </c>
      <c r="D230" s="13" t="s">
        <v>1883</v>
      </c>
      <c r="E230" s="13" t="s">
        <v>8259</v>
      </c>
      <c r="F230" s="13"/>
      <c r="G230" s="13" t="s">
        <v>64</v>
      </c>
      <c r="H230" s="13"/>
      <c r="I230" s="13"/>
      <c r="J230" s="13"/>
      <c r="K230" s="13"/>
      <c r="L230" s="13"/>
      <c r="M230" s="14"/>
      <c r="N230" s="13"/>
      <c r="O230" s="13" t="s">
        <v>2028</v>
      </c>
    </row>
    <row r="231" spans="1:15" ht="19.5" customHeight="1" x14ac:dyDescent="0.25">
      <c r="A231" s="11" t="s">
        <v>1401</v>
      </c>
      <c r="B231" s="11"/>
      <c r="C231" s="11" t="s">
        <v>8258</v>
      </c>
      <c r="D231" s="11" t="s">
        <v>1883</v>
      </c>
      <c r="E231" s="11" t="s">
        <v>8257</v>
      </c>
      <c r="F231" s="11"/>
      <c r="G231" s="11" t="s">
        <v>1401</v>
      </c>
      <c r="H231" s="11"/>
      <c r="I231" s="11" t="s">
        <v>5466</v>
      </c>
      <c r="J231" s="11" t="s">
        <v>8256</v>
      </c>
      <c r="K231" s="11" t="s">
        <v>2033</v>
      </c>
      <c r="L231" s="11"/>
      <c r="M231" s="12"/>
      <c r="N231" s="11"/>
      <c r="O231" s="11" t="s">
        <v>2028</v>
      </c>
    </row>
    <row r="232" spans="1:15" ht="19.5" customHeight="1" x14ac:dyDescent="0.25">
      <c r="A232" s="13" t="s">
        <v>1253</v>
      </c>
      <c r="B232" s="13"/>
      <c r="C232" s="13" t="s">
        <v>8255</v>
      </c>
      <c r="D232" s="13" t="s">
        <v>1883</v>
      </c>
      <c r="E232" s="13" t="s">
        <v>8254</v>
      </c>
      <c r="F232" s="13" t="s">
        <v>8253</v>
      </c>
      <c r="G232" s="13" t="s">
        <v>1253</v>
      </c>
      <c r="H232" s="13"/>
      <c r="I232" s="13" t="s">
        <v>8252</v>
      </c>
      <c r="J232" s="13" t="s">
        <v>8251</v>
      </c>
      <c r="K232" s="13" t="s">
        <v>2033</v>
      </c>
      <c r="L232" s="13"/>
      <c r="M232" s="14"/>
      <c r="N232" s="13"/>
      <c r="O232" s="13" t="s">
        <v>2028</v>
      </c>
    </row>
    <row r="233" spans="1:15" ht="19.5" customHeight="1" x14ac:dyDescent="0.25">
      <c r="A233" s="11" t="s">
        <v>8245</v>
      </c>
      <c r="B233" s="11"/>
      <c r="C233" s="11" t="s">
        <v>8250</v>
      </c>
      <c r="D233" s="11" t="s">
        <v>1883</v>
      </c>
      <c r="E233" s="11" t="s">
        <v>8247</v>
      </c>
      <c r="F233" s="11" t="s">
        <v>8246</v>
      </c>
      <c r="G233" s="11" t="s">
        <v>8245</v>
      </c>
      <c r="H233" s="11"/>
      <c r="I233" s="11" t="s">
        <v>8244</v>
      </c>
      <c r="J233" s="11" t="s">
        <v>8243</v>
      </c>
      <c r="K233" s="11" t="s">
        <v>3641</v>
      </c>
      <c r="L233" s="11"/>
      <c r="M233" s="12"/>
      <c r="N233" s="11"/>
      <c r="O233" s="11" t="s">
        <v>2028</v>
      </c>
    </row>
    <row r="234" spans="1:15" ht="19.5" customHeight="1" x14ac:dyDescent="0.25">
      <c r="A234" s="13" t="s">
        <v>8245</v>
      </c>
      <c r="B234" s="13"/>
      <c r="C234" s="13" t="s">
        <v>8249</v>
      </c>
      <c r="D234" s="13" t="s">
        <v>1883</v>
      </c>
      <c r="E234" s="13" t="s">
        <v>8247</v>
      </c>
      <c r="F234" s="13" t="s">
        <v>8246</v>
      </c>
      <c r="G234" s="13" t="s">
        <v>8245</v>
      </c>
      <c r="H234" s="13"/>
      <c r="I234" s="13" t="s">
        <v>8244</v>
      </c>
      <c r="J234" s="13" t="s">
        <v>8243</v>
      </c>
      <c r="K234" s="13" t="s">
        <v>3641</v>
      </c>
      <c r="L234" s="13"/>
      <c r="M234" s="14"/>
      <c r="N234" s="13"/>
      <c r="O234" s="13" t="s">
        <v>2028</v>
      </c>
    </row>
    <row r="235" spans="1:15" ht="19.5" customHeight="1" x14ac:dyDescent="0.25">
      <c r="A235" s="11" t="s">
        <v>8245</v>
      </c>
      <c r="B235" s="11"/>
      <c r="C235" s="11" t="s">
        <v>8248</v>
      </c>
      <c r="D235" s="11" t="s">
        <v>1883</v>
      </c>
      <c r="E235" s="11" t="s">
        <v>8247</v>
      </c>
      <c r="F235" s="11" t="s">
        <v>8246</v>
      </c>
      <c r="G235" s="11" t="s">
        <v>8245</v>
      </c>
      <c r="H235" s="11"/>
      <c r="I235" s="11" t="s">
        <v>8244</v>
      </c>
      <c r="J235" s="11" t="s">
        <v>8243</v>
      </c>
      <c r="K235" s="11" t="s">
        <v>3641</v>
      </c>
      <c r="L235" s="11"/>
      <c r="M235" s="12"/>
      <c r="N235" s="11"/>
      <c r="O235" s="11" t="s">
        <v>2028</v>
      </c>
    </row>
    <row r="236" spans="1:15" ht="19.5" customHeight="1" x14ac:dyDescent="0.25">
      <c r="A236" s="13" t="s">
        <v>1308</v>
      </c>
      <c r="B236" s="13"/>
      <c r="C236" s="13" t="s">
        <v>8242</v>
      </c>
      <c r="D236" s="13" t="s">
        <v>1883</v>
      </c>
      <c r="E236" s="13" t="s">
        <v>8241</v>
      </c>
      <c r="F236" s="13" t="s">
        <v>8240</v>
      </c>
      <c r="G236" s="13" t="s">
        <v>1308</v>
      </c>
      <c r="H236" s="13"/>
      <c r="I236" s="13" t="s">
        <v>8239</v>
      </c>
      <c r="J236" s="13" t="s">
        <v>8238</v>
      </c>
      <c r="K236" s="13" t="s">
        <v>2122</v>
      </c>
      <c r="L236" s="13"/>
      <c r="M236" s="14"/>
      <c r="N236" s="13"/>
      <c r="O236" s="13" t="s">
        <v>2028</v>
      </c>
    </row>
    <row r="237" spans="1:15" ht="19.5" customHeight="1" x14ac:dyDescent="0.25">
      <c r="A237" s="11" t="s">
        <v>8235</v>
      </c>
      <c r="B237" s="11"/>
      <c r="C237" s="11" t="s">
        <v>8237</v>
      </c>
      <c r="D237" s="11" t="s">
        <v>1883</v>
      </c>
      <c r="E237" s="11" t="s">
        <v>8236</v>
      </c>
      <c r="F237" s="11"/>
      <c r="G237" s="11" t="s">
        <v>8235</v>
      </c>
      <c r="H237" s="11"/>
      <c r="I237" s="11" t="s">
        <v>5462</v>
      </c>
      <c r="J237" s="11" t="s">
        <v>8234</v>
      </c>
      <c r="K237" s="11" t="s">
        <v>3599</v>
      </c>
      <c r="L237" s="11"/>
      <c r="M237" s="12"/>
      <c r="N237" s="11"/>
      <c r="O237" s="11" t="s">
        <v>2028</v>
      </c>
    </row>
    <row r="238" spans="1:15" ht="19.5" customHeight="1" x14ac:dyDescent="0.25">
      <c r="A238" s="13" t="s">
        <v>68</v>
      </c>
      <c r="B238" s="13"/>
      <c r="C238" s="13" t="s">
        <v>8233</v>
      </c>
      <c r="D238" s="13" t="s">
        <v>1883</v>
      </c>
      <c r="E238" s="13" t="s">
        <v>8232</v>
      </c>
      <c r="F238" s="13"/>
      <c r="G238" s="13" t="s">
        <v>68</v>
      </c>
      <c r="H238" s="13" t="s">
        <v>8231</v>
      </c>
      <c r="I238" s="13" t="s">
        <v>8230</v>
      </c>
      <c r="J238" s="13" t="s">
        <v>8229</v>
      </c>
      <c r="K238" s="13" t="s">
        <v>3599</v>
      </c>
      <c r="L238" s="13"/>
      <c r="M238" s="14"/>
      <c r="N238" s="13"/>
      <c r="O238" s="13" t="s">
        <v>2028</v>
      </c>
    </row>
    <row r="239" spans="1:15" ht="19.5" customHeight="1" x14ac:dyDescent="0.25">
      <c r="A239" s="11" t="s">
        <v>70</v>
      </c>
      <c r="B239" s="11"/>
      <c r="C239" s="11" t="s">
        <v>8228</v>
      </c>
      <c r="D239" s="11" t="s">
        <v>1883</v>
      </c>
      <c r="E239" s="11" t="s">
        <v>8225</v>
      </c>
      <c r="F239" s="11" t="s">
        <v>8224</v>
      </c>
      <c r="G239" s="11" t="s">
        <v>70</v>
      </c>
      <c r="H239" s="11"/>
      <c r="I239" s="11" t="s">
        <v>8223</v>
      </c>
      <c r="J239" s="11" t="s">
        <v>8222</v>
      </c>
      <c r="K239" s="11" t="s">
        <v>1952</v>
      </c>
      <c r="L239" s="11"/>
      <c r="M239" s="12"/>
      <c r="N239" s="11"/>
      <c r="O239" s="11" t="s">
        <v>2028</v>
      </c>
    </row>
    <row r="240" spans="1:15" ht="19.5" customHeight="1" x14ac:dyDescent="0.25">
      <c r="A240" s="13" t="s">
        <v>70</v>
      </c>
      <c r="B240" s="13"/>
      <c r="C240" s="13" t="s">
        <v>8227</v>
      </c>
      <c r="D240" s="13" t="s">
        <v>1883</v>
      </c>
      <c r="E240" s="13" t="s">
        <v>8225</v>
      </c>
      <c r="F240" s="13" t="s">
        <v>8224</v>
      </c>
      <c r="G240" s="13" t="s">
        <v>70</v>
      </c>
      <c r="H240" s="13"/>
      <c r="I240" s="13" t="s">
        <v>8223</v>
      </c>
      <c r="J240" s="13" t="s">
        <v>8222</v>
      </c>
      <c r="K240" s="13" t="s">
        <v>1952</v>
      </c>
      <c r="L240" s="13"/>
      <c r="M240" s="14"/>
      <c r="N240" s="13"/>
      <c r="O240" s="13" t="s">
        <v>2028</v>
      </c>
    </row>
    <row r="241" spans="1:15" ht="19.5" customHeight="1" x14ac:dyDescent="0.25">
      <c r="A241" s="11" t="s">
        <v>70</v>
      </c>
      <c r="B241" s="11"/>
      <c r="C241" s="11" t="s">
        <v>8226</v>
      </c>
      <c r="D241" s="11" t="s">
        <v>1883</v>
      </c>
      <c r="E241" s="11" t="s">
        <v>8225</v>
      </c>
      <c r="F241" s="11" t="s">
        <v>8224</v>
      </c>
      <c r="G241" s="11" t="s">
        <v>70</v>
      </c>
      <c r="H241" s="11"/>
      <c r="I241" s="11" t="s">
        <v>8223</v>
      </c>
      <c r="J241" s="11" t="s">
        <v>8222</v>
      </c>
      <c r="K241" s="11" t="s">
        <v>1952</v>
      </c>
      <c r="L241" s="11"/>
      <c r="M241" s="12"/>
      <c r="N241" s="11"/>
      <c r="O241" s="11" t="s">
        <v>2028</v>
      </c>
    </row>
    <row r="242" spans="1:15" ht="19.5" customHeight="1" x14ac:dyDescent="0.25">
      <c r="A242" s="13" t="s">
        <v>1560</v>
      </c>
      <c r="B242" s="13"/>
      <c r="C242" s="13" t="s">
        <v>8221</v>
      </c>
      <c r="D242" s="13" t="s">
        <v>1883</v>
      </c>
      <c r="E242" s="13" t="s">
        <v>8220</v>
      </c>
      <c r="F242" s="13"/>
      <c r="G242" s="13" t="s">
        <v>1560</v>
      </c>
      <c r="H242" s="13"/>
      <c r="I242" s="13" t="s">
        <v>8219</v>
      </c>
      <c r="J242" s="13" t="s">
        <v>8218</v>
      </c>
      <c r="K242" s="13" t="s">
        <v>2033</v>
      </c>
      <c r="L242" s="13"/>
      <c r="M242" s="14"/>
      <c r="N242" s="13"/>
      <c r="O242" s="13" t="s">
        <v>2028</v>
      </c>
    </row>
    <row r="243" spans="1:15" ht="19.5" customHeight="1" x14ac:dyDescent="0.25">
      <c r="A243" s="11" t="s">
        <v>8215</v>
      </c>
      <c r="B243" s="11"/>
      <c r="C243" s="11" t="s">
        <v>1293</v>
      </c>
      <c r="D243" s="11" t="s">
        <v>1883</v>
      </c>
      <c r="E243" s="11" t="s">
        <v>8217</v>
      </c>
      <c r="F243" s="11" t="s">
        <v>8216</v>
      </c>
      <c r="G243" s="11" t="s">
        <v>8215</v>
      </c>
      <c r="H243" s="11"/>
      <c r="I243" s="11" t="s">
        <v>8022</v>
      </c>
      <c r="J243" s="11" t="s">
        <v>8214</v>
      </c>
      <c r="K243" s="11" t="s">
        <v>2033</v>
      </c>
      <c r="L243" s="11"/>
      <c r="M243" s="12"/>
      <c r="N243" s="11"/>
      <c r="O243" s="11" t="s">
        <v>1945</v>
      </c>
    </row>
    <row r="244" spans="1:15" ht="19.5" customHeight="1" x14ac:dyDescent="0.25">
      <c r="A244" s="13" t="s">
        <v>8211</v>
      </c>
      <c r="B244" s="13"/>
      <c r="C244" s="13" t="s">
        <v>8213</v>
      </c>
      <c r="D244" s="13" t="s">
        <v>1950</v>
      </c>
      <c r="E244" s="13" t="s">
        <v>8212</v>
      </c>
      <c r="F244" s="13"/>
      <c r="G244" s="13" t="s">
        <v>8211</v>
      </c>
      <c r="H244" s="13"/>
      <c r="I244" s="13" t="s">
        <v>2035</v>
      </c>
      <c r="J244" s="13" t="s">
        <v>8210</v>
      </c>
      <c r="K244" s="13" t="s">
        <v>2033</v>
      </c>
      <c r="L244" s="13"/>
      <c r="M244" s="14"/>
      <c r="N244" s="13"/>
      <c r="O244" s="13" t="s">
        <v>1945</v>
      </c>
    </row>
    <row r="245" spans="1:15" ht="19.5" customHeight="1" x14ac:dyDescent="0.25">
      <c r="A245" s="11" t="s">
        <v>8206</v>
      </c>
      <c r="B245" s="11"/>
      <c r="C245" s="11" t="s">
        <v>8209</v>
      </c>
      <c r="D245" s="11" t="s">
        <v>1883</v>
      </c>
      <c r="E245" s="11" t="s">
        <v>8204</v>
      </c>
      <c r="F245" s="11"/>
      <c r="G245" s="11" t="s">
        <v>8207</v>
      </c>
      <c r="H245" s="11"/>
      <c r="I245" s="11" t="s">
        <v>8202</v>
      </c>
      <c r="J245" s="11" t="s">
        <v>8201</v>
      </c>
      <c r="K245" s="11" t="s">
        <v>2033</v>
      </c>
      <c r="L245" s="11"/>
      <c r="M245" s="12"/>
      <c r="N245" s="11"/>
      <c r="O245" s="11" t="s">
        <v>2028</v>
      </c>
    </row>
    <row r="246" spans="1:15" ht="19.5" customHeight="1" x14ac:dyDescent="0.25">
      <c r="A246" s="13" t="s">
        <v>8206</v>
      </c>
      <c r="B246" s="13"/>
      <c r="C246" s="13" t="s">
        <v>8208</v>
      </c>
      <c r="D246" s="13" t="s">
        <v>1883</v>
      </c>
      <c r="E246" s="13" t="s">
        <v>8204</v>
      </c>
      <c r="F246" s="13"/>
      <c r="G246" s="13" t="s">
        <v>8207</v>
      </c>
      <c r="H246" s="13"/>
      <c r="I246" s="13" t="s">
        <v>8202</v>
      </c>
      <c r="J246" s="13" t="s">
        <v>8201</v>
      </c>
      <c r="K246" s="13" t="s">
        <v>2033</v>
      </c>
      <c r="L246" s="13"/>
      <c r="M246" s="14"/>
      <c r="N246" s="13"/>
      <c r="O246" s="13" t="s">
        <v>2028</v>
      </c>
    </row>
    <row r="247" spans="1:15" ht="19.5" customHeight="1" x14ac:dyDescent="0.25">
      <c r="A247" s="11" t="s">
        <v>8206</v>
      </c>
      <c r="B247" s="11"/>
      <c r="C247" s="11" t="s">
        <v>8205</v>
      </c>
      <c r="D247" s="11" t="s">
        <v>1883</v>
      </c>
      <c r="E247" s="11" t="s">
        <v>8204</v>
      </c>
      <c r="F247" s="11"/>
      <c r="G247" s="11" t="s">
        <v>8203</v>
      </c>
      <c r="H247" s="11"/>
      <c r="I247" s="11" t="s">
        <v>8202</v>
      </c>
      <c r="J247" s="11" t="s">
        <v>8201</v>
      </c>
      <c r="K247" s="11" t="s">
        <v>2033</v>
      </c>
      <c r="L247" s="11"/>
      <c r="M247" s="12"/>
      <c r="N247" s="11"/>
      <c r="O247" s="11" t="s">
        <v>1916</v>
      </c>
    </row>
    <row r="248" spans="1:15" ht="19.5" customHeight="1" x14ac:dyDescent="0.25">
      <c r="A248" s="13" t="s">
        <v>72</v>
      </c>
      <c r="B248" s="13"/>
      <c r="C248" s="13" t="s">
        <v>8200</v>
      </c>
      <c r="D248" s="13" t="s">
        <v>1883</v>
      </c>
      <c r="E248" s="13" t="s">
        <v>8199</v>
      </c>
      <c r="F248" s="13" t="s">
        <v>8198</v>
      </c>
      <c r="G248" s="13" t="s">
        <v>8197</v>
      </c>
      <c r="H248" s="13"/>
      <c r="I248" s="13" t="s">
        <v>6818</v>
      </c>
      <c r="J248" s="13" t="s">
        <v>8196</v>
      </c>
      <c r="K248" s="13" t="s">
        <v>1952</v>
      </c>
      <c r="L248" s="13"/>
      <c r="M248" s="14"/>
      <c r="N248" s="13"/>
      <c r="O248" s="13" t="s">
        <v>2028</v>
      </c>
    </row>
    <row r="249" spans="1:15" ht="19.5" customHeight="1" x14ac:dyDescent="0.25">
      <c r="A249" s="11" t="s">
        <v>74</v>
      </c>
      <c r="B249" s="11"/>
      <c r="C249" s="11" t="s">
        <v>8195</v>
      </c>
      <c r="D249" s="11" t="s">
        <v>1883</v>
      </c>
      <c r="E249" s="11" t="s">
        <v>8194</v>
      </c>
      <c r="F249" s="11"/>
      <c r="G249" s="11" t="s">
        <v>74</v>
      </c>
      <c r="H249" s="11" t="s">
        <v>8193</v>
      </c>
      <c r="I249" s="11" t="s">
        <v>8192</v>
      </c>
      <c r="J249" s="11" t="s">
        <v>8191</v>
      </c>
      <c r="K249" s="11" t="s">
        <v>1952</v>
      </c>
      <c r="L249" s="11"/>
      <c r="M249" s="12"/>
      <c r="N249" s="11"/>
      <c r="O249" s="11" t="s">
        <v>2028</v>
      </c>
    </row>
    <row r="250" spans="1:15" ht="19.5" customHeight="1" x14ac:dyDescent="0.25">
      <c r="A250" s="13" t="s">
        <v>76</v>
      </c>
      <c r="B250" s="13"/>
      <c r="C250" s="13" t="s">
        <v>8190</v>
      </c>
      <c r="D250" s="13" t="s">
        <v>1883</v>
      </c>
      <c r="E250" s="13" t="s">
        <v>8186</v>
      </c>
      <c r="F250" s="13" t="s">
        <v>8185</v>
      </c>
      <c r="G250" s="13" t="s">
        <v>76</v>
      </c>
      <c r="H250" s="13" t="s">
        <v>8184</v>
      </c>
      <c r="I250" s="13" t="s">
        <v>8183</v>
      </c>
      <c r="J250" s="13" t="s">
        <v>8182</v>
      </c>
      <c r="K250" s="13" t="s">
        <v>2033</v>
      </c>
      <c r="L250" s="13"/>
      <c r="M250" s="14"/>
      <c r="N250" s="13"/>
      <c r="O250" s="13" t="s">
        <v>1945</v>
      </c>
    </row>
    <row r="251" spans="1:15" ht="19.5" customHeight="1" x14ac:dyDescent="0.25">
      <c r="A251" s="11" t="s">
        <v>76</v>
      </c>
      <c r="B251" s="11"/>
      <c r="C251" s="11" t="s">
        <v>8189</v>
      </c>
      <c r="D251" s="11" t="s">
        <v>1883</v>
      </c>
      <c r="E251" s="11" t="s">
        <v>8186</v>
      </c>
      <c r="F251" s="11" t="s">
        <v>8185</v>
      </c>
      <c r="G251" s="11" t="s">
        <v>76</v>
      </c>
      <c r="H251" s="11" t="s">
        <v>8184</v>
      </c>
      <c r="I251" s="11" t="s">
        <v>8183</v>
      </c>
      <c r="J251" s="11" t="s">
        <v>8182</v>
      </c>
      <c r="K251" s="11" t="s">
        <v>2033</v>
      </c>
      <c r="L251" s="11"/>
      <c r="M251" s="12"/>
      <c r="N251" s="11"/>
      <c r="O251" s="11" t="s">
        <v>2028</v>
      </c>
    </row>
    <row r="252" spans="1:15" ht="19.5" customHeight="1" x14ac:dyDescent="0.25">
      <c r="A252" s="13" t="s">
        <v>76</v>
      </c>
      <c r="B252" s="13"/>
      <c r="C252" s="13" t="s">
        <v>8188</v>
      </c>
      <c r="D252" s="13" t="s">
        <v>1883</v>
      </c>
      <c r="E252" s="13" t="s">
        <v>8186</v>
      </c>
      <c r="F252" s="13" t="s">
        <v>8185</v>
      </c>
      <c r="G252" s="13" t="s">
        <v>76</v>
      </c>
      <c r="H252" s="13" t="s">
        <v>8184</v>
      </c>
      <c r="I252" s="13" t="s">
        <v>8183</v>
      </c>
      <c r="J252" s="13" t="s">
        <v>8182</v>
      </c>
      <c r="K252" s="13" t="s">
        <v>2033</v>
      </c>
      <c r="L252" s="13"/>
      <c r="M252" s="14"/>
      <c r="N252" s="13"/>
      <c r="O252" s="13" t="s">
        <v>2028</v>
      </c>
    </row>
    <row r="253" spans="1:15" ht="19.5" customHeight="1" x14ac:dyDescent="0.25">
      <c r="A253" s="11" t="s">
        <v>76</v>
      </c>
      <c r="B253" s="11"/>
      <c r="C253" s="11" t="s">
        <v>8187</v>
      </c>
      <c r="D253" s="11" t="s">
        <v>1883</v>
      </c>
      <c r="E253" s="11" t="s">
        <v>8186</v>
      </c>
      <c r="F253" s="11" t="s">
        <v>8185</v>
      </c>
      <c r="G253" s="11" t="s">
        <v>76</v>
      </c>
      <c r="H253" s="11" t="s">
        <v>8184</v>
      </c>
      <c r="I253" s="11" t="s">
        <v>8183</v>
      </c>
      <c r="J253" s="11" t="s">
        <v>8182</v>
      </c>
      <c r="K253" s="11" t="s">
        <v>2033</v>
      </c>
      <c r="L253" s="11"/>
      <c r="M253" s="12"/>
      <c r="N253" s="11"/>
      <c r="O253" s="11" t="s">
        <v>2028</v>
      </c>
    </row>
    <row r="254" spans="1:15" ht="19.5" customHeight="1" x14ac:dyDescent="0.25">
      <c r="A254" s="13" t="s">
        <v>1140</v>
      </c>
      <c r="B254" s="13"/>
      <c r="C254" s="13" t="s">
        <v>8181</v>
      </c>
      <c r="D254" s="13" t="s">
        <v>1883</v>
      </c>
      <c r="E254" s="13" t="s">
        <v>8176</v>
      </c>
      <c r="F254" s="13"/>
      <c r="G254" s="13" t="s">
        <v>1140</v>
      </c>
      <c r="H254" s="13" t="s">
        <v>8175</v>
      </c>
      <c r="I254" s="13" t="s">
        <v>8174</v>
      </c>
      <c r="J254" s="13" t="s">
        <v>8173</v>
      </c>
      <c r="K254" s="13" t="s">
        <v>2033</v>
      </c>
      <c r="L254" s="13"/>
      <c r="M254" s="14"/>
      <c r="N254" s="13"/>
      <c r="O254" s="13" t="s">
        <v>2028</v>
      </c>
    </row>
    <row r="255" spans="1:15" ht="19.5" customHeight="1" x14ac:dyDescent="0.25">
      <c r="A255" s="11" t="s">
        <v>1140</v>
      </c>
      <c r="B255" s="11"/>
      <c r="C255" s="11" t="s">
        <v>8180</v>
      </c>
      <c r="D255" s="11" t="s">
        <v>1883</v>
      </c>
      <c r="E255" s="11" t="s">
        <v>8176</v>
      </c>
      <c r="F255" s="11"/>
      <c r="G255" s="11" t="s">
        <v>1140</v>
      </c>
      <c r="H255" s="11" t="s">
        <v>8175</v>
      </c>
      <c r="I255" s="11" t="s">
        <v>8174</v>
      </c>
      <c r="J255" s="11" t="s">
        <v>8173</v>
      </c>
      <c r="K255" s="11" t="s">
        <v>2033</v>
      </c>
      <c r="L255" s="11"/>
      <c r="M255" s="12"/>
      <c r="N255" s="11"/>
      <c r="O255" s="11" t="s">
        <v>2028</v>
      </c>
    </row>
    <row r="256" spans="1:15" ht="19.5" customHeight="1" x14ac:dyDescent="0.25">
      <c r="A256" s="13" t="s">
        <v>1140</v>
      </c>
      <c r="B256" s="13"/>
      <c r="C256" s="13" t="s">
        <v>8179</v>
      </c>
      <c r="D256" s="13" t="s">
        <v>1883</v>
      </c>
      <c r="E256" s="13" t="s">
        <v>8176</v>
      </c>
      <c r="F256" s="13"/>
      <c r="G256" s="13" t="s">
        <v>1140</v>
      </c>
      <c r="H256" s="13" t="s">
        <v>8175</v>
      </c>
      <c r="I256" s="13" t="s">
        <v>8174</v>
      </c>
      <c r="J256" s="13" t="s">
        <v>8173</v>
      </c>
      <c r="K256" s="13" t="s">
        <v>2033</v>
      </c>
      <c r="L256" s="13"/>
      <c r="M256" s="14"/>
      <c r="N256" s="13"/>
      <c r="O256" s="13" t="s">
        <v>2028</v>
      </c>
    </row>
    <row r="257" spans="1:15" ht="19.5" customHeight="1" x14ac:dyDescent="0.25">
      <c r="A257" s="11" t="s">
        <v>1140</v>
      </c>
      <c r="B257" s="11"/>
      <c r="C257" s="11" t="s">
        <v>8178</v>
      </c>
      <c r="D257" s="11" t="s">
        <v>1883</v>
      </c>
      <c r="E257" s="11" t="s">
        <v>8176</v>
      </c>
      <c r="F257" s="11"/>
      <c r="G257" s="11" t="s">
        <v>1140</v>
      </c>
      <c r="H257" s="11" t="s">
        <v>8175</v>
      </c>
      <c r="I257" s="11" t="s">
        <v>8174</v>
      </c>
      <c r="J257" s="11" t="s">
        <v>8173</v>
      </c>
      <c r="K257" s="11" t="s">
        <v>2033</v>
      </c>
      <c r="L257" s="11"/>
      <c r="M257" s="12"/>
      <c r="N257" s="11"/>
      <c r="O257" s="11" t="s">
        <v>1945</v>
      </c>
    </row>
    <row r="258" spans="1:15" ht="19.5" customHeight="1" x14ac:dyDescent="0.25">
      <c r="A258" s="13" t="s">
        <v>1140</v>
      </c>
      <c r="B258" s="13"/>
      <c r="C258" s="13" t="s">
        <v>8177</v>
      </c>
      <c r="D258" s="13" t="s">
        <v>1883</v>
      </c>
      <c r="E258" s="13" t="s">
        <v>8176</v>
      </c>
      <c r="F258" s="13"/>
      <c r="G258" s="13" t="s">
        <v>1140</v>
      </c>
      <c r="H258" s="13" t="s">
        <v>8175</v>
      </c>
      <c r="I258" s="13" t="s">
        <v>8174</v>
      </c>
      <c r="J258" s="13" t="s">
        <v>8173</v>
      </c>
      <c r="K258" s="13" t="s">
        <v>2033</v>
      </c>
      <c r="L258" s="13"/>
      <c r="M258" s="14"/>
      <c r="N258" s="13"/>
      <c r="O258" s="13" t="s">
        <v>2028</v>
      </c>
    </row>
    <row r="259" spans="1:15" ht="19.5" customHeight="1" x14ac:dyDescent="0.25">
      <c r="A259" s="11" t="s">
        <v>1096</v>
      </c>
      <c r="B259" s="11"/>
      <c r="C259" s="11" t="s">
        <v>8172</v>
      </c>
      <c r="D259" s="11" t="s">
        <v>1883</v>
      </c>
      <c r="E259" s="11" t="s">
        <v>8171</v>
      </c>
      <c r="F259" s="11"/>
      <c r="G259" s="11" t="s">
        <v>1096</v>
      </c>
      <c r="H259" s="11"/>
      <c r="I259" s="11" t="s">
        <v>8170</v>
      </c>
      <c r="J259" s="11" t="s">
        <v>8169</v>
      </c>
      <c r="K259" s="11" t="s">
        <v>2033</v>
      </c>
      <c r="L259" s="11"/>
      <c r="M259" s="12"/>
      <c r="N259" s="11"/>
      <c r="O259" s="11" t="s">
        <v>2028</v>
      </c>
    </row>
    <row r="260" spans="1:15" ht="19.5" customHeight="1" x14ac:dyDescent="0.25">
      <c r="A260" s="13" t="s">
        <v>78</v>
      </c>
      <c r="B260" s="13"/>
      <c r="C260" s="13" t="s">
        <v>8168</v>
      </c>
      <c r="D260" s="13" t="s">
        <v>1883</v>
      </c>
      <c r="E260" s="13" t="s">
        <v>8167</v>
      </c>
      <c r="F260" s="13"/>
      <c r="G260" s="13" t="s">
        <v>78</v>
      </c>
      <c r="H260" s="13" t="s">
        <v>8166</v>
      </c>
      <c r="I260" s="13" t="s">
        <v>8165</v>
      </c>
      <c r="J260" s="13" t="s">
        <v>8164</v>
      </c>
      <c r="K260" s="13" t="s">
        <v>2033</v>
      </c>
      <c r="L260" s="13"/>
      <c r="M260" s="14"/>
      <c r="N260" s="13"/>
      <c r="O260" s="13" t="s">
        <v>2028</v>
      </c>
    </row>
    <row r="261" spans="1:15" ht="19.5" customHeight="1" x14ac:dyDescent="0.25">
      <c r="A261" s="11" t="s">
        <v>1227</v>
      </c>
      <c r="B261" s="11"/>
      <c r="C261" s="11" t="s">
        <v>8163</v>
      </c>
      <c r="D261" s="11" t="s">
        <v>1883</v>
      </c>
      <c r="E261" s="11" t="s">
        <v>8162</v>
      </c>
      <c r="F261" s="11" t="s">
        <v>8161</v>
      </c>
      <c r="G261" s="11" t="s">
        <v>1227</v>
      </c>
      <c r="H261" s="11" t="s">
        <v>8160</v>
      </c>
      <c r="I261" s="11" t="s">
        <v>8159</v>
      </c>
      <c r="J261" s="11" t="s">
        <v>8158</v>
      </c>
      <c r="K261" s="11" t="s">
        <v>2033</v>
      </c>
      <c r="L261" s="11"/>
      <c r="M261" s="12"/>
      <c r="N261" s="11"/>
      <c r="O261" s="11" t="s">
        <v>2028</v>
      </c>
    </row>
    <row r="262" spans="1:15" ht="19.5" customHeight="1" x14ac:dyDescent="0.25">
      <c r="A262" s="13" t="s">
        <v>1227</v>
      </c>
      <c r="B262" s="13"/>
      <c r="C262" s="13" t="s">
        <v>8157</v>
      </c>
      <c r="D262" s="13" t="s">
        <v>1883</v>
      </c>
      <c r="E262" s="13" t="s">
        <v>8156</v>
      </c>
      <c r="F262" s="13"/>
      <c r="G262" s="13" t="s">
        <v>1227</v>
      </c>
      <c r="H262" s="13"/>
      <c r="I262" s="13" t="s">
        <v>6563</v>
      </c>
      <c r="J262" s="13" t="s">
        <v>8155</v>
      </c>
      <c r="K262" s="13" t="s">
        <v>2033</v>
      </c>
      <c r="L262" s="13"/>
      <c r="M262" s="14"/>
      <c r="N262" s="13"/>
      <c r="O262" s="13" t="s">
        <v>2028</v>
      </c>
    </row>
    <row r="263" spans="1:15" ht="19.5" customHeight="1" x14ac:dyDescent="0.25">
      <c r="A263" s="11" t="s">
        <v>1389</v>
      </c>
      <c r="B263" s="11"/>
      <c r="C263" s="11" t="s">
        <v>8154</v>
      </c>
      <c r="D263" s="11" t="s">
        <v>1883</v>
      </c>
      <c r="E263" s="11" t="s">
        <v>8152</v>
      </c>
      <c r="F263" s="11"/>
      <c r="G263" s="11" t="s">
        <v>8151</v>
      </c>
      <c r="H263" s="11"/>
      <c r="I263" s="11" t="s">
        <v>8150</v>
      </c>
      <c r="J263" s="11" t="s">
        <v>8149</v>
      </c>
      <c r="K263" s="11" t="s">
        <v>4304</v>
      </c>
      <c r="L263" s="11"/>
      <c r="M263" s="12"/>
      <c r="N263" s="11"/>
      <c r="O263" s="11" t="s">
        <v>2028</v>
      </c>
    </row>
    <row r="264" spans="1:15" ht="19.5" customHeight="1" x14ac:dyDescent="0.25">
      <c r="A264" s="13" t="s">
        <v>1389</v>
      </c>
      <c r="B264" s="13"/>
      <c r="C264" s="13" t="s">
        <v>8153</v>
      </c>
      <c r="D264" s="13" t="s">
        <v>1883</v>
      </c>
      <c r="E264" s="13" t="s">
        <v>8152</v>
      </c>
      <c r="F264" s="13"/>
      <c r="G264" s="13" t="s">
        <v>8151</v>
      </c>
      <c r="H264" s="13"/>
      <c r="I264" s="13" t="s">
        <v>8150</v>
      </c>
      <c r="J264" s="13" t="s">
        <v>8149</v>
      </c>
      <c r="K264" s="13" t="s">
        <v>4304</v>
      </c>
      <c r="L264" s="13"/>
      <c r="M264" s="14"/>
      <c r="N264" s="13"/>
      <c r="O264" s="13" t="s">
        <v>2028</v>
      </c>
    </row>
    <row r="265" spans="1:15" ht="19.5" customHeight="1" x14ac:dyDescent="0.25">
      <c r="A265" s="11" t="s">
        <v>1086</v>
      </c>
      <c r="B265" s="11"/>
      <c r="C265" s="11" t="s">
        <v>8148</v>
      </c>
      <c r="D265" s="11" t="s">
        <v>1883</v>
      </c>
      <c r="E265" s="11" t="s">
        <v>8147</v>
      </c>
      <c r="F265" s="11"/>
      <c r="G265" s="11" t="s">
        <v>1086</v>
      </c>
      <c r="H265" s="11" t="s">
        <v>8146</v>
      </c>
      <c r="I265" s="11" t="s">
        <v>8145</v>
      </c>
      <c r="J265" s="11" t="s">
        <v>8144</v>
      </c>
      <c r="K265" s="11" t="s">
        <v>2033</v>
      </c>
      <c r="L265" s="11"/>
      <c r="M265" s="12"/>
      <c r="N265" s="11"/>
      <c r="O265" s="11" t="s">
        <v>2028</v>
      </c>
    </row>
    <row r="266" spans="1:15" ht="19.5" customHeight="1" x14ac:dyDescent="0.25">
      <c r="A266" s="13" t="s">
        <v>80</v>
      </c>
      <c r="B266" s="13"/>
      <c r="C266" s="13" t="s">
        <v>8143</v>
      </c>
      <c r="D266" s="13" t="s">
        <v>1883</v>
      </c>
      <c r="E266" s="13" t="s">
        <v>8139</v>
      </c>
      <c r="F266" s="13" t="s">
        <v>8138</v>
      </c>
      <c r="G266" s="13" t="s">
        <v>80</v>
      </c>
      <c r="H266" s="13" t="s">
        <v>8137</v>
      </c>
      <c r="I266" s="13" t="s">
        <v>8141</v>
      </c>
      <c r="J266" s="13" t="s">
        <v>8135</v>
      </c>
      <c r="K266" s="13" t="s">
        <v>2033</v>
      </c>
      <c r="L266" s="13"/>
      <c r="M266" s="14"/>
      <c r="N266" s="13"/>
      <c r="O266" s="13" t="s">
        <v>2028</v>
      </c>
    </row>
    <row r="267" spans="1:15" ht="19.5" customHeight="1" x14ac:dyDescent="0.25">
      <c r="A267" s="11" t="s">
        <v>80</v>
      </c>
      <c r="B267" s="11"/>
      <c r="C267" s="11" t="s">
        <v>8142</v>
      </c>
      <c r="D267" s="11" t="s">
        <v>1883</v>
      </c>
      <c r="E267" s="11" t="s">
        <v>8139</v>
      </c>
      <c r="F267" s="11" t="s">
        <v>8138</v>
      </c>
      <c r="G267" s="11" t="s">
        <v>80</v>
      </c>
      <c r="H267" s="11" t="s">
        <v>8137</v>
      </c>
      <c r="I267" s="11" t="s">
        <v>8141</v>
      </c>
      <c r="J267" s="11" t="s">
        <v>8135</v>
      </c>
      <c r="K267" s="11" t="s">
        <v>2033</v>
      </c>
      <c r="L267" s="11"/>
      <c r="M267" s="12"/>
      <c r="N267" s="11"/>
      <c r="O267" s="11" t="s">
        <v>2028</v>
      </c>
    </row>
    <row r="268" spans="1:15" ht="19.5" customHeight="1" x14ac:dyDescent="0.25">
      <c r="A268" s="13" t="s">
        <v>80</v>
      </c>
      <c r="B268" s="13"/>
      <c r="C268" s="13" t="s">
        <v>8140</v>
      </c>
      <c r="D268" s="13" t="s">
        <v>1883</v>
      </c>
      <c r="E268" s="13" t="s">
        <v>8139</v>
      </c>
      <c r="F268" s="13" t="s">
        <v>8138</v>
      </c>
      <c r="G268" s="13" t="s">
        <v>80</v>
      </c>
      <c r="H268" s="13" t="s">
        <v>8137</v>
      </c>
      <c r="I268" s="13" t="s">
        <v>8136</v>
      </c>
      <c r="J268" s="13" t="s">
        <v>8135</v>
      </c>
      <c r="K268" s="13" t="s">
        <v>2033</v>
      </c>
      <c r="L268" s="13"/>
      <c r="M268" s="14"/>
      <c r="N268" s="13"/>
      <c r="O268" s="13" t="s">
        <v>2028</v>
      </c>
    </row>
    <row r="269" spans="1:15" ht="19.5" customHeight="1" x14ac:dyDescent="0.25">
      <c r="A269" s="11" t="s">
        <v>82</v>
      </c>
      <c r="B269" s="11"/>
      <c r="C269" s="11" t="s">
        <v>8134</v>
      </c>
      <c r="D269" s="11" t="s">
        <v>1883</v>
      </c>
      <c r="E269" s="11" t="s">
        <v>8131</v>
      </c>
      <c r="F269" s="11" t="s">
        <v>8130</v>
      </c>
      <c r="G269" s="11" t="s">
        <v>82</v>
      </c>
      <c r="H269" s="11"/>
      <c r="I269" s="11" t="s">
        <v>8129</v>
      </c>
      <c r="J269" s="11" t="s">
        <v>8128</v>
      </c>
      <c r="K269" s="11" t="s">
        <v>1952</v>
      </c>
      <c r="L269" s="11"/>
      <c r="M269" s="12"/>
      <c r="N269" s="11"/>
      <c r="O269" s="11" t="s">
        <v>2028</v>
      </c>
    </row>
    <row r="270" spans="1:15" ht="19.5" customHeight="1" x14ac:dyDescent="0.25">
      <c r="A270" s="13" t="s">
        <v>82</v>
      </c>
      <c r="B270" s="13"/>
      <c r="C270" s="13" t="s">
        <v>8133</v>
      </c>
      <c r="D270" s="13" t="s">
        <v>1883</v>
      </c>
      <c r="E270" s="13" t="s">
        <v>8131</v>
      </c>
      <c r="F270" s="13" t="s">
        <v>8130</v>
      </c>
      <c r="G270" s="13" t="s">
        <v>82</v>
      </c>
      <c r="H270" s="13"/>
      <c r="I270" s="13" t="s">
        <v>8129</v>
      </c>
      <c r="J270" s="13" t="s">
        <v>8128</v>
      </c>
      <c r="K270" s="13" t="s">
        <v>1952</v>
      </c>
      <c r="L270" s="13"/>
      <c r="M270" s="14"/>
      <c r="N270" s="13"/>
      <c r="O270" s="13" t="s">
        <v>2028</v>
      </c>
    </row>
    <row r="271" spans="1:15" ht="19.5" customHeight="1" x14ac:dyDescent="0.25">
      <c r="A271" s="11" t="s">
        <v>82</v>
      </c>
      <c r="B271" s="11"/>
      <c r="C271" s="11" t="s">
        <v>8132</v>
      </c>
      <c r="D271" s="11" t="s">
        <v>1883</v>
      </c>
      <c r="E271" s="11" t="s">
        <v>8131</v>
      </c>
      <c r="F271" s="11" t="s">
        <v>8130</v>
      </c>
      <c r="G271" s="11" t="s">
        <v>82</v>
      </c>
      <c r="H271" s="11"/>
      <c r="I271" s="11" t="s">
        <v>8129</v>
      </c>
      <c r="J271" s="11" t="s">
        <v>8128</v>
      </c>
      <c r="K271" s="11" t="s">
        <v>1952</v>
      </c>
      <c r="L271" s="11"/>
      <c r="M271" s="12"/>
      <c r="N271" s="11"/>
      <c r="O271" s="11" t="s">
        <v>2028</v>
      </c>
    </row>
    <row r="272" spans="1:15" ht="19.5" customHeight="1" x14ac:dyDescent="0.25">
      <c r="A272" s="13" t="s">
        <v>8122</v>
      </c>
      <c r="B272" s="13"/>
      <c r="C272" s="13" t="s">
        <v>8127</v>
      </c>
      <c r="D272" s="13" t="s">
        <v>1883</v>
      </c>
      <c r="E272" s="13" t="s">
        <v>8124</v>
      </c>
      <c r="F272" s="13" t="s">
        <v>8123</v>
      </c>
      <c r="G272" s="13" t="s">
        <v>8122</v>
      </c>
      <c r="H272" s="13"/>
      <c r="I272" s="13" t="s">
        <v>8121</v>
      </c>
      <c r="J272" s="13" t="s">
        <v>8120</v>
      </c>
      <c r="K272" s="13" t="s">
        <v>2033</v>
      </c>
      <c r="L272" s="13"/>
      <c r="M272" s="14"/>
      <c r="N272" s="13"/>
      <c r="O272" s="13" t="s">
        <v>2028</v>
      </c>
    </row>
    <row r="273" spans="1:15" ht="19.5" customHeight="1" x14ac:dyDescent="0.25">
      <c r="A273" s="11" t="s">
        <v>8122</v>
      </c>
      <c r="B273" s="11"/>
      <c r="C273" s="11" t="s">
        <v>8126</v>
      </c>
      <c r="D273" s="11" t="s">
        <v>1883</v>
      </c>
      <c r="E273" s="11" t="s">
        <v>8124</v>
      </c>
      <c r="F273" s="11" t="s">
        <v>8123</v>
      </c>
      <c r="G273" s="11" t="s">
        <v>8122</v>
      </c>
      <c r="H273" s="11"/>
      <c r="I273" s="11" t="s">
        <v>8121</v>
      </c>
      <c r="J273" s="11" t="s">
        <v>8120</v>
      </c>
      <c r="K273" s="11" t="s">
        <v>2033</v>
      </c>
      <c r="L273" s="11"/>
      <c r="M273" s="12"/>
      <c r="N273" s="11"/>
      <c r="O273" s="11" t="s">
        <v>2028</v>
      </c>
    </row>
    <row r="274" spans="1:15" ht="19.5" customHeight="1" x14ac:dyDescent="0.25">
      <c r="A274" s="13" t="s">
        <v>8122</v>
      </c>
      <c r="B274" s="13"/>
      <c r="C274" s="13" t="s">
        <v>8125</v>
      </c>
      <c r="D274" s="13" t="s">
        <v>1883</v>
      </c>
      <c r="E274" s="13" t="s">
        <v>8124</v>
      </c>
      <c r="F274" s="13" t="s">
        <v>8123</v>
      </c>
      <c r="G274" s="13" t="s">
        <v>8122</v>
      </c>
      <c r="H274" s="13"/>
      <c r="I274" s="13" t="s">
        <v>8121</v>
      </c>
      <c r="J274" s="13" t="s">
        <v>8120</v>
      </c>
      <c r="K274" s="13" t="s">
        <v>2033</v>
      </c>
      <c r="L274" s="13"/>
      <c r="M274" s="14"/>
      <c r="N274" s="13"/>
      <c r="O274" s="13" t="s">
        <v>2028</v>
      </c>
    </row>
    <row r="275" spans="1:15" ht="19.5" customHeight="1" x14ac:dyDescent="0.25">
      <c r="A275" s="11" t="s">
        <v>84</v>
      </c>
      <c r="B275" s="11"/>
      <c r="C275" s="11" t="s">
        <v>8119</v>
      </c>
      <c r="D275" s="11" t="s">
        <v>1883</v>
      </c>
      <c r="E275" s="11" t="s">
        <v>8116</v>
      </c>
      <c r="F275" s="11" t="s">
        <v>8115</v>
      </c>
      <c r="G275" s="11" t="s">
        <v>4456</v>
      </c>
      <c r="H275" s="11" t="s">
        <v>8114</v>
      </c>
      <c r="I275" s="11" t="s">
        <v>8113</v>
      </c>
      <c r="J275" s="11" t="s">
        <v>8112</v>
      </c>
      <c r="K275" s="11" t="s">
        <v>3599</v>
      </c>
      <c r="L275" s="11"/>
      <c r="M275" s="12"/>
      <c r="N275" s="11"/>
      <c r="O275" s="11" t="s">
        <v>2028</v>
      </c>
    </row>
    <row r="276" spans="1:15" ht="19.5" customHeight="1" x14ac:dyDescent="0.25">
      <c r="A276" s="13" t="s">
        <v>84</v>
      </c>
      <c r="B276" s="13"/>
      <c r="C276" s="13" t="s">
        <v>8118</v>
      </c>
      <c r="D276" s="13" t="s">
        <v>1883</v>
      </c>
      <c r="E276" s="13" t="s">
        <v>8116</v>
      </c>
      <c r="F276" s="13" t="s">
        <v>8115</v>
      </c>
      <c r="G276" s="13" t="s">
        <v>4456</v>
      </c>
      <c r="H276" s="13" t="s">
        <v>8114</v>
      </c>
      <c r="I276" s="13" t="s">
        <v>8113</v>
      </c>
      <c r="J276" s="13" t="s">
        <v>8112</v>
      </c>
      <c r="K276" s="13" t="s">
        <v>3599</v>
      </c>
      <c r="L276" s="13"/>
      <c r="M276" s="14"/>
      <c r="N276" s="13"/>
      <c r="O276" s="13" t="s">
        <v>2028</v>
      </c>
    </row>
    <row r="277" spans="1:15" ht="19.5" customHeight="1" x14ac:dyDescent="0.25">
      <c r="A277" s="11" t="s">
        <v>84</v>
      </c>
      <c r="B277" s="11"/>
      <c r="C277" s="11" t="s">
        <v>8117</v>
      </c>
      <c r="D277" s="11" t="s">
        <v>1883</v>
      </c>
      <c r="E277" s="11" t="s">
        <v>8116</v>
      </c>
      <c r="F277" s="11" t="s">
        <v>8115</v>
      </c>
      <c r="G277" s="11" t="s">
        <v>4456</v>
      </c>
      <c r="H277" s="11" t="s">
        <v>8114</v>
      </c>
      <c r="I277" s="11" t="s">
        <v>8113</v>
      </c>
      <c r="J277" s="11" t="s">
        <v>8112</v>
      </c>
      <c r="K277" s="11" t="s">
        <v>3599</v>
      </c>
      <c r="L277" s="11"/>
      <c r="M277" s="12"/>
      <c r="N277" s="11"/>
      <c r="O277" s="11" t="s">
        <v>2028</v>
      </c>
    </row>
    <row r="278" spans="1:15" ht="19.5" customHeight="1" x14ac:dyDescent="0.25">
      <c r="A278" s="13" t="s">
        <v>1608</v>
      </c>
      <c r="B278" s="13"/>
      <c r="C278" s="13" t="s">
        <v>8111</v>
      </c>
      <c r="D278" s="13" t="s">
        <v>1883</v>
      </c>
      <c r="E278" s="13" t="s">
        <v>8110</v>
      </c>
      <c r="F278" s="13"/>
      <c r="G278" s="13" t="s">
        <v>1608</v>
      </c>
      <c r="H278" s="13"/>
      <c r="I278" s="13" t="s">
        <v>8109</v>
      </c>
      <c r="J278" s="13" t="s">
        <v>8108</v>
      </c>
      <c r="K278" s="13" t="s">
        <v>2033</v>
      </c>
      <c r="L278" s="13"/>
      <c r="M278" s="14"/>
      <c r="N278" s="13"/>
      <c r="O278" s="13" t="s">
        <v>2028</v>
      </c>
    </row>
    <row r="279" spans="1:15" ht="19.5" customHeight="1" x14ac:dyDescent="0.25">
      <c r="A279" s="11" t="s">
        <v>8105</v>
      </c>
      <c r="B279" s="11"/>
      <c r="C279" s="11" t="s">
        <v>8107</v>
      </c>
      <c r="D279" s="11" t="s">
        <v>1883</v>
      </c>
      <c r="E279" s="11" t="s">
        <v>8106</v>
      </c>
      <c r="F279" s="11"/>
      <c r="G279" s="11" t="s">
        <v>8105</v>
      </c>
      <c r="H279" s="11"/>
      <c r="I279" s="11" t="s">
        <v>8104</v>
      </c>
      <c r="J279" s="11" t="s">
        <v>8103</v>
      </c>
      <c r="K279" s="11" t="s">
        <v>4943</v>
      </c>
      <c r="L279" s="11"/>
      <c r="M279" s="12"/>
      <c r="N279" s="11"/>
      <c r="O279" s="11" t="s">
        <v>2028</v>
      </c>
    </row>
    <row r="280" spans="1:15" ht="19.5" customHeight="1" x14ac:dyDescent="0.25">
      <c r="A280" s="13" t="s">
        <v>86</v>
      </c>
      <c r="B280" s="13"/>
      <c r="C280" s="13" t="s">
        <v>8102</v>
      </c>
      <c r="D280" s="13" t="s">
        <v>1883</v>
      </c>
      <c r="E280" s="13" t="s">
        <v>8101</v>
      </c>
      <c r="F280" s="13"/>
      <c r="G280" s="13" t="s">
        <v>86</v>
      </c>
      <c r="H280" s="13" t="s">
        <v>8100</v>
      </c>
      <c r="I280" s="13" t="s">
        <v>8099</v>
      </c>
      <c r="J280" s="13" t="s">
        <v>8098</v>
      </c>
      <c r="K280" s="13" t="s">
        <v>2033</v>
      </c>
      <c r="L280" s="13"/>
      <c r="M280" s="14"/>
      <c r="N280" s="13"/>
      <c r="O280" s="13" t="s">
        <v>2028</v>
      </c>
    </row>
    <row r="281" spans="1:15" ht="19.5" customHeight="1" x14ac:dyDescent="0.25">
      <c r="A281" s="11" t="s">
        <v>8090</v>
      </c>
      <c r="B281" s="11"/>
      <c r="C281" s="11" t="s">
        <v>8097</v>
      </c>
      <c r="D281" s="11" t="s">
        <v>1883</v>
      </c>
      <c r="E281" s="11" t="s">
        <v>8091</v>
      </c>
      <c r="F281" s="11"/>
      <c r="G281" s="11" t="s">
        <v>8090</v>
      </c>
      <c r="H281" s="11"/>
      <c r="I281" s="11" t="s">
        <v>8089</v>
      </c>
      <c r="J281" s="11" t="s">
        <v>8088</v>
      </c>
      <c r="K281" s="11" t="s">
        <v>2033</v>
      </c>
      <c r="L281" s="11"/>
      <c r="M281" s="12"/>
      <c r="N281" s="11"/>
      <c r="O281" s="11" t="s">
        <v>2028</v>
      </c>
    </row>
    <row r="282" spans="1:15" ht="19.5" customHeight="1" x14ac:dyDescent="0.25">
      <c r="A282" s="13" t="s">
        <v>8090</v>
      </c>
      <c r="B282" s="13"/>
      <c r="C282" s="13" t="s">
        <v>8096</v>
      </c>
      <c r="D282" s="13" t="s">
        <v>1883</v>
      </c>
      <c r="E282" s="13" t="s">
        <v>8091</v>
      </c>
      <c r="F282" s="13"/>
      <c r="G282" s="13" t="s">
        <v>8090</v>
      </c>
      <c r="H282" s="13"/>
      <c r="I282" s="13" t="s">
        <v>8089</v>
      </c>
      <c r="J282" s="13" t="s">
        <v>8088</v>
      </c>
      <c r="K282" s="13" t="s">
        <v>2033</v>
      </c>
      <c r="L282" s="13"/>
      <c r="M282" s="14"/>
      <c r="N282" s="13"/>
      <c r="O282" s="13" t="s">
        <v>2028</v>
      </c>
    </row>
    <row r="283" spans="1:15" ht="19.5" customHeight="1" x14ac:dyDescent="0.25">
      <c r="A283" s="11" t="s">
        <v>8090</v>
      </c>
      <c r="B283" s="11"/>
      <c r="C283" s="11" t="s">
        <v>8095</v>
      </c>
      <c r="D283" s="11" t="s">
        <v>1883</v>
      </c>
      <c r="E283" s="11" t="s">
        <v>8091</v>
      </c>
      <c r="F283" s="11"/>
      <c r="G283" s="11" t="s">
        <v>8090</v>
      </c>
      <c r="H283" s="11"/>
      <c r="I283" s="11" t="s">
        <v>8089</v>
      </c>
      <c r="J283" s="11" t="s">
        <v>8088</v>
      </c>
      <c r="K283" s="11" t="s">
        <v>2033</v>
      </c>
      <c r="L283" s="11"/>
      <c r="M283" s="12"/>
      <c r="N283" s="11"/>
      <c r="O283" s="11" t="s">
        <v>2028</v>
      </c>
    </row>
    <row r="284" spans="1:15" ht="19.5" customHeight="1" x14ac:dyDescent="0.25">
      <c r="A284" s="13" t="s">
        <v>8090</v>
      </c>
      <c r="B284" s="13"/>
      <c r="C284" s="13" t="s">
        <v>8094</v>
      </c>
      <c r="D284" s="13" t="s">
        <v>1883</v>
      </c>
      <c r="E284" s="13" t="s">
        <v>8091</v>
      </c>
      <c r="F284" s="13"/>
      <c r="G284" s="13" t="s">
        <v>8090</v>
      </c>
      <c r="H284" s="13"/>
      <c r="I284" s="13" t="s">
        <v>8089</v>
      </c>
      <c r="J284" s="13" t="s">
        <v>8088</v>
      </c>
      <c r="K284" s="13" t="s">
        <v>2033</v>
      </c>
      <c r="L284" s="13"/>
      <c r="M284" s="14"/>
      <c r="N284" s="13"/>
      <c r="O284" s="13" t="s">
        <v>2028</v>
      </c>
    </row>
    <row r="285" spans="1:15" ht="19.5" customHeight="1" x14ac:dyDescent="0.25">
      <c r="A285" s="11" t="s">
        <v>8090</v>
      </c>
      <c r="B285" s="11"/>
      <c r="C285" s="11" t="s">
        <v>8093</v>
      </c>
      <c r="D285" s="11" t="s">
        <v>1883</v>
      </c>
      <c r="E285" s="11" t="s">
        <v>8091</v>
      </c>
      <c r="F285" s="11"/>
      <c r="G285" s="11" t="s">
        <v>8090</v>
      </c>
      <c r="H285" s="11"/>
      <c r="I285" s="11" t="s">
        <v>8089</v>
      </c>
      <c r="J285" s="11" t="s">
        <v>8088</v>
      </c>
      <c r="K285" s="11" t="s">
        <v>2033</v>
      </c>
      <c r="L285" s="11"/>
      <c r="M285" s="12"/>
      <c r="N285" s="11"/>
      <c r="O285" s="11" t="s">
        <v>2028</v>
      </c>
    </row>
    <row r="286" spans="1:15" ht="19.5" customHeight="1" x14ac:dyDescent="0.25">
      <c r="A286" s="13" t="s">
        <v>8090</v>
      </c>
      <c r="B286" s="13"/>
      <c r="C286" s="13" t="s">
        <v>8092</v>
      </c>
      <c r="D286" s="13" t="s">
        <v>1883</v>
      </c>
      <c r="E286" s="13" t="s">
        <v>8091</v>
      </c>
      <c r="F286" s="13"/>
      <c r="G286" s="13" t="s">
        <v>8090</v>
      </c>
      <c r="H286" s="13"/>
      <c r="I286" s="13" t="s">
        <v>8089</v>
      </c>
      <c r="J286" s="13" t="s">
        <v>8088</v>
      </c>
      <c r="K286" s="13" t="s">
        <v>2033</v>
      </c>
      <c r="L286" s="13"/>
      <c r="M286" s="14"/>
      <c r="N286" s="13"/>
      <c r="O286" s="13" t="s">
        <v>2028</v>
      </c>
    </row>
    <row r="287" spans="1:15" ht="19.5" customHeight="1" x14ac:dyDescent="0.25">
      <c r="A287" s="11" t="s">
        <v>8084</v>
      </c>
      <c r="B287" s="11"/>
      <c r="C287" s="11" t="s">
        <v>8087</v>
      </c>
      <c r="D287" s="11" t="s">
        <v>1883</v>
      </c>
      <c r="E287" s="11" t="s">
        <v>8086</v>
      </c>
      <c r="F287" s="11" t="s">
        <v>8085</v>
      </c>
      <c r="G287" s="11" t="s">
        <v>8084</v>
      </c>
      <c r="H287" s="11" t="s">
        <v>8083</v>
      </c>
      <c r="I287" s="11" t="s">
        <v>8082</v>
      </c>
      <c r="J287" s="11" t="s">
        <v>8081</v>
      </c>
      <c r="K287" s="11" t="s">
        <v>1952</v>
      </c>
      <c r="L287" s="11"/>
      <c r="M287" s="12"/>
      <c r="N287" s="11"/>
      <c r="O287" s="11" t="s">
        <v>2028</v>
      </c>
    </row>
    <row r="288" spans="1:15" ht="19.5" customHeight="1" x14ac:dyDescent="0.25">
      <c r="A288" s="13" t="s">
        <v>1871</v>
      </c>
      <c r="B288" s="13"/>
      <c r="C288" s="13" t="s">
        <v>8080</v>
      </c>
      <c r="D288" s="13" t="s">
        <v>1883</v>
      </c>
      <c r="E288" s="13" t="s">
        <v>8079</v>
      </c>
      <c r="F288" s="13" t="s">
        <v>8078</v>
      </c>
      <c r="G288" s="13" t="s">
        <v>1871</v>
      </c>
      <c r="H288" s="13"/>
      <c r="I288" s="13" t="s">
        <v>8077</v>
      </c>
      <c r="J288" s="13" t="s">
        <v>8076</v>
      </c>
      <c r="K288" s="13"/>
      <c r="L288" s="13"/>
      <c r="M288" s="14"/>
      <c r="N288" s="13"/>
      <c r="O288" s="13" t="s">
        <v>2028</v>
      </c>
    </row>
    <row r="289" spans="1:15" ht="19.5" customHeight="1" x14ac:dyDescent="0.25">
      <c r="A289" s="11" t="s">
        <v>88</v>
      </c>
      <c r="B289" s="11"/>
      <c r="C289" s="11" t="s">
        <v>8075</v>
      </c>
      <c r="D289" s="11" t="s">
        <v>1883</v>
      </c>
      <c r="E289" s="11" t="s">
        <v>8074</v>
      </c>
      <c r="F289" s="11"/>
      <c r="G289" s="11" t="s">
        <v>88</v>
      </c>
      <c r="H289" s="11" t="s">
        <v>8073</v>
      </c>
      <c r="I289" s="11" t="s">
        <v>5886</v>
      </c>
      <c r="J289" s="11" t="s">
        <v>8072</v>
      </c>
      <c r="K289" s="11" t="s">
        <v>2033</v>
      </c>
      <c r="L289" s="11"/>
      <c r="M289" s="12"/>
      <c r="N289" s="11"/>
      <c r="O289" s="11" t="s">
        <v>2028</v>
      </c>
    </row>
    <row r="290" spans="1:15" ht="19.5" customHeight="1" x14ac:dyDescent="0.25">
      <c r="A290" s="13" t="s">
        <v>1116</v>
      </c>
      <c r="B290" s="13"/>
      <c r="C290" s="13" t="s">
        <v>1115</v>
      </c>
      <c r="D290" s="13" t="s">
        <v>1883</v>
      </c>
      <c r="E290" s="13" t="s">
        <v>8071</v>
      </c>
      <c r="F290" s="13"/>
      <c r="G290" s="13" t="s">
        <v>1116</v>
      </c>
      <c r="H290" s="13"/>
      <c r="I290" s="13" t="s">
        <v>2000</v>
      </c>
      <c r="J290" s="13" t="s">
        <v>8070</v>
      </c>
      <c r="K290" s="13" t="s">
        <v>1952</v>
      </c>
      <c r="L290" s="13"/>
      <c r="M290" s="14"/>
      <c r="N290" s="13"/>
      <c r="O290" s="13" t="s">
        <v>1945</v>
      </c>
    </row>
    <row r="291" spans="1:15" ht="19.5" customHeight="1" x14ac:dyDescent="0.25">
      <c r="A291" s="11" t="s">
        <v>90</v>
      </c>
      <c r="B291" s="11"/>
      <c r="C291" s="11" t="s">
        <v>8069</v>
      </c>
      <c r="D291" s="11" t="s">
        <v>1883</v>
      </c>
      <c r="E291" s="11" t="s">
        <v>8064</v>
      </c>
      <c r="F291" s="11"/>
      <c r="G291" s="11" t="s">
        <v>90</v>
      </c>
      <c r="H291" s="11"/>
      <c r="I291" s="11" t="s">
        <v>8066</v>
      </c>
      <c r="J291" s="11" t="s">
        <v>8061</v>
      </c>
      <c r="K291" s="11" t="s">
        <v>1908</v>
      </c>
      <c r="L291" s="11"/>
      <c r="M291" s="12"/>
      <c r="N291" s="11"/>
      <c r="O291" s="11" t="s">
        <v>1916</v>
      </c>
    </row>
    <row r="292" spans="1:15" ht="19.5" customHeight="1" x14ac:dyDescent="0.25">
      <c r="A292" s="13" t="s">
        <v>90</v>
      </c>
      <c r="B292" s="13"/>
      <c r="C292" s="13" t="s">
        <v>8068</v>
      </c>
      <c r="D292" s="13" t="s">
        <v>1883</v>
      </c>
      <c r="E292" s="13" t="s">
        <v>8064</v>
      </c>
      <c r="F292" s="13"/>
      <c r="G292" s="13" t="s">
        <v>90</v>
      </c>
      <c r="H292" s="13" t="s">
        <v>8063</v>
      </c>
      <c r="I292" s="13" t="s">
        <v>8066</v>
      </c>
      <c r="J292" s="13" t="s">
        <v>8061</v>
      </c>
      <c r="K292" s="13" t="s">
        <v>1908</v>
      </c>
      <c r="L292" s="13"/>
      <c r="M292" s="14"/>
      <c r="N292" s="13"/>
      <c r="O292" s="13" t="s">
        <v>1877</v>
      </c>
    </row>
    <row r="293" spans="1:15" ht="19.5" customHeight="1" x14ac:dyDescent="0.25">
      <c r="A293" s="11" t="s">
        <v>90</v>
      </c>
      <c r="B293" s="11"/>
      <c r="C293" s="11" t="s">
        <v>8067</v>
      </c>
      <c r="D293" s="11" t="s">
        <v>1883</v>
      </c>
      <c r="E293" s="11" t="s">
        <v>8064</v>
      </c>
      <c r="F293" s="11"/>
      <c r="G293" s="11" t="s">
        <v>90</v>
      </c>
      <c r="H293" s="11" t="s">
        <v>8063</v>
      </c>
      <c r="I293" s="11" t="s">
        <v>8066</v>
      </c>
      <c r="J293" s="11" t="s">
        <v>8061</v>
      </c>
      <c r="K293" s="11" t="s">
        <v>1908</v>
      </c>
      <c r="L293" s="11"/>
      <c r="M293" s="12"/>
      <c r="N293" s="11"/>
      <c r="O293" s="11" t="s">
        <v>1877</v>
      </c>
    </row>
    <row r="294" spans="1:15" ht="19.5" customHeight="1" x14ac:dyDescent="0.25">
      <c r="A294" s="13" t="s">
        <v>90</v>
      </c>
      <c r="B294" s="13"/>
      <c r="C294" s="13" t="s">
        <v>8065</v>
      </c>
      <c r="D294" s="13" t="s">
        <v>1883</v>
      </c>
      <c r="E294" s="13" t="s">
        <v>8064</v>
      </c>
      <c r="F294" s="13"/>
      <c r="G294" s="13" t="s">
        <v>90</v>
      </c>
      <c r="H294" s="13" t="s">
        <v>8063</v>
      </c>
      <c r="I294" s="13" t="s">
        <v>8062</v>
      </c>
      <c r="J294" s="13" t="s">
        <v>8061</v>
      </c>
      <c r="K294" s="13" t="s">
        <v>1908</v>
      </c>
      <c r="L294" s="13"/>
      <c r="M294" s="14"/>
      <c r="N294" s="13"/>
      <c r="O294" s="13" t="s">
        <v>1877</v>
      </c>
    </row>
    <row r="295" spans="1:15" ht="19.5" customHeight="1" x14ac:dyDescent="0.25">
      <c r="A295" s="11" t="s">
        <v>8059</v>
      </c>
      <c r="B295" s="11"/>
      <c r="C295" s="11" t="s">
        <v>8060</v>
      </c>
      <c r="D295" s="11" t="s">
        <v>1883</v>
      </c>
      <c r="E295" s="11"/>
      <c r="F295" s="11"/>
      <c r="G295" s="11" t="s">
        <v>8059</v>
      </c>
      <c r="H295" s="11"/>
      <c r="I295" s="11"/>
      <c r="J295" s="11"/>
      <c r="K295" s="11"/>
      <c r="L295" s="11"/>
      <c r="M295" s="12"/>
      <c r="N295" s="11"/>
      <c r="O295" s="11"/>
    </row>
    <row r="296" spans="1:15" ht="19.5" customHeight="1" x14ac:dyDescent="0.25">
      <c r="A296" s="13" t="s">
        <v>8057</v>
      </c>
      <c r="B296" s="13"/>
      <c r="C296" s="13" t="s">
        <v>8058</v>
      </c>
      <c r="D296" s="13" t="s">
        <v>1883</v>
      </c>
      <c r="E296" s="13"/>
      <c r="F296" s="13"/>
      <c r="G296" s="13" t="s">
        <v>8057</v>
      </c>
      <c r="H296" s="13"/>
      <c r="I296" s="13"/>
      <c r="J296" s="13"/>
      <c r="K296" s="13"/>
      <c r="L296" s="13"/>
      <c r="M296" s="14"/>
      <c r="N296" s="13"/>
      <c r="O296" s="13"/>
    </row>
    <row r="297" spans="1:15" ht="19.5" customHeight="1" x14ac:dyDescent="0.25">
      <c r="A297" s="11" t="s">
        <v>92</v>
      </c>
      <c r="B297" s="11"/>
      <c r="C297" s="11" t="s">
        <v>8056</v>
      </c>
      <c r="D297" s="11" t="s">
        <v>1883</v>
      </c>
      <c r="E297" s="11" t="s">
        <v>8055</v>
      </c>
      <c r="F297" s="11"/>
      <c r="G297" s="11" t="s">
        <v>92</v>
      </c>
      <c r="H297" s="11"/>
      <c r="I297" s="11" t="s">
        <v>8054</v>
      </c>
      <c r="J297" s="11" t="s">
        <v>8053</v>
      </c>
      <c r="K297" s="11" t="s">
        <v>3771</v>
      </c>
      <c r="L297" s="11"/>
      <c r="M297" s="12"/>
      <c r="N297" s="11"/>
      <c r="O297" s="11" t="s">
        <v>1877</v>
      </c>
    </row>
    <row r="298" spans="1:15" ht="19.5" customHeight="1" x14ac:dyDescent="0.25">
      <c r="A298" s="13" t="s">
        <v>8050</v>
      </c>
      <c r="B298" s="13"/>
      <c r="C298" s="13" t="s">
        <v>8052</v>
      </c>
      <c r="D298" s="13" t="s">
        <v>1883</v>
      </c>
      <c r="E298" s="13" t="s">
        <v>8051</v>
      </c>
      <c r="F298" s="13"/>
      <c r="G298" s="13" t="s">
        <v>8050</v>
      </c>
      <c r="H298" s="13"/>
      <c r="I298" s="13"/>
      <c r="J298" s="13"/>
      <c r="K298" s="13"/>
      <c r="L298" s="13"/>
      <c r="M298" s="14"/>
      <c r="N298" s="13"/>
      <c r="O298" s="13" t="s">
        <v>1945</v>
      </c>
    </row>
    <row r="299" spans="1:15" ht="19.5" customHeight="1" x14ac:dyDescent="0.25">
      <c r="A299" s="11" t="s">
        <v>1158</v>
      </c>
      <c r="B299" s="11"/>
      <c r="C299" s="11" t="s">
        <v>8049</v>
      </c>
      <c r="D299" s="11" t="s">
        <v>1883</v>
      </c>
      <c r="E299" s="11" t="s">
        <v>8048</v>
      </c>
      <c r="F299" s="11"/>
      <c r="G299" s="11" t="s">
        <v>1158</v>
      </c>
      <c r="H299" s="11"/>
      <c r="I299" s="11"/>
      <c r="J299" s="11"/>
      <c r="K299" s="11"/>
      <c r="L299" s="11"/>
      <c r="M299" s="12"/>
      <c r="N299" s="11"/>
      <c r="O299" s="11" t="s">
        <v>1877</v>
      </c>
    </row>
    <row r="300" spans="1:15" ht="19.5" customHeight="1" x14ac:dyDescent="0.25">
      <c r="A300" s="13" t="s">
        <v>8046</v>
      </c>
      <c r="B300" s="13"/>
      <c r="C300" s="13" t="s">
        <v>8047</v>
      </c>
      <c r="D300" s="13" t="s">
        <v>1883</v>
      </c>
      <c r="E300" s="13"/>
      <c r="F300" s="13"/>
      <c r="G300" s="13" t="s">
        <v>8046</v>
      </c>
      <c r="H300" s="13"/>
      <c r="I300" s="13"/>
      <c r="J300" s="13"/>
      <c r="K300" s="13"/>
      <c r="L300" s="13"/>
      <c r="M300" s="14"/>
      <c r="N300" s="13"/>
      <c r="O300" s="13"/>
    </row>
    <row r="301" spans="1:15" ht="19.5" customHeight="1" x14ac:dyDescent="0.25">
      <c r="A301" s="11" t="s">
        <v>8044</v>
      </c>
      <c r="B301" s="11"/>
      <c r="C301" s="11" t="s">
        <v>8045</v>
      </c>
      <c r="D301" s="11" t="s">
        <v>1883</v>
      </c>
      <c r="E301" s="11"/>
      <c r="F301" s="11"/>
      <c r="G301" s="11" t="s">
        <v>8044</v>
      </c>
      <c r="H301" s="11"/>
      <c r="I301" s="11"/>
      <c r="J301" s="11"/>
      <c r="K301" s="11"/>
      <c r="L301" s="11"/>
      <c r="M301" s="12"/>
      <c r="N301" s="11"/>
      <c r="O301" s="11"/>
    </row>
    <row r="302" spans="1:15" ht="19.5" customHeight="1" x14ac:dyDescent="0.25">
      <c r="A302" s="13" t="s">
        <v>8042</v>
      </c>
      <c r="B302" s="13"/>
      <c r="C302" s="13" t="s">
        <v>8043</v>
      </c>
      <c r="D302" s="13" t="s">
        <v>1883</v>
      </c>
      <c r="E302" s="13"/>
      <c r="F302" s="13"/>
      <c r="G302" s="13" t="s">
        <v>8042</v>
      </c>
      <c r="H302" s="13"/>
      <c r="I302" s="13"/>
      <c r="J302" s="13"/>
      <c r="K302" s="13"/>
      <c r="L302" s="13"/>
      <c r="M302" s="14"/>
      <c r="N302" s="13"/>
      <c r="O302" s="13"/>
    </row>
    <row r="303" spans="1:15" ht="19.5" customHeight="1" x14ac:dyDescent="0.25">
      <c r="A303" s="11" t="s">
        <v>8036</v>
      </c>
      <c r="B303" s="11"/>
      <c r="C303" s="11" t="s">
        <v>8041</v>
      </c>
      <c r="D303" s="11" t="s">
        <v>1883</v>
      </c>
      <c r="E303" s="11"/>
      <c r="F303" s="11"/>
      <c r="G303" s="11" t="s">
        <v>8036</v>
      </c>
      <c r="H303" s="11"/>
      <c r="I303" s="11"/>
      <c r="J303" s="11"/>
      <c r="K303" s="11"/>
      <c r="L303" s="11"/>
      <c r="M303" s="12"/>
      <c r="N303" s="11"/>
      <c r="O303" s="11"/>
    </row>
    <row r="304" spans="1:15" ht="19.5" customHeight="1" x14ac:dyDescent="0.25">
      <c r="A304" s="13" t="s">
        <v>8036</v>
      </c>
      <c r="B304" s="13"/>
      <c r="C304" s="13" t="s">
        <v>8040</v>
      </c>
      <c r="D304" s="13" t="s">
        <v>1883</v>
      </c>
      <c r="E304" s="13"/>
      <c r="F304" s="13"/>
      <c r="G304" s="13" t="s">
        <v>8036</v>
      </c>
      <c r="H304" s="13"/>
      <c r="I304" s="13"/>
      <c r="J304" s="13"/>
      <c r="K304" s="13"/>
      <c r="L304" s="13"/>
      <c r="M304" s="14"/>
      <c r="N304" s="13"/>
      <c r="O304" s="13"/>
    </row>
    <row r="305" spans="1:15" ht="19.5" customHeight="1" x14ac:dyDescent="0.25">
      <c r="A305" s="11" t="s">
        <v>8036</v>
      </c>
      <c r="B305" s="11"/>
      <c r="C305" s="11" t="s">
        <v>8039</v>
      </c>
      <c r="D305" s="11" t="s">
        <v>1883</v>
      </c>
      <c r="E305" s="11"/>
      <c r="F305" s="11"/>
      <c r="G305" s="11" t="s">
        <v>8036</v>
      </c>
      <c r="H305" s="11"/>
      <c r="I305" s="11"/>
      <c r="J305" s="11"/>
      <c r="K305" s="11"/>
      <c r="L305" s="11"/>
      <c r="M305" s="12"/>
      <c r="N305" s="11"/>
      <c r="O305" s="11"/>
    </row>
    <row r="306" spans="1:15" ht="19.5" customHeight="1" x14ac:dyDescent="0.25">
      <c r="A306" s="13" t="s">
        <v>8036</v>
      </c>
      <c r="B306" s="13"/>
      <c r="C306" s="13" t="s">
        <v>8038</v>
      </c>
      <c r="D306" s="13" t="s">
        <v>1883</v>
      </c>
      <c r="E306" s="13"/>
      <c r="F306" s="13"/>
      <c r="G306" s="13" t="s">
        <v>8036</v>
      </c>
      <c r="H306" s="13"/>
      <c r="I306" s="13"/>
      <c r="J306" s="13"/>
      <c r="K306" s="13"/>
      <c r="L306" s="13"/>
      <c r="M306" s="14"/>
      <c r="N306" s="13"/>
      <c r="O306" s="13"/>
    </row>
    <row r="307" spans="1:15" ht="19.5" customHeight="1" x14ac:dyDescent="0.25">
      <c r="A307" s="11" t="s">
        <v>8036</v>
      </c>
      <c r="B307" s="11"/>
      <c r="C307" s="11" t="s">
        <v>8037</v>
      </c>
      <c r="D307" s="11" t="s">
        <v>1883</v>
      </c>
      <c r="E307" s="11"/>
      <c r="F307" s="11"/>
      <c r="G307" s="11" t="s">
        <v>8036</v>
      </c>
      <c r="H307" s="11"/>
      <c r="I307" s="11"/>
      <c r="J307" s="11"/>
      <c r="K307" s="11"/>
      <c r="L307" s="11"/>
      <c r="M307" s="12"/>
      <c r="N307" s="11"/>
      <c r="O307" s="11"/>
    </row>
    <row r="308" spans="1:15" ht="19.5" customHeight="1" x14ac:dyDescent="0.25">
      <c r="A308" s="13" t="s">
        <v>94</v>
      </c>
      <c r="B308" s="13"/>
      <c r="C308" s="13" t="s">
        <v>8035</v>
      </c>
      <c r="D308" s="13" t="s">
        <v>1883</v>
      </c>
      <c r="E308" s="13" t="s">
        <v>8032</v>
      </c>
      <c r="F308" s="13" t="s">
        <v>8031</v>
      </c>
      <c r="G308" s="13" t="s">
        <v>94</v>
      </c>
      <c r="H308" s="13"/>
      <c r="I308" s="13" t="s">
        <v>7485</v>
      </c>
      <c r="J308" s="13" t="s">
        <v>8030</v>
      </c>
      <c r="K308" s="13" t="s">
        <v>2033</v>
      </c>
      <c r="L308" s="13"/>
      <c r="M308" s="14"/>
      <c r="N308" s="13"/>
      <c r="O308" s="13" t="s">
        <v>2028</v>
      </c>
    </row>
    <row r="309" spans="1:15" ht="19.5" customHeight="1" x14ac:dyDescent="0.25">
      <c r="A309" s="11" t="s">
        <v>94</v>
      </c>
      <c r="B309" s="11"/>
      <c r="C309" s="11" t="s">
        <v>8034</v>
      </c>
      <c r="D309" s="11" t="s">
        <v>1883</v>
      </c>
      <c r="E309" s="11" t="s">
        <v>8032</v>
      </c>
      <c r="F309" s="11" t="s">
        <v>8031</v>
      </c>
      <c r="G309" s="11" t="s">
        <v>94</v>
      </c>
      <c r="H309" s="11"/>
      <c r="I309" s="11" t="s">
        <v>7485</v>
      </c>
      <c r="J309" s="11" t="s">
        <v>8030</v>
      </c>
      <c r="K309" s="11" t="s">
        <v>2033</v>
      </c>
      <c r="L309" s="11"/>
      <c r="M309" s="12"/>
      <c r="N309" s="11"/>
      <c r="O309" s="11" t="s">
        <v>2028</v>
      </c>
    </row>
    <row r="310" spans="1:15" ht="19.5" customHeight="1" x14ac:dyDescent="0.25">
      <c r="A310" s="13" t="s">
        <v>94</v>
      </c>
      <c r="B310" s="13"/>
      <c r="C310" s="13" t="s">
        <v>8033</v>
      </c>
      <c r="D310" s="13" t="s">
        <v>1883</v>
      </c>
      <c r="E310" s="13" t="s">
        <v>8032</v>
      </c>
      <c r="F310" s="13" t="s">
        <v>8031</v>
      </c>
      <c r="G310" s="13" t="s">
        <v>94</v>
      </c>
      <c r="H310" s="13"/>
      <c r="I310" s="13" t="s">
        <v>7485</v>
      </c>
      <c r="J310" s="13" t="s">
        <v>8030</v>
      </c>
      <c r="K310" s="13" t="s">
        <v>2033</v>
      </c>
      <c r="L310" s="13"/>
      <c r="M310" s="14"/>
      <c r="N310" s="13"/>
      <c r="O310" s="13" t="s">
        <v>2028</v>
      </c>
    </row>
    <row r="311" spans="1:15" ht="19.5" customHeight="1" x14ac:dyDescent="0.25">
      <c r="A311" s="11" t="s">
        <v>1055</v>
      </c>
      <c r="B311" s="11"/>
      <c r="C311" s="11" t="s">
        <v>1054</v>
      </c>
      <c r="D311" s="11" t="s">
        <v>1883</v>
      </c>
      <c r="E311" s="11" t="s">
        <v>8029</v>
      </c>
      <c r="F311" s="11" t="s">
        <v>8028</v>
      </c>
      <c r="G311" s="11" t="s">
        <v>1055</v>
      </c>
      <c r="H311" s="11"/>
      <c r="I311" s="11" t="s">
        <v>8832</v>
      </c>
      <c r="J311" s="11" t="s">
        <v>8833</v>
      </c>
      <c r="K311" s="11" t="s">
        <v>2033</v>
      </c>
      <c r="L311" s="11"/>
      <c r="M311" s="12"/>
      <c r="N311" s="11"/>
      <c r="O311" s="11" t="s">
        <v>1945</v>
      </c>
    </row>
    <row r="312" spans="1:15" ht="19.5" customHeight="1" x14ac:dyDescent="0.25">
      <c r="A312" s="13" t="s">
        <v>8024</v>
      </c>
      <c r="B312" s="13"/>
      <c r="C312" s="13" t="s">
        <v>8027</v>
      </c>
      <c r="D312" s="13" t="s">
        <v>1883</v>
      </c>
      <c r="E312" s="13" t="s">
        <v>8026</v>
      </c>
      <c r="F312" s="13" t="s">
        <v>8025</v>
      </c>
      <c r="G312" s="13" t="s">
        <v>8024</v>
      </c>
      <c r="H312" s="13" t="s">
        <v>8023</v>
      </c>
      <c r="I312" s="13" t="s">
        <v>8022</v>
      </c>
      <c r="J312" s="13" t="s">
        <v>8021</v>
      </c>
      <c r="K312" s="13" t="s">
        <v>2033</v>
      </c>
      <c r="L312" s="13"/>
      <c r="M312" s="14"/>
      <c r="N312" s="13"/>
      <c r="O312" s="13" t="s">
        <v>1916</v>
      </c>
    </row>
    <row r="313" spans="1:15" ht="19.5" customHeight="1" x14ac:dyDescent="0.25">
      <c r="A313" s="11" t="s">
        <v>97</v>
      </c>
      <c r="B313" s="11"/>
      <c r="C313" s="11" t="s">
        <v>8020</v>
      </c>
      <c r="D313" s="11" t="s">
        <v>1883</v>
      </c>
      <c r="E313" s="11" t="s">
        <v>8014</v>
      </c>
      <c r="F313" s="11" t="s">
        <v>8013</v>
      </c>
      <c r="G313" s="11" t="s">
        <v>97</v>
      </c>
      <c r="H313" s="11" t="s">
        <v>8012</v>
      </c>
      <c r="I313" s="11" t="s">
        <v>2533</v>
      </c>
      <c r="J313" s="11" t="s">
        <v>8011</v>
      </c>
      <c r="K313" s="11" t="s">
        <v>2033</v>
      </c>
      <c r="L313" s="11"/>
      <c r="M313" s="12"/>
      <c r="N313" s="11"/>
      <c r="O313" s="11" t="s">
        <v>2028</v>
      </c>
    </row>
    <row r="314" spans="1:15" ht="19.5" customHeight="1" x14ac:dyDescent="0.25">
      <c r="A314" s="13" t="s">
        <v>97</v>
      </c>
      <c r="B314" s="13"/>
      <c r="C314" s="13" t="s">
        <v>8019</v>
      </c>
      <c r="D314" s="13" t="s">
        <v>1883</v>
      </c>
      <c r="E314" s="13" t="s">
        <v>8014</v>
      </c>
      <c r="F314" s="13" t="s">
        <v>8013</v>
      </c>
      <c r="G314" s="13" t="s">
        <v>97</v>
      </c>
      <c r="H314" s="13" t="s">
        <v>8012</v>
      </c>
      <c r="I314" s="13" t="s">
        <v>2533</v>
      </c>
      <c r="J314" s="13" t="s">
        <v>8011</v>
      </c>
      <c r="K314" s="13" t="s">
        <v>2033</v>
      </c>
      <c r="L314" s="13"/>
      <c r="M314" s="14"/>
      <c r="N314" s="13"/>
      <c r="O314" s="13" t="s">
        <v>2028</v>
      </c>
    </row>
    <row r="315" spans="1:15" ht="19.5" customHeight="1" x14ac:dyDescent="0.25">
      <c r="A315" s="11" t="s">
        <v>97</v>
      </c>
      <c r="B315" s="11"/>
      <c r="C315" s="11" t="s">
        <v>8018</v>
      </c>
      <c r="D315" s="11" t="s">
        <v>1883</v>
      </c>
      <c r="E315" s="11" t="s">
        <v>8014</v>
      </c>
      <c r="F315" s="11" t="s">
        <v>8013</v>
      </c>
      <c r="G315" s="11" t="s">
        <v>97</v>
      </c>
      <c r="H315" s="11" t="s">
        <v>8012</v>
      </c>
      <c r="I315" s="11" t="s">
        <v>2533</v>
      </c>
      <c r="J315" s="11" t="s">
        <v>8011</v>
      </c>
      <c r="K315" s="11" t="s">
        <v>2033</v>
      </c>
      <c r="L315" s="11"/>
      <c r="M315" s="12"/>
      <c r="N315" s="11"/>
      <c r="O315" s="11" t="s">
        <v>1945</v>
      </c>
    </row>
    <row r="316" spans="1:15" ht="19.5" customHeight="1" x14ac:dyDescent="0.25">
      <c r="A316" s="13" t="s">
        <v>97</v>
      </c>
      <c r="B316" s="13"/>
      <c r="C316" s="13" t="s">
        <v>8017</v>
      </c>
      <c r="D316" s="13" t="s">
        <v>1883</v>
      </c>
      <c r="E316" s="13" t="s">
        <v>8014</v>
      </c>
      <c r="F316" s="13" t="s">
        <v>8013</v>
      </c>
      <c r="G316" s="13" t="s">
        <v>97</v>
      </c>
      <c r="H316" s="13" t="s">
        <v>8012</v>
      </c>
      <c r="I316" s="13" t="s">
        <v>2533</v>
      </c>
      <c r="J316" s="13" t="s">
        <v>8011</v>
      </c>
      <c r="K316" s="13" t="s">
        <v>2033</v>
      </c>
      <c r="L316" s="13"/>
      <c r="M316" s="14"/>
      <c r="N316" s="13"/>
      <c r="O316" s="13" t="s">
        <v>1945</v>
      </c>
    </row>
    <row r="317" spans="1:15" ht="19.5" customHeight="1" x14ac:dyDescent="0.25">
      <c r="A317" s="11" t="s">
        <v>97</v>
      </c>
      <c r="B317" s="11"/>
      <c r="C317" s="11" t="s">
        <v>8016</v>
      </c>
      <c r="D317" s="11" t="s">
        <v>1883</v>
      </c>
      <c r="E317" s="11" t="s">
        <v>8014</v>
      </c>
      <c r="F317" s="11" t="s">
        <v>8013</v>
      </c>
      <c r="G317" s="11" t="s">
        <v>97</v>
      </c>
      <c r="H317" s="11" t="s">
        <v>8012</v>
      </c>
      <c r="I317" s="11" t="s">
        <v>2533</v>
      </c>
      <c r="J317" s="11" t="s">
        <v>8011</v>
      </c>
      <c r="K317" s="11" t="s">
        <v>2033</v>
      </c>
      <c r="L317" s="11"/>
      <c r="M317" s="12"/>
      <c r="N317" s="11"/>
      <c r="O317" s="11" t="s">
        <v>1945</v>
      </c>
    </row>
    <row r="318" spans="1:15" ht="19.5" customHeight="1" x14ac:dyDescent="0.25">
      <c r="A318" s="13" t="s">
        <v>97</v>
      </c>
      <c r="B318" s="13"/>
      <c r="C318" s="13" t="s">
        <v>8015</v>
      </c>
      <c r="D318" s="13" t="s">
        <v>1883</v>
      </c>
      <c r="E318" s="13" t="s">
        <v>8014</v>
      </c>
      <c r="F318" s="13" t="s">
        <v>8013</v>
      </c>
      <c r="G318" s="13" t="s">
        <v>97</v>
      </c>
      <c r="H318" s="13" t="s">
        <v>8012</v>
      </c>
      <c r="I318" s="13" t="s">
        <v>2533</v>
      </c>
      <c r="J318" s="13" t="s">
        <v>8011</v>
      </c>
      <c r="K318" s="13" t="s">
        <v>2033</v>
      </c>
      <c r="L318" s="13"/>
      <c r="M318" s="14"/>
      <c r="N318" s="13"/>
      <c r="O318" s="13" t="s">
        <v>2028</v>
      </c>
    </row>
    <row r="319" spans="1:15" ht="19.5" customHeight="1" x14ac:dyDescent="0.25">
      <c r="A319" s="11" t="s">
        <v>99</v>
      </c>
      <c r="B319" s="11"/>
      <c r="C319" s="11" t="s">
        <v>8010</v>
      </c>
      <c r="D319" s="11" t="s">
        <v>1883</v>
      </c>
      <c r="E319" s="11" t="s">
        <v>8007</v>
      </c>
      <c r="F319" s="11" t="s">
        <v>8006</v>
      </c>
      <c r="G319" s="11" t="s">
        <v>8005</v>
      </c>
      <c r="H319" s="11"/>
      <c r="I319" s="11" t="s">
        <v>6147</v>
      </c>
      <c r="J319" s="11" t="s">
        <v>8003</v>
      </c>
      <c r="K319" s="11" t="s">
        <v>1952</v>
      </c>
      <c r="L319" s="11"/>
      <c r="M319" s="12"/>
      <c r="N319" s="11"/>
      <c r="O319" s="11" t="s">
        <v>2028</v>
      </c>
    </row>
    <row r="320" spans="1:15" ht="19.5" customHeight="1" x14ac:dyDescent="0.25">
      <c r="A320" s="13" t="s">
        <v>99</v>
      </c>
      <c r="B320" s="13"/>
      <c r="C320" s="13" t="s">
        <v>8009</v>
      </c>
      <c r="D320" s="13" t="s">
        <v>1883</v>
      </c>
      <c r="E320" s="13" t="s">
        <v>8007</v>
      </c>
      <c r="F320" s="13" t="s">
        <v>8006</v>
      </c>
      <c r="G320" s="13" t="s">
        <v>8005</v>
      </c>
      <c r="H320" s="13"/>
      <c r="I320" s="13" t="s">
        <v>8004</v>
      </c>
      <c r="J320" s="13" t="s">
        <v>8003</v>
      </c>
      <c r="K320" s="13" t="s">
        <v>1952</v>
      </c>
      <c r="L320" s="13"/>
      <c r="M320" s="14"/>
      <c r="N320" s="13"/>
      <c r="O320" s="13" t="s">
        <v>2028</v>
      </c>
    </row>
    <row r="321" spans="1:15" ht="19.5" customHeight="1" x14ac:dyDescent="0.25">
      <c r="A321" s="11" t="s">
        <v>99</v>
      </c>
      <c r="B321" s="11"/>
      <c r="C321" s="11" t="s">
        <v>8008</v>
      </c>
      <c r="D321" s="11" t="s">
        <v>1883</v>
      </c>
      <c r="E321" s="11" t="s">
        <v>8007</v>
      </c>
      <c r="F321" s="11" t="s">
        <v>8006</v>
      </c>
      <c r="G321" s="11" t="s">
        <v>8005</v>
      </c>
      <c r="H321" s="11"/>
      <c r="I321" s="11" t="s">
        <v>8004</v>
      </c>
      <c r="J321" s="11" t="s">
        <v>8003</v>
      </c>
      <c r="K321" s="11" t="s">
        <v>1952</v>
      </c>
      <c r="L321" s="11"/>
      <c r="M321" s="12"/>
      <c r="N321" s="11"/>
      <c r="O321" s="11" t="s">
        <v>2028</v>
      </c>
    </row>
    <row r="322" spans="1:15" ht="19.5" customHeight="1" x14ac:dyDescent="0.25">
      <c r="A322" s="13" t="s">
        <v>1336</v>
      </c>
      <c r="B322" s="13"/>
      <c r="C322" s="13" t="s">
        <v>8002</v>
      </c>
      <c r="D322" s="13" t="s">
        <v>1883</v>
      </c>
      <c r="E322" s="13" t="s">
        <v>8001</v>
      </c>
      <c r="F322" s="13" t="s">
        <v>8000</v>
      </c>
      <c r="G322" s="13" t="s">
        <v>7999</v>
      </c>
      <c r="H322" s="13"/>
      <c r="I322" s="13" t="s">
        <v>6147</v>
      </c>
      <c r="J322" s="13" t="s">
        <v>7998</v>
      </c>
      <c r="K322" s="13" t="s">
        <v>1952</v>
      </c>
      <c r="L322" s="13"/>
      <c r="M322" s="14"/>
      <c r="N322" s="13"/>
      <c r="O322" s="13" t="s">
        <v>2028</v>
      </c>
    </row>
    <row r="323" spans="1:15" ht="19.5" customHeight="1" x14ac:dyDescent="0.25">
      <c r="A323" s="11" t="s">
        <v>101</v>
      </c>
      <c r="B323" s="11"/>
      <c r="C323" s="11" t="s">
        <v>7997</v>
      </c>
      <c r="D323" s="11" t="s">
        <v>1883</v>
      </c>
      <c r="E323" s="11" t="s">
        <v>7996</v>
      </c>
      <c r="F323" s="11" t="s">
        <v>7995</v>
      </c>
      <c r="G323" s="11" t="s">
        <v>101</v>
      </c>
      <c r="H323" s="11"/>
      <c r="I323" s="11" t="s">
        <v>4193</v>
      </c>
      <c r="J323" s="11" t="s">
        <v>7994</v>
      </c>
      <c r="K323" s="11" t="s">
        <v>2033</v>
      </c>
      <c r="L323" s="11"/>
      <c r="M323" s="12"/>
      <c r="N323" s="11"/>
      <c r="O323" s="11" t="s">
        <v>2028</v>
      </c>
    </row>
    <row r="324" spans="1:15" ht="19.5" customHeight="1" x14ac:dyDescent="0.25">
      <c r="A324" s="13" t="s">
        <v>7991</v>
      </c>
      <c r="B324" s="13"/>
      <c r="C324" s="13" t="s">
        <v>7993</v>
      </c>
      <c r="D324" s="13" t="s">
        <v>1883</v>
      </c>
      <c r="E324" s="13" t="s">
        <v>4522</v>
      </c>
      <c r="F324" s="13" t="s">
        <v>7992</v>
      </c>
      <c r="G324" s="13" t="s">
        <v>7991</v>
      </c>
      <c r="H324" s="13" t="s">
        <v>7990</v>
      </c>
      <c r="I324" s="13" t="s">
        <v>7989</v>
      </c>
      <c r="J324" s="13" t="s">
        <v>7988</v>
      </c>
      <c r="K324" s="13" t="s">
        <v>1952</v>
      </c>
      <c r="L324" s="13"/>
      <c r="M324" s="14"/>
      <c r="N324" s="13"/>
      <c r="O324" s="13" t="s">
        <v>2028</v>
      </c>
    </row>
    <row r="325" spans="1:15" ht="19.5" customHeight="1" x14ac:dyDescent="0.25">
      <c r="A325" s="11" t="s">
        <v>104</v>
      </c>
      <c r="B325" s="11"/>
      <c r="C325" s="11" t="s">
        <v>7987</v>
      </c>
      <c r="D325" s="11" t="s">
        <v>1883</v>
      </c>
      <c r="E325" s="11" t="s">
        <v>7984</v>
      </c>
      <c r="F325" s="11"/>
      <c r="G325" s="11" t="s">
        <v>104</v>
      </c>
      <c r="H325" s="11" t="s">
        <v>7983</v>
      </c>
      <c r="I325" s="11" t="s">
        <v>7982</v>
      </c>
      <c r="J325" s="11" t="s">
        <v>7981</v>
      </c>
      <c r="K325" s="11" t="s">
        <v>2313</v>
      </c>
      <c r="L325" s="11"/>
      <c r="M325" s="12"/>
      <c r="N325" s="11"/>
      <c r="O325" s="11" t="s">
        <v>1877</v>
      </c>
    </row>
    <row r="326" spans="1:15" ht="19.5" customHeight="1" x14ac:dyDescent="0.25">
      <c r="A326" s="13" t="s">
        <v>104</v>
      </c>
      <c r="B326" s="13"/>
      <c r="C326" s="13" t="s">
        <v>7986</v>
      </c>
      <c r="D326" s="13" t="s">
        <v>1883</v>
      </c>
      <c r="E326" s="13" t="s">
        <v>7984</v>
      </c>
      <c r="F326" s="13"/>
      <c r="G326" s="13" t="s">
        <v>104</v>
      </c>
      <c r="H326" s="13" t="s">
        <v>7983</v>
      </c>
      <c r="I326" s="13" t="s">
        <v>7982</v>
      </c>
      <c r="J326" s="13" t="s">
        <v>7981</v>
      </c>
      <c r="K326" s="13" t="s">
        <v>2313</v>
      </c>
      <c r="L326" s="13"/>
      <c r="M326" s="14"/>
      <c r="N326" s="13"/>
      <c r="O326" s="13" t="s">
        <v>1877</v>
      </c>
    </row>
    <row r="327" spans="1:15" ht="19.5" customHeight="1" x14ac:dyDescent="0.25">
      <c r="A327" s="11" t="s">
        <v>104</v>
      </c>
      <c r="B327" s="11"/>
      <c r="C327" s="11" t="s">
        <v>7985</v>
      </c>
      <c r="D327" s="11" t="s">
        <v>1883</v>
      </c>
      <c r="E327" s="11" t="s">
        <v>7984</v>
      </c>
      <c r="F327" s="11"/>
      <c r="G327" s="11" t="s">
        <v>104</v>
      </c>
      <c r="H327" s="11" t="s">
        <v>7983</v>
      </c>
      <c r="I327" s="11" t="s">
        <v>7982</v>
      </c>
      <c r="J327" s="11" t="s">
        <v>7981</v>
      </c>
      <c r="K327" s="11" t="s">
        <v>2313</v>
      </c>
      <c r="L327" s="11"/>
      <c r="M327" s="12"/>
      <c r="N327" s="11"/>
      <c r="O327" s="11" t="s">
        <v>1877</v>
      </c>
    </row>
    <row r="328" spans="1:15" ht="19.5" customHeight="1" x14ac:dyDescent="0.25">
      <c r="A328" s="13" t="s">
        <v>7972</v>
      </c>
      <c r="B328" s="13"/>
      <c r="C328" s="13" t="s">
        <v>7980</v>
      </c>
      <c r="D328" s="13" t="s">
        <v>1883</v>
      </c>
      <c r="E328" s="13" t="s">
        <v>1952</v>
      </c>
      <c r="F328" s="13"/>
      <c r="G328" s="13" t="s">
        <v>7972</v>
      </c>
      <c r="H328" s="13"/>
      <c r="I328" s="13" t="s">
        <v>7979</v>
      </c>
      <c r="J328" s="13" t="s">
        <v>7978</v>
      </c>
      <c r="K328" s="13" t="s">
        <v>1952</v>
      </c>
      <c r="L328" s="13"/>
      <c r="M328" s="14"/>
      <c r="N328" s="13"/>
      <c r="O328" s="13" t="s">
        <v>1945</v>
      </c>
    </row>
    <row r="329" spans="1:15" ht="19.5" customHeight="1" x14ac:dyDescent="0.25">
      <c r="A329" s="11" t="s">
        <v>7972</v>
      </c>
      <c r="B329" s="11"/>
      <c r="C329" s="11" t="s">
        <v>7977</v>
      </c>
      <c r="D329" s="11" t="s">
        <v>1883</v>
      </c>
      <c r="E329" s="11" t="s">
        <v>1952</v>
      </c>
      <c r="F329" s="11"/>
      <c r="G329" s="11" t="s">
        <v>7972</v>
      </c>
      <c r="H329" s="11"/>
      <c r="I329" s="11" t="s">
        <v>7976</v>
      </c>
      <c r="J329" s="11" t="s">
        <v>7975</v>
      </c>
      <c r="K329" s="11" t="s">
        <v>1952</v>
      </c>
      <c r="L329" s="11"/>
      <c r="M329" s="12"/>
      <c r="N329" s="11"/>
      <c r="O329" s="11" t="s">
        <v>1951</v>
      </c>
    </row>
    <row r="330" spans="1:15" ht="19.5" customHeight="1" x14ac:dyDescent="0.25">
      <c r="A330" s="13" t="s">
        <v>7972</v>
      </c>
      <c r="B330" s="13"/>
      <c r="C330" s="13" t="s">
        <v>7974</v>
      </c>
      <c r="D330" s="13" t="s">
        <v>1883</v>
      </c>
      <c r="E330" s="13" t="s">
        <v>7973</v>
      </c>
      <c r="F330" s="13"/>
      <c r="G330" s="13" t="s">
        <v>7972</v>
      </c>
      <c r="H330" s="13"/>
      <c r="I330" s="13"/>
      <c r="J330" s="13"/>
      <c r="K330" s="13"/>
      <c r="L330" s="13"/>
      <c r="M330" s="14"/>
      <c r="N330" s="13"/>
      <c r="O330" s="13" t="s">
        <v>1916</v>
      </c>
    </row>
    <row r="331" spans="1:15" ht="19.5" customHeight="1" x14ac:dyDescent="0.25">
      <c r="A331" s="11" t="s">
        <v>1148</v>
      </c>
      <c r="B331" s="11"/>
      <c r="C331" s="11" t="s">
        <v>7971</v>
      </c>
      <c r="D331" s="11" t="s">
        <v>1883</v>
      </c>
      <c r="E331" s="11" t="s">
        <v>7970</v>
      </c>
      <c r="F331" s="11" t="s">
        <v>7966</v>
      </c>
      <c r="G331" s="11" t="s">
        <v>1148</v>
      </c>
      <c r="H331" s="11"/>
      <c r="I331" s="11" t="s">
        <v>7969</v>
      </c>
      <c r="J331" s="11" t="s">
        <v>7968</v>
      </c>
      <c r="K331" s="11" t="s">
        <v>2033</v>
      </c>
      <c r="L331" s="11"/>
      <c r="M331" s="12"/>
      <c r="N331" s="11"/>
      <c r="O331" s="11" t="s">
        <v>1916</v>
      </c>
    </row>
    <row r="332" spans="1:15" ht="19.5" customHeight="1" x14ac:dyDescent="0.25">
      <c r="A332" s="13" t="s">
        <v>1148</v>
      </c>
      <c r="B332" s="13"/>
      <c r="C332" s="13" t="s">
        <v>1147</v>
      </c>
      <c r="D332" s="13" t="s">
        <v>1883</v>
      </c>
      <c r="E332" s="13" t="s">
        <v>7967</v>
      </c>
      <c r="F332" s="13" t="s">
        <v>7966</v>
      </c>
      <c r="G332" s="13" t="s">
        <v>1148</v>
      </c>
      <c r="H332" s="13"/>
      <c r="I332" s="13" t="s">
        <v>7965</v>
      </c>
      <c r="J332" s="13" t="s">
        <v>7964</v>
      </c>
      <c r="K332" s="13" t="s">
        <v>2033</v>
      </c>
      <c r="L332" s="13"/>
      <c r="M332" s="14"/>
      <c r="N332" s="13"/>
      <c r="O332" s="13" t="s">
        <v>1945</v>
      </c>
    </row>
    <row r="333" spans="1:15" ht="19.5" customHeight="1" x14ac:dyDescent="0.25">
      <c r="A333" s="11" t="s">
        <v>8785</v>
      </c>
      <c r="B333" s="11"/>
      <c r="C333" s="11" t="s">
        <v>8786</v>
      </c>
      <c r="D333" s="11" t="s">
        <v>1883</v>
      </c>
      <c r="E333" s="11" t="s">
        <v>8787</v>
      </c>
      <c r="F333" s="11" t="s">
        <v>8788</v>
      </c>
      <c r="G333" s="11" t="s">
        <v>8785</v>
      </c>
      <c r="H333" s="11"/>
      <c r="I333" s="11" t="s">
        <v>8789</v>
      </c>
      <c r="J333" s="11" t="s">
        <v>8790</v>
      </c>
      <c r="K333" s="11" t="s">
        <v>1952</v>
      </c>
      <c r="L333" s="11"/>
      <c r="M333" s="12"/>
      <c r="N333" s="11"/>
      <c r="O333" s="11" t="s">
        <v>2028</v>
      </c>
    </row>
    <row r="334" spans="1:15" ht="19.5" customHeight="1" x14ac:dyDescent="0.25">
      <c r="A334" s="13" t="s">
        <v>1231</v>
      </c>
      <c r="B334" s="13"/>
      <c r="C334" s="13" t="s">
        <v>7963</v>
      </c>
      <c r="D334" s="13" t="s">
        <v>1883</v>
      </c>
      <c r="E334" s="13" t="s">
        <v>7962</v>
      </c>
      <c r="F334" s="13" t="s">
        <v>7961</v>
      </c>
      <c r="G334" s="13" t="s">
        <v>1231</v>
      </c>
      <c r="H334" s="13"/>
      <c r="I334" s="13" t="s">
        <v>7960</v>
      </c>
      <c r="J334" s="13" t="s">
        <v>7959</v>
      </c>
      <c r="K334" s="13" t="s">
        <v>2033</v>
      </c>
      <c r="L334" s="13"/>
      <c r="M334" s="14"/>
      <c r="N334" s="13"/>
      <c r="O334" s="13" t="s">
        <v>2028</v>
      </c>
    </row>
    <row r="335" spans="1:15" ht="19.5" customHeight="1" x14ac:dyDescent="0.25">
      <c r="A335" s="11" t="s">
        <v>1578</v>
      </c>
      <c r="B335" s="11"/>
      <c r="C335" s="11" t="s">
        <v>7958</v>
      </c>
      <c r="D335" s="11" t="s">
        <v>1883</v>
      </c>
      <c r="E335" s="11" t="s">
        <v>7957</v>
      </c>
      <c r="F335" s="11"/>
      <c r="G335" s="11" t="s">
        <v>1578</v>
      </c>
      <c r="H335" s="11"/>
      <c r="I335" s="11" t="s">
        <v>7956</v>
      </c>
      <c r="J335" s="11" t="s">
        <v>7955</v>
      </c>
      <c r="K335" s="11" t="s">
        <v>2033</v>
      </c>
      <c r="L335" s="11"/>
      <c r="M335" s="12"/>
      <c r="N335" s="11"/>
      <c r="O335" s="11" t="s">
        <v>2028</v>
      </c>
    </row>
    <row r="336" spans="1:15" ht="19.5" customHeight="1" x14ac:dyDescent="0.25">
      <c r="A336" s="13" t="s">
        <v>106</v>
      </c>
      <c r="B336" s="13"/>
      <c r="C336" s="13" t="s">
        <v>7954</v>
      </c>
      <c r="D336" s="13" t="s">
        <v>1883</v>
      </c>
      <c r="E336" s="13" t="s">
        <v>7949</v>
      </c>
      <c r="F336" s="13" t="s">
        <v>7952</v>
      </c>
      <c r="G336" s="13" t="s">
        <v>106</v>
      </c>
      <c r="H336" s="13"/>
      <c r="I336" s="13" t="s">
        <v>7951</v>
      </c>
      <c r="J336" s="13" t="s">
        <v>7946</v>
      </c>
      <c r="K336" s="13" t="s">
        <v>1952</v>
      </c>
      <c r="L336" s="13"/>
      <c r="M336" s="14"/>
      <c r="N336" s="13"/>
      <c r="O336" s="13" t="s">
        <v>2028</v>
      </c>
    </row>
    <row r="337" spans="1:15" ht="19.5" customHeight="1" x14ac:dyDescent="0.25">
      <c r="A337" s="11" t="s">
        <v>106</v>
      </c>
      <c r="B337" s="11"/>
      <c r="C337" s="11" t="s">
        <v>7953</v>
      </c>
      <c r="D337" s="11" t="s">
        <v>1883</v>
      </c>
      <c r="E337" s="11" t="s">
        <v>7949</v>
      </c>
      <c r="F337" s="11" t="s">
        <v>7952</v>
      </c>
      <c r="G337" s="11" t="s">
        <v>106</v>
      </c>
      <c r="H337" s="11"/>
      <c r="I337" s="11" t="s">
        <v>7951</v>
      </c>
      <c r="J337" s="11" t="s">
        <v>7946</v>
      </c>
      <c r="K337" s="11" t="s">
        <v>1952</v>
      </c>
      <c r="L337" s="11"/>
      <c r="M337" s="12"/>
      <c r="N337" s="11"/>
      <c r="O337" s="11" t="s">
        <v>2028</v>
      </c>
    </row>
    <row r="338" spans="1:15" ht="19.5" customHeight="1" x14ac:dyDescent="0.25">
      <c r="A338" s="13" t="s">
        <v>106</v>
      </c>
      <c r="B338" s="13"/>
      <c r="C338" s="13" t="s">
        <v>7950</v>
      </c>
      <c r="D338" s="13" t="s">
        <v>1883</v>
      </c>
      <c r="E338" s="13" t="s">
        <v>7949</v>
      </c>
      <c r="F338" s="13" t="s">
        <v>7948</v>
      </c>
      <c r="G338" s="13" t="s">
        <v>106</v>
      </c>
      <c r="H338" s="13"/>
      <c r="I338" s="13" t="s">
        <v>7947</v>
      </c>
      <c r="J338" s="13" t="s">
        <v>7946</v>
      </c>
      <c r="K338" s="13" t="s">
        <v>1952</v>
      </c>
      <c r="L338" s="13"/>
      <c r="M338" s="14"/>
      <c r="N338" s="13"/>
      <c r="O338" s="13" t="s">
        <v>2028</v>
      </c>
    </row>
    <row r="339" spans="1:15" ht="19.5" customHeight="1" x14ac:dyDescent="0.25">
      <c r="A339" s="11" t="s">
        <v>1197</v>
      </c>
      <c r="B339" s="11"/>
      <c r="C339" s="11" t="s">
        <v>7945</v>
      </c>
      <c r="D339" s="11" t="s">
        <v>1883</v>
      </c>
      <c r="E339" s="11" t="s">
        <v>7944</v>
      </c>
      <c r="F339" s="11"/>
      <c r="G339" s="11" t="s">
        <v>1197</v>
      </c>
      <c r="H339" s="11"/>
      <c r="I339" s="11" t="s">
        <v>7943</v>
      </c>
      <c r="J339" s="11" t="s">
        <v>7942</v>
      </c>
      <c r="K339" s="11" t="s">
        <v>2033</v>
      </c>
      <c r="L339" s="11"/>
      <c r="M339" s="12"/>
      <c r="N339" s="11"/>
      <c r="O339" s="11" t="s">
        <v>2028</v>
      </c>
    </row>
    <row r="340" spans="1:15" ht="19.5" customHeight="1" x14ac:dyDescent="0.25">
      <c r="A340" s="13" t="s">
        <v>7941</v>
      </c>
      <c r="B340" s="13"/>
      <c r="C340" s="13" t="s">
        <v>7940</v>
      </c>
      <c r="D340" s="13" t="s">
        <v>1883</v>
      </c>
      <c r="E340" s="13" t="s">
        <v>7939</v>
      </c>
      <c r="F340" s="13" t="s">
        <v>7938</v>
      </c>
      <c r="G340" s="13" t="s">
        <v>7937</v>
      </c>
      <c r="H340" s="13"/>
      <c r="I340" s="13" t="s">
        <v>7936</v>
      </c>
      <c r="J340" s="13" t="s">
        <v>7935</v>
      </c>
      <c r="K340" s="13" t="s">
        <v>1952</v>
      </c>
      <c r="L340" s="13"/>
      <c r="M340" s="14"/>
      <c r="N340" s="13"/>
      <c r="O340" s="13" t="s">
        <v>2028</v>
      </c>
    </row>
    <row r="341" spans="1:15" ht="19.5" customHeight="1" x14ac:dyDescent="0.25">
      <c r="A341" s="11" t="s">
        <v>1849</v>
      </c>
      <c r="B341" s="11"/>
      <c r="C341" s="11" t="s">
        <v>1848</v>
      </c>
      <c r="D341" s="11" t="s">
        <v>1883</v>
      </c>
      <c r="E341" s="11" t="s">
        <v>7934</v>
      </c>
      <c r="F341" s="11" t="s">
        <v>7933</v>
      </c>
      <c r="G341" s="11" t="s">
        <v>1849</v>
      </c>
      <c r="H341" s="11"/>
      <c r="I341" s="11" t="s">
        <v>7932</v>
      </c>
      <c r="J341" s="11" t="s">
        <v>7931</v>
      </c>
      <c r="K341" s="11" t="s">
        <v>1952</v>
      </c>
      <c r="L341" s="11"/>
      <c r="M341" s="12"/>
      <c r="N341" s="11"/>
      <c r="O341" s="11" t="s">
        <v>2028</v>
      </c>
    </row>
    <row r="342" spans="1:15" ht="19.5" customHeight="1" x14ac:dyDescent="0.25">
      <c r="A342" s="13" t="s">
        <v>1594</v>
      </c>
      <c r="B342" s="13"/>
      <c r="C342" s="13" t="s">
        <v>7930</v>
      </c>
      <c r="D342" s="13" t="s">
        <v>1883</v>
      </c>
      <c r="E342" s="13" t="s">
        <v>7929</v>
      </c>
      <c r="F342" s="13"/>
      <c r="G342" s="13" t="s">
        <v>1594</v>
      </c>
      <c r="H342" s="13" t="s">
        <v>7928</v>
      </c>
      <c r="I342" s="13" t="s">
        <v>7927</v>
      </c>
      <c r="J342" s="13" t="s">
        <v>7926</v>
      </c>
      <c r="K342" s="13" t="s">
        <v>2033</v>
      </c>
      <c r="L342" s="13"/>
      <c r="M342" s="14"/>
      <c r="N342" s="13"/>
      <c r="O342" s="13" t="s">
        <v>2028</v>
      </c>
    </row>
    <row r="343" spans="1:15" ht="19.5" customHeight="1" x14ac:dyDescent="0.25">
      <c r="A343" s="11" t="s">
        <v>108</v>
      </c>
      <c r="B343" s="11"/>
      <c r="C343" s="11" t="s">
        <v>7925</v>
      </c>
      <c r="D343" s="11" t="s">
        <v>1883</v>
      </c>
      <c r="E343" s="11" t="s">
        <v>7922</v>
      </c>
      <c r="F343" s="11" t="s">
        <v>7921</v>
      </c>
      <c r="G343" s="11" t="s">
        <v>108</v>
      </c>
      <c r="H343" s="11" t="s">
        <v>7920</v>
      </c>
      <c r="I343" s="11" t="s">
        <v>7919</v>
      </c>
      <c r="J343" s="11" t="s">
        <v>7918</v>
      </c>
      <c r="K343" s="11" t="s">
        <v>1952</v>
      </c>
      <c r="L343" s="11"/>
      <c r="M343" s="12"/>
      <c r="N343" s="11"/>
      <c r="O343" s="11" t="s">
        <v>2028</v>
      </c>
    </row>
    <row r="344" spans="1:15" ht="19.5" customHeight="1" x14ac:dyDescent="0.25">
      <c r="A344" s="13" t="s">
        <v>108</v>
      </c>
      <c r="B344" s="13"/>
      <c r="C344" s="13" t="s">
        <v>7924</v>
      </c>
      <c r="D344" s="13" t="s">
        <v>1883</v>
      </c>
      <c r="E344" s="13" t="s">
        <v>7922</v>
      </c>
      <c r="F344" s="13" t="s">
        <v>7921</v>
      </c>
      <c r="G344" s="13" t="s">
        <v>108</v>
      </c>
      <c r="H344" s="13" t="s">
        <v>7920</v>
      </c>
      <c r="I344" s="13" t="s">
        <v>7919</v>
      </c>
      <c r="J344" s="13" t="s">
        <v>7918</v>
      </c>
      <c r="K344" s="13" t="s">
        <v>1952</v>
      </c>
      <c r="L344" s="13"/>
      <c r="M344" s="14"/>
      <c r="N344" s="13"/>
      <c r="O344" s="13" t="s">
        <v>2028</v>
      </c>
    </row>
    <row r="345" spans="1:15" ht="19.5" customHeight="1" x14ac:dyDescent="0.25">
      <c r="A345" s="11" t="s">
        <v>108</v>
      </c>
      <c r="B345" s="11"/>
      <c r="C345" s="11" t="s">
        <v>7923</v>
      </c>
      <c r="D345" s="11" t="s">
        <v>1883</v>
      </c>
      <c r="E345" s="11" t="s">
        <v>7922</v>
      </c>
      <c r="F345" s="11" t="s">
        <v>7921</v>
      </c>
      <c r="G345" s="11" t="s">
        <v>108</v>
      </c>
      <c r="H345" s="11" t="s">
        <v>7920</v>
      </c>
      <c r="I345" s="11" t="s">
        <v>7919</v>
      </c>
      <c r="J345" s="11" t="s">
        <v>7918</v>
      </c>
      <c r="K345" s="11" t="s">
        <v>2122</v>
      </c>
      <c r="L345" s="11"/>
      <c r="M345" s="12"/>
      <c r="N345" s="11"/>
      <c r="O345" s="11" t="s">
        <v>2028</v>
      </c>
    </row>
    <row r="346" spans="1:15" ht="19.5" customHeight="1" x14ac:dyDescent="0.25">
      <c r="A346" s="13" t="s">
        <v>1722</v>
      </c>
      <c r="B346" s="13"/>
      <c r="C346" s="13" t="s">
        <v>7917</v>
      </c>
      <c r="D346" s="13" t="s">
        <v>1883</v>
      </c>
      <c r="E346" s="13" t="s">
        <v>7916</v>
      </c>
      <c r="F346" s="13"/>
      <c r="G346" s="13" t="s">
        <v>1722</v>
      </c>
      <c r="H346" s="13"/>
      <c r="I346" s="13" t="s">
        <v>7915</v>
      </c>
      <c r="J346" s="13" t="s">
        <v>7914</v>
      </c>
      <c r="K346" s="13" t="s">
        <v>3599</v>
      </c>
      <c r="L346" s="13"/>
      <c r="M346" s="14"/>
      <c r="N346" s="13"/>
      <c r="O346" s="13" t="s">
        <v>2028</v>
      </c>
    </row>
    <row r="347" spans="1:15" ht="19.5" customHeight="1" x14ac:dyDescent="0.25">
      <c r="A347" s="11" t="s">
        <v>7909</v>
      </c>
      <c r="B347" s="11"/>
      <c r="C347" s="11" t="s">
        <v>7913</v>
      </c>
      <c r="D347" s="11" t="s">
        <v>1883</v>
      </c>
      <c r="E347" s="11" t="s">
        <v>7910</v>
      </c>
      <c r="F347" s="11"/>
      <c r="G347" s="11" t="s">
        <v>7909</v>
      </c>
      <c r="H347" s="11" t="s">
        <v>7908</v>
      </c>
      <c r="I347" s="11" t="s">
        <v>2186</v>
      </c>
      <c r="J347" s="11" t="s">
        <v>7907</v>
      </c>
      <c r="K347" s="11" t="s">
        <v>1952</v>
      </c>
      <c r="L347" s="11"/>
      <c r="M347" s="12"/>
      <c r="N347" s="11"/>
      <c r="O347" s="11" t="s">
        <v>2028</v>
      </c>
    </row>
    <row r="348" spans="1:15" ht="19.5" customHeight="1" x14ac:dyDescent="0.25">
      <c r="A348" s="13" t="s">
        <v>7909</v>
      </c>
      <c r="B348" s="13"/>
      <c r="C348" s="13" t="s">
        <v>7912</v>
      </c>
      <c r="D348" s="13" t="s">
        <v>1883</v>
      </c>
      <c r="E348" s="13" t="s">
        <v>7910</v>
      </c>
      <c r="F348" s="13"/>
      <c r="G348" s="13" t="s">
        <v>7909</v>
      </c>
      <c r="H348" s="13" t="s">
        <v>7908</v>
      </c>
      <c r="I348" s="13" t="s">
        <v>2186</v>
      </c>
      <c r="J348" s="13" t="s">
        <v>7907</v>
      </c>
      <c r="K348" s="13" t="s">
        <v>1952</v>
      </c>
      <c r="L348" s="13"/>
      <c r="M348" s="14"/>
      <c r="N348" s="13"/>
      <c r="O348" s="13" t="s">
        <v>2028</v>
      </c>
    </row>
    <row r="349" spans="1:15" ht="19.5" customHeight="1" x14ac:dyDescent="0.25">
      <c r="A349" s="11" t="s">
        <v>7909</v>
      </c>
      <c r="B349" s="11"/>
      <c r="C349" s="11" t="s">
        <v>7911</v>
      </c>
      <c r="D349" s="11" t="s">
        <v>1883</v>
      </c>
      <c r="E349" s="11" t="s">
        <v>7910</v>
      </c>
      <c r="F349" s="11"/>
      <c r="G349" s="11" t="s">
        <v>7909</v>
      </c>
      <c r="H349" s="11" t="s">
        <v>7908</v>
      </c>
      <c r="I349" s="11" t="s">
        <v>2186</v>
      </c>
      <c r="J349" s="11" t="s">
        <v>7907</v>
      </c>
      <c r="K349" s="11" t="s">
        <v>1952</v>
      </c>
      <c r="L349" s="11"/>
      <c r="M349" s="12"/>
      <c r="N349" s="11"/>
      <c r="O349" s="11" t="s">
        <v>2028</v>
      </c>
    </row>
    <row r="350" spans="1:15" ht="19.5" customHeight="1" x14ac:dyDescent="0.25">
      <c r="A350" s="13" t="s">
        <v>110</v>
      </c>
      <c r="B350" s="13"/>
      <c r="C350" s="13" t="s">
        <v>7906</v>
      </c>
      <c r="D350" s="13" t="s">
        <v>1883</v>
      </c>
      <c r="E350" s="13" t="s">
        <v>7903</v>
      </c>
      <c r="F350" s="13" t="s">
        <v>7902</v>
      </c>
      <c r="G350" s="13" t="s">
        <v>110</v>
      </c>
      <c r="H350" s="13" t="s">
        <v>7901</v>
      </c>
      <c r="I350" s="13" t="s">
        <v>7900</v>
      </c>
      <c r="J350" s="13" t="s">
        <v>7899</v>
      </c>
      <c r="K350" s="13" t="s">
        <v>2033</v>
      </c>
      <c r="L350" s="13"/>
      <c r="M350" s="14"/>
      <c r="N350" s="13"/>
      <c r="O350" s="13" t="s">
        <v>2028</v>
      </c>
    </row>
    <row r="351" spans="1:15" ht="19.5" customHeight="1" x14ac:dyDescent="0.25">
      <c r="A351" s="11" t="s">
        <v>110</v>
      </c>
      <c r="B351" s="11"/>
      <c r="C351" s="11" t="s">
        <v>7905</v>
      </c>
      <c r="D351" s="11" t="s">
        <v>1883</v>
      </c>
      <c r="E351" s="11" t="s">
        <v>7903</v>
      </c>
      <c r="F351" s="11" t="s">
        <v>7902</v>
      </c>
      <c r="G351" s="11" t="s">
        <v>110</v>
      </c>
      <c r="H351" s="11" t="s">
        <v>7901</v>
      </c>
      <c r="I351" s="11" t="s">
        <v>7900</v>
      </c>
      <c r="J351" s="11" t="s">
        <v>7899</v>
      </c>
      <c r="K351" s="11" t="s">
        <v>2033</v>
      </c>
      <c r="L351" s="11"/>
      <c r="M351" s="12"/>
      <c r="N351" s="11"/>
      <c r="O351" s="11" t="s">
        <v>2028</v>
      </c>
    </row>
    <row r="352" spans="1:15" ht="19.5" customHeight="1" x14ac:dyDescent="0.25">
      <c r="A352" s="13" t="s">
        <v>110</v>
      </c>
      <c r="B352" s="13"/>
      <c r="C352" s="13" t="s">
        <v>7904</v>
      </c>
      <c r="D352" s="13" t="s">
        <v>1883</v>
      </c>
      <c r="E352" s="13" t="s">
        <v>7903</v>
      </c>
      <c r="F352" s="13" t="s">
        <v>7902</v>
      </c>
      <c r="G352" s="13" t="s">
        <v>110</v>
      </c>
      <c r="H352" s="13" t="s">
        <v>7901</v>
      </c>
      <c r="I352" s="13" t="s">
        <v>7900</v>
      </c>
      <c r="J352" s="13" t="s">
        <v>7899</v>
      </c>
      <c r="K352" s="13" t="s">
        <v>2033</v>
      </c>
      <c r="L352" s="13"/>
      <c r="M352" s="14"/>
      <c r="N352" s="13"/>
      <c r="O352" s="13" t="s">
        <v>2028</v>
      </c>
    </row>
    <row r="353" spans="1:15" ht="19.5" customHeight="1" x14ac:dyDescent="0.25">
      <c r="A353" s="11" t="s">
        <v>112</v>
      </c>
      <c r="B353" s="11"/>
      <c r="C353" s="11" t="s">
        <v>7898</v>
      </c>
      <c r="D353" s="11" t="s">
        <v>1883</v>
      </c>
      <c r="E353" s="11" t="s">
        <v>7891</v>
      </c>
      <c r="F353" s="11" t="s">
        <v>7894</v>
      </c>
      <c r="G353" s="11" t="s">
        <v>112</v>
      </c>
      <c r="H353" s="11"/>
      <c r="I353" s="11" t="s">
        <v>7893</v>
      </c>
      <c r="J353" s="11" t="s">
        <v>1976</v>
      </c>
      <c r="K353" s="11" t="s">
        <v>1952</v>
      </c>
      <c r="L353" s="11"/>
      <c r="M353" s="12"/>
      <c r="N353" s="11"/>
      <c r="O353" s="11" t="s">
        <v>2028</v>
      </c>
    </row>
    <row r="354" spans="1:15" ht="19.5" customHeight="1" x14ac:dyDescent="0.25">
      <c r="A354" s="13" t="s">
        <v>112</v>
      </c>
      <c r="B354" s="13"/>
      <c r="C354" s="13" t="s">
        <v>7897</v>
      </c>
      <c r="D354" s="13" t="s">
        <v>1883</v>
      </c>
      <c r="E354" s="13" t="s">
        <v>7891</v>
      </c>
      <c r="F354" s="13" t="s">
        <v>7894</v>
      </c>
      <c r="G354" s="13" t="s">
        <v>112</v>
      </c>
      <c r="H354" s="13"/>
      <c r="I354" s="13" t="s">
        <v>7896</v>
      </c>
      <c r="J354" s="13" t="s">
        <v>1976</v>
      </c>
      <c r="K354" s="13" t="s">
        <v>1952</v>
      </c>
      <c r="L354" s="13"/>
      <c r="M354" s="14"/>
      <c r="N354" s="13"/>
      <c r="O354" s="13" t="s">
        <v>2028</v>
      </c>
    </row>
    <row r="355" spans="1:15" ht="19.5" customHeight="1" x14ac:dyDescent="0.25">
      <c r="A355" s="11" t="s">
        <v>112</v>
      </c>
      <c r="B355" s="11"/>
      <c r="C355" s="11" t="s">
        <v>7895</v>
      </c>
      <c r="D355" s="11" t="s">
        <v>1883</v>
      </c>
      <c r="E355" s="11" t="s">
        <v>7891</v>
      </c>
      <c r="F355" s="11" t="s">
        <v>7894</v>
      </c>
      <c r="G355" s="11" t="s">
        <v>112</v>
      </c>
      <c r="H355" s="11"/>
      <c r="I355" s="11" t="s">
        <v>7893</v>
      </c>
      <c r="J355" s="11" t="s">
        <v>1976</v>
      </c>
      <c r="K355" s="11" t="s">
        <v>1952</v>
      </c>
      <c r="L355" s="11"/>
      <c r="M355" s="12"/>
      <c r="N355" s="11"/>
      <c r="O355" s="11" t="s">
        <v>2028</v>
      </c>
    </row>
    <row r="356" spans="1:15" ht="19.5" customHeight="1" x14ac:dyDescent="0.25">
      <c r="A356" s="13" t="s">
        <v>112</v>
      </c>
      <c r="B356" s="13"/>
      <c r="C356" s="13" t="s">
        <v>7892</v>
      </c>
      <c r="D356" s="13" t="s">
        <v>1883</v>
      </c>
      <c r="E356" s="13" t="s">
        <v>7891</v>
      </c>
      <c r="F356" s="13"/>
      <c r="G356" s="13" t="s">
        <v>112</v>
      </c>
      <c r="H356" s="13"/>
      <c r="I356" s="13"/>
      <c r="J356" s="13"/>
      <c r="K356" s="13"/>
      <c r="L356" s="13"/>
      <c r="M356" s="14"/>
      <c r="N356" s="13"/>
      <c r="O356" s="13" t="s">
        <v>1916</v>
      </c>
    </row>
    <row r="357" spans="1:15" ht="19.5" customHeight="1" x14ac:dyDescent="0.25">
      <c r="A357" s="11" t="s">
        <v>114</v>
      </c>
      <c r="B357" s="11"/>
      <c r="C357" s="11" t="s">
        <v>7890</v>
      </c>
      <c r="D357" s="11" t="s">
        <v>1883</v>
      </c>
      <c r="E357" s="11" t="s">
        <v>7887</v>
      </c>
      <c r="F357" s="11" t="s">
        <v>7886</v>
      </c>
      <c r="G357" s="11" t="s">
        <v>114</v>
      </c>
      <c r="H357" s="11" t="s">
        <v>7885</v>
      </c>
      <c r="I357" s="11" t="s">
        <v>7884</v>
      </c>
      <c r="J357" s="11" t="s">
        <v>7883</v>
      </c>
      <c r="K357" s="11" t="s">
        <v>2033</v>
      </c>
      <c r="L357" s="11"/>
      <c r="M357" s="12"/>
      <c r="N357" s="11"/>
      <c r="O357" s="11" t="s">
        <v>2028</v>
      </c>
    </row>
    <row r="358" spans="1:15" ht="19.5" customHeight="1" x14ac:dyDescent="0.25">
      <c r="A358" s="13" t="s">
        <v>114</v>
      </c>
      <c r="B358" s="13"/>
      <c r="C358" s="13" t="s">
        <v>7889</v>
      </c>
      <c r="D358" s="13" t="s">
        <v>1883</v>
      </c>
      <c r="E358" s="13" t="s">
        <v>7887</v>
      </c>
      <c r="F358" s="13" t="s">
        <v>7886</v>
      </c>
      <c r="G358" s="13" t="s">
        <v>114</v>
      </c>
      <c r="H358" s="13" t="s">
        <v>7885</v>
      </c>
      <c r="I358" s="13" t="s">
        <v>7884</v>
      </c>
      <c r="J358" s="13" t="s">
        <v>7883</v>
      </c>
      <c r="K358" s="13" t="s">
        <v>2033</v>
      </c>
      <c r="L358" s="13"/>
      <c r="M358" s="14"/>
      <c r="N358" s="13"/>
      <c r="O358" s="13" t="s">
        <v>2028</v>
      </c>
    </row>
    <row r="359" spans="1:15" ht="19.5" customHeight="1" x14ac:dyDescent="0.25">
      <c r="A359" s="11" t="s">
        <v>114</v>
      </c>
      <c r="B359" s="11"/>
      <c r="C359" s="11" t="s">
        <v>7888</v>
      </c>
      <c r="D359" s="11" t="s">
        <v>1883</v>
      </c>
      <c r="E359" s="11" t="s">
        <v>7887</v>
      </c>
      <c r="F359" s="11" t="s">
        <v>7886</v>
      </c>
      <c r="G359" s="11" t="s">
        <v>114</v>
      </c>
      <c r="H359" s="11" t="s">
        <v>7885</v>
      </c>
      <c r="I359" s="11" t="s">
        <v>7884</v>
      </c>
      <c r="J359" s="11" t="s">
        <v>7883</v>
      </c>
      <c r="K359" s="11" t="s">
        <v>2033</v>
      </c>
      <c r="L359" s="11"/>
      <c r="M359" s="12"/>
      <c r="N359" s="11"/>
      <c r="O359" s="11" t="s">
        <v>2028</v>
      </c>
    </row>
    <row r="360" spans="1:15" ht="19.5" customHeight="1" x14ac:dyDescent="0.25">
      <c r="A360" s="13" t="s">
        <v>1867</v>
      </c>
      <c r="B360" s="13"/>
      <c r="C360" s="13" t="s">
        <v>7882</v>
      </c>
      <c r="D360" s="13" t="s">
        <v>1883</v>
      </c>
      <c r="E360" s="13" t="s">
        <v>7880</v>
      </c>
      <c r="F360" s="13" t="s">
        <v>7879</v>
      </c>
      <c r="G360" s="13" t="s">
        <v>1867</v>
      </c>
      <c r="H360" s="13"/>
      <c r="I360" s="13" t="s">
        <v>7878</v>
      </c>
      <c r="J360" s="13" t="s">
        <v>7877</v>
      </c>
      <c r="K360" s="13"/>
      <c r="L360" s="13"/>
      <c r="M360" s="14"/>
      <c r="N360" s="13"/>
      <c r="O360" s="13" t="s">
        <v>1877</v>
      </c>
    </row>
    <row r="361" spans="1:15" ht="19.5" customHeight="1" x14ac:dyDescent="0.25">
      <c r="A361" s="11" t="s">
        <v>1867</v>
      </c>
      <c r="B361" s="11"/>
      <c r="C361" s="11" t="s">
        <v>7881</v>
      </c>
      <c r="D361" s="11" t="s">
        <v>1883</v>
      </c>
      <c r="E361" s="11" t="s">
        <v>7880</v>
      </c>
      <c r="F361" s="11" t="s">
        <v>7879</v>
      </c>
      <c r="G361" s="11" t="s">
        <v>1867</v>
      </c>
      <c r="H361" s="11"/>
      <c r="I361" s="11" t="s">
        <v>7878</v>
      </c>
      <c r="J361" s="11" t="s">
        <v>7877</v>
      </c>
      <c r="K361" s="11"/>
      <c r="L361" s="11"/>
      <c r="M361" s="12"/>
      <c r="N361" s="11"/>
      <c r="O361" s="11" t="s">
        <v>1877</v>
      </c>
    </row>
    <row r="362" spans="1:15" ht="19.5" customHeight="1" x14ac:dyDescent="0.25">
      <c r="A362" s="13" t="s">
        <v>116</v>
      </c>
      <c r="B362" s="13"/>
      <c r="C362" s="13" t="s">
        <v>7876</v>
      </c>
      <c r="D362" s="13" t="s">
        <v>1883</v>
      </c>
      <c r="E362" s="13" t="s">
        <v>7873</v>
      </c>
      <c r="F362" s="13" t="s">
        <v>7872</v>
      </c>
      <c r="G362" s="13" t="s">
        <v>116</v>
      </c>
      <c r="H362" s="13"/>
      <c r="I362" s="13" t="s">
        <v>7871</v>
      </c>
      <c r="J362" s="13" t="s">
        <v>7870</v>
      </c>
      <c r="K362" s="13" t="s">
        <v>2033</v>
      </c>
      <c r="L362" s="13"/>
      <c r="M362" s="14"/>
      <c r="N362" s="13"/>
      <c r="O362" s="13" t="s">
        <v>2028</v>
      </c>
    </row>
    <row r="363" spans="1:15" ht="19.5" customHeight="1" x14ac:dyDescent="0.25">
      <c r="A363" s="11" t="s">
        <v>116</v>
      </c>
      <c r="B363" s="11"/>
      <c r="C363" s="11" t="s">
        <v>7875</v>
      </c>
      <c r="D363" s="11" t="s">
        <v>1883</v>
      </c>
      <c r="E363" s="11" t="s">
        <v>7873</v>
      </c>
      <c r="F363" s="11" t="s">
        <v>7872</v>
      </c>
      <c r="G363" s="11" t="s">
        <v>116</v>
      </c>
      <c r="H363" s="11"/>
      <c r="I363" s="11" t="s">
        <v>7871</v>
      </c>
      <c r="J363" s="11" t="s">
        <v>7870</v>
      </c>
      <c r="K363" s="11" t="s">
        <v>2033</v>
      </c>
      <c r="L363" s="11"/>
      <c r="M363" s="12"/>
      <c r="N363" s="11"/>
      <c r="O363" s="11" t="s">
        <v>2028</v>
      </c>
    </row>
    <row r="364" spans="1:15" ht="19.5" customHeight="1" x14ac:dyDescent="0.25">
      <c r="A364" s="13" t="s">
        <v>116</v>
      </c>
      <c r="B364" s="13"/>
      <c r="C364" s="13" t="s">
        <v>7874</v>
      </c>
      <c r="D364" s="13" t="s">
        <v>1883</v>
      </c>
      <c r="E364" s="13" t="s">
        <v>7873</v>
      </c>
      <c r="F364" s="13" t="s">
        <v>7872</v>
      </c>
      <c r="G364" s="13" t="s">
        <v>116</v>
      </c>
      <c r="H364" s="13"/>
      <c r="I364" s="13" t="s">
        <v>7871</v>
      </c>
      <c r="J364" s="13" t="s">
        <v>7870</v>
      </c>
      <c r="K364" s="13" t="s">
        <v>2033</v>
      </c>
      <c r="L364" s="13"/>
      <c r="M364" s="14"/>
      <c r="N364" s="13"/>
      <c r="O364" s="13" t="s">
        <v>2028</v>
      </c>
    </row>
    <row r="365" spans="1:15" ht="19.5" customHeight="1" x14ac:dyDescent="0.25">
      <c r="A365" s="11" t="s">
        <v>118</v>
      </c>
      <c r="B365" s="11"/>
      <c r="C365" s="11" t="s">
        <v>7869</v>
      </c>
      <c r="D365" s="11" t="s">
        <v>1883</v>
      </c>
      <c r="E365" s="11" t="s">
        <v>7866</v>
      </c>
      <c r="F365" s="11" t="s">
        <v>7865</v>
      </c>
      <c r="G365" s="11" t="s">
        <v>118</v>
      </c>
      <c r="H365" s="11" t="s">
        <v>7864</v>
      </c>
      <c r="I365" s="11" t="s">
        <v>7863</v>
      </c>
      <c r="J365" s="11" t="s">
        <v>7862</v>
      </c>
      <c r="K365" s="11" t="s">
        <v>1952</v>
      </c>
      <c r="L365" s="11"/>
      <c r="M365" s="12"/>
      <c r="N365" s="11"/>
      <c r="O365" s="11" t="s">
        <v>2028</v>
      </c>
    </row>
    <row r="366" spans="1:15" ht="19.5" customHeight="1" x14ac:dyDescent="0.25">
      <c r="A366" s="13" t="s">
        <v>118</v>
      </c>
      <c r="B366" s="13"/>
      <c r="C366" s="13" t="s">
        <v>7868</v>
      </c>
      <c r="D366" s="13" t="s">
        <v>1883</v>
      </c>
      <c r="E366" s="13" t="s">
        <v>7866</v>
      </c>
      <c r="F366" s="13" t="s">
        <v>7865</v>
      </c>
      <c r="G366" s="13" t="s">
        <v>118</v>
      </c>
      <c r="H366" s="13" t="s">
        <v>7864</v>
      </c>
      <c r="I366" s="13" t="s">
        <v>7863</v>
      </c>
      <c r="J366" s="13" t="s">
        <v>7862</v>
      </c>
      <c r="K366" s="13" t="s">
        <v>1952</v>
      </c>
      <c r="L366" s="13"/>
      <c r="M366" s="14"/>
      <c r="N366" s="13"/>
      <c r="O366" s="13" t="s">
        <v>2028</v>
      </c>
    </row>
    <row r="367" spans="1:15" ht="19.5" customHeight="1" x14ac:dyDescent="0.25">
      <c r="A367" s="11" t="s">
        <v>118</v>
      </c>
      <c r="B367" s="11"/>
      <c r="C367" s="11" t="s">
        <v>7867</v>
      </c>
      <c r="D367" s="11" t="s">
        <v>1883</v>
      </c>
      <c r="E367" s="11" t="s">
        <v>7866</v>
      </c>
      <c r="F367" s="11" t="s">
        <v>7865</v>
      </c>
      <c r="G367" s="11" t="s">
        <v>118</v>
      </c>
      <c r="H367" s="11" t="s">
        <v>7864</v>
      </c>
      <c r="I367" s="11" t="s">
        <v>7863</v>
      </c>
      <c r="J367" s="11" t="s">
        <v>7862</v>
      </c>
      <c r="K367" s="11" t="s">
        <v>1952</v>
      </c>
      <c r="L367" s="11"/>
      <c r="M367" s="12"/>
      <c r="N367" s="11"/>
      <c r="O367" s="11" t="s">
        <v>2028</v>
      </c>
    </row>
    <row r="368" spans="1:15" ht="19.5" customHeight="1" x14ac:dyDescent="0.25">
      <c r="A368" s="13" t="s">
        <v>1354</v>
      </c>
      <c r="B368" s="13"/>
      <c r="C368" s="13" t="s">
        <v>7861</v>
      </c>
      <c r="D368" s="13" t="s">
        <v>1883</v>
      </c>
      <c r="E368" s="13" t="s">
        <v>7859</v>
      </c>
      <c r="F368" s="13" t="s">
        <v>7858</v>
      </c>
      <c r="G368" s="13" t="s">
        <v>1354</v>
      </c>
      <c r="H368" s="13"/>
      <c r="I368" s="13" t="s">
        <v>7857</v>
      </c>
      <c r="J368" s="13" t="s">
        <v>7856</v>
      </c>
      <c r="K368" s="13" t="s">
        <v>1952</v>
      </c>
      <c r="L368" s="13"/>
      <c r="M368" s="14"/>
      <c r="N368" s="13"/>
      <c r="O368" s="13" t="s">
        <v>2028</v>
      </c>
    </row>
    <row r="369" spans="1:15" ht="19.5" customHeight="1" x14ac:dyDescent="0.25">
      <c r="A369" s="11" t="s">
        <v>1354</v>
      </c>
      <c r="B369" s="11"/>
      <c r="C369" s="11" t="s">
        <v>7860</v>
      </c>
      <c r="D369" s="11" t="s">
        <v>1883</v>
      </c>
      <c r="E369" s="11" t="s">
        <v>7859</v>
      </c>
      <c r="F369" s="11" t="s">
        <v>7858</v>
      </c>
      <c r="G369" s="11" t="s">
        <v>1354</v>
      </c>
      <c r="H369" s="11"/>
      <c r="I369" s="11" t="s">
        <v>7857</v>
      </c>
      <c r="J369" s="11" t="s">
        <v>7856</v>
      </c>
      <c r="K369" s="11" t="s">
        <v>1952</v>
      </c>
      <c r="L369" s="11"/>
      <c r="M369" s="12"/>
      <c r="N369" s="11"/>
      <c r="O369" s="11" t="s">
        <v>2028</v>
      </c>
    </row>
    <row r="370" spans="1:15" ht="19.5" customHeight="1" x14ac:dyDescent="0.25">
      <c r="A370" s="13" t="s">
        <v>1354</v>
      </c>
      <c r="B370" s="13"/>
      <c r="C370" s="13" t="s">
        <v>7855</v>
      </c>
      <c r="D370" s="13" t="s">
        <v>1883</v>
      </c>
      <c r="E370" s="13" t="s">
        <v>7854</v>
      </c>
      <c r="F370" s="13"/>
      <c r="G370" s="13" t="s">
        <v>1354</v>
      </c>
      <c r="H370" s="13"/>
      <c r="I370" s="13"/>
      <c r="J370" s="13"/>
      <c r="K370" s="13"/>
      <c r="L370" s="13"/>
      <c r="M370" s="14"/>
      <c r="N370" s="13"/>
      <c r="O370" s="13" t="s">
        <v>1916</v>
      </c>
    </row>
    <row r="371" spans="1:15" ht="19.5" customHeight="1" x14ac:dyDescent="0.25">
      <c r="A371" s="11" t="s">
        <v>1203</v>
      </c>
      <c r="B371" s="11"/>
      <c r="C371" s="11" t="s">
        <v>7853</v>
      </c>
      <c r="D371" s="11" t="s">
        <v>1883</v>
      </c>
      <c r="E371" s="11" t="s">
        <v>7851</v>
      </c>
      <c r="F371" s="11" t="s">
        <v>7850</v>
      </c>
      <c r="G371" s="11" t="s">
        <v>1203</v>
      </c>
      <c r="H371" s="11"/>
      <c r="I371" s="11" t="s">
        <v>7848</v>
      </c>
      <c r="J371" s="11" t="s">
        <v>7847</v>
      </c>
      <c r="K371" s="11" t="s">
        <v>5555</v>
      </c>
      <c r="L371" s="11"/>
      <c r="M371" s="12"/>
      <c r="N371" s="11"/>
      <c r="O371" s="11" t="s">
        <v>2028</v>
      </c>
    </row>
    <row r="372" spans="1:15" ht="19.5" customHeight="1" x14ac:dyDescent="0.25">
      <c r="A372" s="13" t="s">
        <v>1203</v>
      </c>
      <c r="B372" s="13"/>
      <c r="C372" s="13" t="s">
        <v>7852</v>
      </c>
      <c r="D372" s="13" t="s">
        <v>1883</v>
      </c>
      <c r="E372" s="13" t="s">
        <v>7851</v>
      </c>
      <c r="F372" s="13" t="s">
        <v>7850</v>
      </c>
      <c r="G372" s="13" t="s">
        <v>1203</v>
      </c>
      <c r="H372" s="13" t="s">
        <v>7849</v>
      </c>
      <c r="I372" s="13" t="s">
        <v>7848</v>
      </c>
      <c r="J372" s="13" t="s">
        <v>7847</v>
      </c>
      <c r="K372" s="13" t="s">
        <v>5555</v>
      </c>
      <c r="L372" s="13"/>
      <c r="M372" s="14"/>
      <c r="N372" s="13"/>
      <c r="O372" s="13" t="s">
        <v>2028</v>
      </c>
    </row>
    <row r="373" spans="1:15" ht="19.5" customHeight="1" x14ac:dyDescent="0.25">
      <c r="A373" s="11" t="s">
        <v>7843</v>
      </c>
      <c r="B373" s="11"/>
      <c r="C373" s="11" t="s">
        <v>7846</v>
      </c>
      <c r="D373" s="11" t="s">
        <v>1883</v>
      </c>
      <c r="E373" s="11" t="s">
        <v>7844</v>
      </c>
      <c r="F373" s="11"/>
      <c r="G373" s="11" t="s">
        <v>7843</v>
      </c>
      <c r="H373" s="11"/>
      <c r="I373" s="11" t="s">
        <v>7842</v>
      </c>
      <c r="J373" s="11" t="s">
        <v>7841</v>
      </c>
      <c r="K373" s="11" t="s">
        <v>2033</v>
      </c>
      <c r="L373" s="11"/>
      <c r="M373" s="12"/>
      <c r="N373" s="11"/>
      <c r="O373" s="11" t="s">
        <v>1877</v>
      </c>
    </row>
    <row r="374" spans="1:15" ht="19.5" customHeight="1" x14ac:dyDescent="0.25">
      <c r="A374" s="13" t="s">
        <v>7843</v>
      </c>
      <c r="B374" s="13"/>
      <c r="C374" s="13" t="s">
        <v>7845</v>
      </c>
      <c r="D374" s="13" t="s">
        <v>1883</v>
      </c>
      <c r="E374" s="13" t="s">
        <v>7844</v>
      </c>
      <c r="F374" s="13"/>
      <c r="G374" s="13" t="s">
        <v>7843</v>
      </c>
      <c r="H374" s="13"/>
      <c r="I374" s="13" t="s">
        <v>7842</v>
      </c>
      <c r="J374" s="13" t="s">
        <v>7841</v>
      </c>
      <c r="K374" s="13" t="s">
        <v>2033</v>
      </c>
      <c r="L374" s="13"/>
      <c r="M374" s="14"/>
      <c r="N374" s="13"/>
      <c r="O374" s="13" t="s">
        <v>1877</v>
      </c>
    </row>
    <row r="375" spans="1:15" ht="19.5" customHeight="1" x14ac:dyDescent="0.25">
      <c r="A375" s="11" t="s">
        <v>120</v>
      </c>
      <c r="B375" s="11"/>
      <c r="C375" s="11" t="s">
        <v>7840</v>
      </c>
      <c r="D375" s="11" t="s">
        <v>1883</v>
      </c>
      <c r="E375" s="11" t="s">
        <v>7837</v>
      </c>
      <c r="F375" s="11" t="s">
        <v>7836</v>
      </c>
      <c r="G375" s="11" t="s">
        <v>120</v>
      </c>
      <c r="H375" s="11" t="s">
        <v>7835</v>
      </c>
      <c r="I375" s="11" t="s">
        <v>7834</v>
      </c>
      <c r="J375" s="11" t="s">
        <v>7833</v>
      </c>
      <c r="K375" s="11" t="s">
        <v>2033</v>
      </c>
      <c r="L375" s="11"/>
      <c r="M375" s="12"/>
      <c r="N375" s="11"/>
      <c r="O375" s="11" t="s">
        <v>2028</v>
      </c>
    </row>
    <row r="376" spans="1:15" ht="19.5" customHeight="1" x14ac:dyDescent="0.25">
      <c r="A376" s="13" t="s">
        <v>120</v>
      </c>
      <c r="B376" s="13"/>
      <c r="C376" s="13" t="s">
        <v>7839</v>
      </c>
      <c r="D376" s="13" t="s">
        <v>1883</v>
      </c>
      <c r="E376" s="13" t="s">
        <v>7837</v>
      </c>
      <c r="F376" s="13" t="s">
        <v>7836</v>
      </c>
      <c r="G376" s="13" t="s">
        <v>120</v>
      </c>
      <c r="H376" s="13" t="s">
        <v>7835</v>
      </c>
      <c r="I376" s="13" t="s">
        <v>7834</v>
      </c>
      <c r="J376" s="13" t="s">
        <v>7833</v>
      </c>
      <c r="K376" s="13" t="s">
        <v>2033</v>
      </c>
      <c r="L376" s="13"/>
      <c r="M376" s="14"/>
      <c r="N376" s="13"/>
      <c r="O376" s="13" t="s">
        <v>2028</v>
      </c>
    </row>
    <row r="377" spans="1:15" ht="19.5" customHeight="1" x14ac:dyDescent="0.25">
      <c r="A377" s="11" t="s">
        <v>120</v>
      </c>
      <c r="B377" s="11"/>
      <c r="C377" s="11" t="s">
        <v>7838</v>
      </c>
      <c r="D377" s="11" t="s">
        <v>1883</v>
      </c>
      <c r="E377" s="11" t="s">
        <v>7837</v>
      </c>
      <c r="F377" s="11" t="s">
        <v>7836</v>
      </c>
      <c r="G377" s="11" t="s">
        <v>120</v>
      </c>
      <c r="H377" s="11" t="s">
        <v>7835</v>
      </c>
      <c r="I377" s="11" t="s">
        <v>7834</v>
      </c>
      <c r="J377" s="11" t="s">
        <v>7833</v>
      </c>
      <c r="K377" s="11" t="s">
        <v>2033</v>
      </c>
      <c r="L377" s="11"/>
      <c r="M377" s="12"/>
      <c r="N377" s="11"/>
      <c r="O377" s="11" t="s">
        <v>2028</v>
      </c>
    </row>
    <row r="378" spans="1:15" ht="19.5" customHeight="1" x14ac:dyDescent="0.25">
      <c r="A378" s="13" t="s">
        <v>1044</v>
      </c>
      <c r="B378" s="13"/>
      <c r="C378" s="13" t="s">
        <v>7832</v>
      </c>
      <c r="D378" s="13" t="s">
        <v>1883</v>
      </c>
      <c r="E378" s="13" t="s">
        <v>7831</v>
      </c>
      <c r="F378" s="13" t="s">
        <v>7830</v>
      </c>
      <c r="G378" s="13" t="s">
        <v>1044</v>
      </c>
      <c r="H378" s="13" t="s">
        <v>7829</v>
      </c>
      <c r="I378" s="13" t="s">
        <v>7828</v>
      </c>
      <c r="J378" s="13" t="s">
        <v>7827</v>
      </c>
      <c r="K378" s="13" t="s">
        <v>3641</v>
      </c>
      <c r="L378" s="13"/>
      <c r="M378" s="14"/>
      <c r="N378" s="13"/>
      <c r="O378" s="13" t="s">
        <v>1916</v>
      </c>
    </row>
    <row r="379" spans="1:15" ht="19.5" customHeight="1" x14ac:dyDescent="0.25">
      <c r="A379" s="11" t="s">
        <v>1044</v>
      </c>
      <c r="B379" s="11"/>
      <c r="C379" s="11" t="s">
        <v>1043</v>
      </c>
      <c r="D379" s="11" t="s">
        <v>1883</v>
      </c>
      <c r="E379" s="11" t="s">
        <v>7831</v>
      </c>
      <c r="F379" s="11" t="s">
        <v>7830</v>
      </c>
      <c r="G379" s="11" t="s">
        <v>1044</v>
      </c>
      <c r="H379" s="11" t="s">
        <v>7829</v>
      </c>
      <c r="I379" s="11" t="s">
        <v>7828</v>
      </c>
      <c r="J379" s="11" t="s">
        <v>7827</v>
      </c>
      <c r="K379" s="11" t="s">
        <v>3641</v>
      </c>
      <c r="L379" s="11"/>
      <c r="M379" s="12"/>
      <c r="N379" s="11"/>
      <c r="O379" s="11" t="s">
        <v>1945</v>
      </c>
    </row>
    <row r="380" spans="1:15" ht="19.5" customHeight="1" x14ac:dyDescent="0.25">
      <c r="A380" s="13" t="s">
        <v>122</v>
      </c>
      <c r="B380" s="13"/>
      <c r="C380" s="13" t="s">
        <v>7826</v>
      </c>
      <c r="D380" s="13" t="s">
        <v>1883</v>
      </c>
      <c r="E380" s="13" t="s">
        <v>7823</v>
      </c>
      <c r="F380" s="13" t="s">
        <v>7822</v>
      </c>
      <c r="G380" s="13" t="s">
        <v>122</v>
      </c>
      <c r="H380" s="13" t="s">
        <v>7821</v>
      </c>
      <c r="I380" s="13" t="s">
        <v>7820</v>
      </c>
      <c r="J380" s="13" t="s">
        <v>7819</v>
      </c>
      <c r="K380" s="13" t="s">
        <v>1952</v>
      </c>
      <c r="L380" s="13"/>
      <c r="M380" s="14"/>
      <c r="N380" s="13"/>
      <c r="O380" s="13" t="s">
        <v>2028</v>
      </c>
    </row>
    <row r="381" spans="1:15" ht="19.5" customHeight="1" x14ac:dyDescent="0.25">
      <c r="A381" s="11" t="s">
        <v>122</v>
      </c>
      <c r="B381" s="11"/>
      <c r="C381" s="11" t="s">
        <v>7825</v>
      </c>
      <c r="D381" s="11" t="s">
        <v>1883</v>
      </c>
      <c r="E381" s="11" t="s">
        <v>7823</v>
      </c>
      <c r="F381" s="11" t="s">
        <v>7822</v>
      </c>
      <c r="G381" s="11" t="s">
        <v>122</v>
      </c>
      <c r="H381" s="11" t="s">
        <v>7821</v>
      </c>
      <c r="I381" s="11" t="s">
        <v>7820</v>
      </c>
      <c r="J381" s="11" t="s">
        <v>7819</v>
      </c>
      <c r="K381" s="11" t="s">
        <v>1952</v>
      </c>
      <c r="L381" s="11"/>
      <c r="M381" s="12"/>
      <c r="N381" s="11"/>
      <c r="O381" s="11" t="s">
        <v>2028</v>
      </c>
    </row>
    <row r="382" spans="1:15" ht="19.5" customHeight="1" x14ac:dyDescent="0.25">
      <c r="A382" s="13" t="s">
        <v>122</v>
      </c>
      <c r="B382" s="13"/>
      <c r="C382" s="13" t="s">
        <v>7824</v>
      </c>
      <c r="D382" s="13" t="s">
        <v>1883</v>
      </c>
      <c r="E382" s="13" t="s">
        <v>7823</v>
      </c>
      <c r="F382" s="13" t="s">
        <v>7822</v>
      </c>
      <c r="G382" s="13" t="s">
        <v>122</v>
      </c>
      <c r="H382" s="13" t="s">
        <v>7821</v>
      </c>
      <c r="I382" s="13" t="s">
        <v>7820</v>
      </c>
      <c r="J382" s="13" t="s">
        <v>7819</v>
      </c>
      <c r="K382" s="13" t="s">
        <v>1952</v>
      </c>
      <c r="L382" s="13"/>
      <c r="M382" s="14"/>
      <c r="N382" s="13"/>
      <c r="O382" s="13" t="s">
        <v>2028</v>
      </c>
    </row>
    <row r="383" spans="1:15" ht="19.5" customHeight="1" x14ac:dyDescent="0.25">
      <c r="A383" s="11" t="s">
        <v>1781</v>
      </c>
      <c r="B383" s="11"/>
      <c r="C383" s="11" t="s">
        <v>7818</v>
      </c>
      <c r="D383" s="11" t="s">
        <v>1883</v>
      </c>
      <c r="E383" s="11" t="s">
        <v>7817</v>
      </c>
      <c r="F383" s="11"/>
      <c r="G383" s="11" t="s">
        <v>1781</v>
      </c>
      <c r="H383" s="11"/>
      <c r="I383" s="11" t="s">
        <v>7816</v>
      </c>
      <c r="J383" s="11" t="s">
        <v>7815</v>
      </c>
      <c r="K383" s="11" t="s">
        <v>3599</v>
      </c>
      <c r="L383" s="11"/>
      <c r="M383" s="12"/>
      <c r="N383" s="11"/>
      <c r="O383" s="11" t="s">
        <v>2028</v>
      </c>
    </row>
    <row r="384" spans="1:15" ht="19.5" customHeight="1" x14ac:dyDescent="0.25">
      <c r="A384" s="13" t="s">
        <v>1094</v>
      </c>
      <c r="B384" s="13"/>
      <c r="C384" s="13" t="s">
        <v>7814</v>
      </c>
      <c r="D384" s="13" t="s">
        <v>1883</v>
      </c>
      <c r="E384" s="13" t="s">
        <v>7813</v>
      </c>
      <c r="F384" s="13" t="s">
        <v>7812</v>
      </c>
      <c r="G384" s="13" t="s">
        <v>1094</v>
      </c>
      <c r="H384" s="13"/>
      <c r="I384" s="13" t="s">
        <v>7811</v>
      </c>
      <c r="J384" s="13" t="s">
        <v>7810</v>
      </c>
      <c r="K384" s="13" t="s">
        <v>2033</v>
      </c>
      <c r="L384" s="13"/>
      <c r="M384" s="14"/>
      <c r="N384" s="13"/>
      <c r="O384" s="13" t="s">
        <v>2028</v>
      </c>
    </row>
    <row r="385" spans="1:15" ht="19.5" customHeight="1" x14ac:dyDescent="0.25">
      <c r="A385" s="11" t="s">
        <v>124</v>
      </c>
      <c r="B385" s="11"/>
      <c r="C385" s="11" t="s">
        <v>7809</v>
      </c>
      <c r="D385" s="11" t="s">
        <v>1883</v>
      </c>
      <c r="E385" s="11" t="s">
        <v>7806</v>
      </c>
      <c r="F385" s="11" t="s">
        <v>7805</v>
      </c>
      <c r="G385" s="11" t="s">
        <v>124</v>
      </c>
      <c r="H385" s="11" t="s">
        <v>7804</v>
      </c>
      <c r="I385" s="11" t="s">
        <v>7803</v>
      </c>
      <c r="J385" s="11" t="s">
        <v>7802</v>
      </c>
      <c r="K385" s="11" t="s">
        <v>1952</v>
      </c>
      <c r="L385" s="11"/>
      <c r="M385" s="12"/>
      <c r="N385" s="11"/>
      <c r="O385" s="11" t="s">
        <v>2028</v>
      </c>
    </row>
    <row r="386" spans="1:15" ht="19.5" customHeight="1" x14ac:dyDescent="0.25">
      <c r="A386" s="13" t="s">
        <v>124</v>
      </c>
      <c r="B386" s="13"/>
      <c r="C386" s="13" t="s">
        <v>7808</v>
      </c>
      <c r="D386" s="13" t="s">
        <v>1883</v>
      </c>
      <c r="E386" s="13" t="s">
        <v>7806</v>
      </c>
      <c r="F386" s="13" t="s">
        <v>7805</v>
      </c>
      <c r="G386" s="13" t="s">
        <v>124</v>
      </c>
      <c r="H386" s="13" t="s">
        <v>7804</v>
      </c>
      <c r="I386" s="13" t="s">
        <v>7803</v>
      </c>
      <c r="J386" s="13" t="s">
        <v>7802</v>
      </c>
      <c r="K386" s="13" t="s">
        <v>1952</v>
      </c>
      <c r="L386" s="13"/>
      <c r="M386" s="14"/>
      <c r="N386" s="13"/>
      <c r="O386" s="13" t="s">
        <v>2028</v>
      </c>
    </row>
    <row r="387" spans="1:15" ht="19.5" customHeight="1" x14ac:dyDescent="0.25">
      <c r="A387" s="11" t="s">
        <v>124</v>
      </c>
      <c r="B387" s="11"/>
      <c r="C387" s="11" t="s">
        <v>7807</v>
      </c>
      <c r="D387" s="11" t="s">
        <v>1883</v>
      </c>
      <c r="E387" s="11" t="s">
        <v>7806</v>
      </c>
      <c r="F387" s="11" t="s">
        <v>7805</v>
      </c>
      <c r="G387" s="11" t="s">
        <v>124</v>
      </c>
      <c r="H387" s="11" t="s">
        <v>7804</v>
      </c>
      <c r="I387" s="11" t="s">
        <v>7803</v>
      </c>
      <c r="J387" s="11" t="s">
        <v>7802</v>
      </c>
      <c r="K387" s="11" t="s">
        <v>1952</v>
      </c>
      <c r="L387" s="11"/>
      <c r="M387" s="12"/>
      <c r="N387" s="11"/>
      <c r="O387" s="11" t="s">
        <v>2028</v>
      </c>
    </row>
    <row r="388" spans="1:15" ht="19.5" customHeight="1" x14ac:dyDescent="0.25">
      <c r="A388" s="13" t="s">
        <v>1042</v>
      </c>
      <c r="B388" s="13"/>
      <c r="C388" s="13" t="s">
        <v>7801</v>
      </c>
      <c r="D388" s="13" t="s">
        <v>1883</v>
      </c>
      <c r="E388" s="13" t="s">
        <v>7800</v>
      </c>
      <c r="F388" s="13"/>
      <c r="G388" s="13" t="s">
        <v>1042</v>
      </c>
      <c r="H388" s="13"/>
      <c r="I388" s="13" t="s">
        <v>7799</v>
      </c>
      <c r="J388" s="13" t="s">
        <v>7798</v>
      </c>
      <c r="K388" s="13" t="s">
        <v>2033</v>
      </c>
      <c r="L388" s="13"/>
      <c r="M388" s="14"/>
      <c r="N388" s="13"/>
      <c r="O388" s="13" t="s">
        <v>2028</v>
      </c>
    </row>
    <row r="389" spans="1:15" ht="19.5" customHeight="1" x14ac:dyDescent="0.25">
      <c r="A389" s="11" t="s">
        <v>126</v>
      </c>
      <c r="B389" s="11"/>
      <c r="C389" s="11" t="s">
        <v>7797</v>
      </c>
      <c r="D389" s="11" t="s">
        <v>1883</v>
      </c>
      <c r="E389" s="11" t="s">
        <v>7794</v>
      </c>
      <c r="F389" s="11" t="s">
        <v>7793</v>
      </c>
      <c r="G389" s="11" t="s">
        <v>126</v>
      </c>
      <c r="H389" s="11" t="s">
        <v>7792</v>
      </c>
      <c r="I389" s="11" t="s">
        <v>7791</v>
      </c>
      <c r="J389" s="11" t="s">
        <v>7790</v>
      </c>
      <c r="K389" s="11" t="s">
        <v>2033</v>
      </c>
      <c r="L389" s="11"/>
      <c r="M389" s="12"/>
      <c r="N389" s="11"/>
      <c r="O389" s="11" t="s">
        <v>2028</v>
      </c>
    </row>
    <row r="390" spans="1:15" ht="19.5" customHeight="1" x14ac:dyDescent="0.25">
      <c r="A390" s="13" t="s">
        <v>126</v>
      </c>
      <c r="B390" s="13"/>
      <c r="C390" s="13" t="s">
        <v>7796</v>
      </c>
      <c r="D390" s="13" t="s">
        <v>1883</v>
      </c>
      <c r="E390" s="13" t="s">
        <v>7794</v>
      </c>
      <c r="F390" s="13" t="s">
        <v>7793</v>
      </c>
      <c r="G390" s="13" t="s">
        <v>126</v>
      </c>
      <c r="H390" s="13" t="s">
        <v>7792</v>
      </c>
      <c r="I390" s="13" t="s">
        <v>7791</v>
      </c>
      <c r="J390" s="13" t="s">
        <v>7790</v>
      </c>
      <c r="K390" s="13" t="s">
        <v>2033</v>
      </c>
      <c r="L390" s="13"/>
      <c r="M390" s="14"/>
      <c r="N390" s="13"/>
      <c r="O390" s="13" t="s">
        <v>2028</v>
      </c>
    </row>
    <row r="391" spans="1:15" ht="19.5" customHeight="1" x14ac:dyDescent="0.25">
      <c r="A391" s="11" t="s">
        <v>126</v>
      </c>
      <c r="B391" s="11"/>
      <c r="C391" s="11" t="s">
        <v>7795</v>
      </c>
      <c r="D391" s="11" t="s">
        <v>1883</v>
      </c>
      <c r="E391" s="11" t="s">
        <v>7794</v>
      </c>
      <c r="F391" s="11" t="s">
        <v>7793</v>
      </c>
      <c r="G391" s="11" t="s">
        <v>126</v>
      </c>
      <c r="H391" s="11" t="s">
        <v>7792</v>
      </c>
      <c r="I391" s="11" t="s">
        <v>7791</v>
      </c>
      <c r="J391" s="11" t="s">
        <v>7790</v>
      </c>
      <c r="K391" s="11" t="s">
        <v>2033</v>
      </c>
      <c r="L391" s="11"/>
      <c r="M391" s="12"/>
      <c r="N391" s="11"/>
      <c r="O391" s="11" t="s">
        <v>2028</v>
      </c>
    </row>
    <row r="392" spans="1:15" ht="19.5" customHeight="1" x14ac:dyDescent="0.25">
      <c r="A392" s="13" t="s">
        <v>7787</v>
      </c>
      <c r="B392" s="13"/>
      <c r="C392" s="13" t="s">
        <v>7789</v>
      </c>
      <c r="D392" s="13" t="s">
        <v>1883</v>
      </c>
      <c r="E392" s="13" t="s">
        <v>7788</v>
      </c>
      <c r="F392" s="13"/>
      <c r="G392" s="13" t="s">
        <v>7787</v>
      </c>
      <c r="H392" s="13"/>
      <c r="I392" s="13" t="s">
        <v>7786</v>
      </c>
      <c r="J392" s="13" t="s">
        <v>7785</v>
      </c>
      <c r="K392" s="13" t="s">
        <v>2033</v>
      </c>
      <c r="L392" s="13"/>
      <c r="M392" s="14"/>
      <c r="N392" s="13"/>
      <c r="O392" s="13" t="s">
        <v>1945</v>
      </c>
    </row>
    <row r="393" spans="1:15" ht="19.5" customHeight="1" x14ac:dyDescent="0.25">
      <c r="A393" s="11" t="s">
        <v>7781</v>
      </c>
      <c r="B393" s="11"/>
      <c r="C393" s="11" t="s">
        <v>7784</v>
      </c>
      <c r="D393" s="11" t="s">
        <v>1883</v>
      </c>
      <c r="E393" s="11" t="s">
        <v>7783</v>
      </c>
      <c r="F393" s="11" t="s">
        <v>7782</v>
      </c>
      <c r="G393" s="11" t="s">
        <v>7781</v>
      </c>
      <c r="H393" s="11"/>
      <c r="I393" s="11" t="s">
        <v>7780</v>
      </c>
      <c r="J393" s="11" t="s">
        <v>7779</v>
      </c>
      <c r="K393" s="11" t="s">
        <v>2033</v>
      </c>
      <c r="L393" s="11"/>
      <c r="M393" s="12"/>
      <c r="N393" s="11"/>
      <c r="O393" s="11" t="s">
        <v>2028</v>
      </c>
    </row>
    <row r="394" spans="1:15" ht="19.5" customHeight="1" x14ac:dyDescent="0.25">
      <c r="A394" s="13" t="s">
        <v>128</v>
      </c>
      <c r="B394" s="13"/>
      <c r="C394" s="13" t="s">
        <v>7778</v>
      </c>
      <c r="D394" s="13" t="s">
        <v>1883</v>
      </c>
      <c r="E394" s="13" t="s">
        <v>7775</v>
      </c>
      <c r="F394" s="13" t="s">
        <v>7774</v>
      </c>
      <c r="G394" s="13" t="s">
        <v>128</v>
      </c>
      <c r="H394" s="13" t="s">
        <v>7773</v>
      </c>
      <c r="I394" s="13" t="s">
        <v>7156</v>
      </c>
      <c r="J394" s="13" t="s">
        <v>7772</v>
      </c>
      <c r="K394" s="13" t="s">
        <v>2033</v>
      </c>
      <c r="L394" s="13"/>
      <c r="M394" s="14"/>
      <c r="N394" s="13"/>
      <c r="O394" s="13" t="s">
        <v>2028</v>
      </c>
    </row>
    <row r="395" spans="1:15" ht="19.5" customHeight="1" x14ac:dyDescent="0.25">
      <c r="A395" s="11" t="s">
        <v>128</v>
      </c>
      <c r="B395" s="11"/>
      <c r="C395" s="11" t="s">
        <v>7777</v>
      </c>
      <c r="D395" s="11" t="s">
        <v>1883</v>
      </c>
      <c r="E395" s="11" t="s">
        <v>7775</v>
      </c>
      <c r="F395" s="11" t="s">
        <v>7774</v>
      </c>
      <c r="G395" s="11" t="s">
        <v>128</v>
      </c>
      <c r="H395" s="11" t="s">
        <v>7773</v>
      </c>
      <c r="I395" s="11" t="s">
        <v>7156</v>
      </c>
      <c r="J395" s="11" t="s">
        <v>7772</v>
      </c>
      <c r="K395" s="11" t="s">
        <v>2033</v>
      </c>
      <c r="L395" s="11"/>
      <c r="M395" s="12"/>
      <c r="N395" s="11"/>
      <c r="O395" s="11" t="s">
        <v>2028</v>
      </c>
    </row>
    <row r="396" spans="1:15" ht="19.5" customHeight="1" x14ac:dyDescent="0.25">
      <c r="A396" s="13" t="s">
        <v>128</v>
      </c>
      <c r="B396" s="13"/>
      <c r="C396" s="13" t="s">
        <v>7776</v>
      </c>
      <c r="D396" s="13" t="s">
        <v>1883</v>
      </c>
      <c r="E396" s="13" t="s">
        <v>7775</v>
      </c>
      <c r="F396" s="13" t="s">
        <v>7774</v>
      </c>
      <c r="G396" s="13" t="s">
        <v>128</v>
      </c>
      <c r="H396" s="13" t="s">
        <v>7773</v>
      </c>
      <c r="I396" s="13" t="s">
        <v>7156</v>
      </c>
      <c r="J396" s="13" t="s">
        <v>7772</v>
      </c>
      <c r="K396" s="13" t="s">
        <v>2033</v>
      </c>
      <c r="L396" s="13"/>
      <c r="M396" s="14"/>
      <c r="N396" s="13"/>
      <c r="O396" s="13" t="s">
        <v>2028</v>
      </c>
    </row>
    <row r="397" spans="1:15" ht="19.5" customHeight="1" x14ac:dyDescent="0.25">
      <c r="A397" s="11" t="s">
        <v>7770</v>
      </c>
      <c r="B397" s="11"/>
      <c r="C397" s="11" t="s">
        <v>7771</v>
      </c>
      <c r="D397" s="11" t="s">
        <v>1883</v>
      </c>
      <c r="E397" s="11" t="s">
        <v>7767</v>
      </c>
      <c r="F397" s="11"/>
      <c r="G397" s="11" t="s">
        <v>7770</v>
      </c>
      <c r="H397" s="11"/>
      <c r="I397" s="11" t="s">
        <v>7769</v>
      </c>
      <c r="J397" s="11" t="s">
        <v>7764</v>
      </c>
      <c r="K397" s="11" t="s">
        <v>2033</v>
      </c>
      <c r="L397" s="11"/>
      <c r="M397" s="12"/>
      <c r="N397" s="11"/>
      <c r="O397" s="11" t="s">
        <v>2028</v>
      </c>
    </row>
    <row r="398" spans="1:15" ht="19.5" customHeight="1" x14ac:dyDescent="0.25">
      <c r="A398" s="13" t="s">
        <v>7766</v>
      </c>
      <c r="B398" s="13"/>
      <c r="C398" s="13" t="s">
        <v>7768</v>
      </c>
      <c r="D398" s="13" t="s">
        <v>1883</v>
      </c>
      <c r="E398" s="13" t="s">
        <v>7767</v>
      </c>
      <c r="F398" s="13"/>
      <c r="G398" s="13" t="s">
        <v>7766</v>
      </c>
      <c r="H398" s="13"/>
      <c r="I398" s="13" t="s">
        <v>7765</v>
      </c>
      <c r="J398" s="13" t="s">
        <v>7764</v>
      </c>
      <c r="K398" s="13" t="s">
        <v>2033</v>
      </c>
      <c r="L398" s="13"/>
      <c r="M398" s="14"/>
      <c r="N398" s="13"/>
      <c r="O398" s="13" t="s">
        <v>2028</v>
      </c>
    </row>
    <row r="399" spans="1:15" ht="19.5" customHeight="1" x14ac:dyDescent="0.25">
      <c r="A399" s="11" t="s">
        <v>130</v>
      </c>
      <c r="B399" s="11"/>
      <c r="C399" s="11" t="s">
        <v>7763</v>
      </c>
      <c r="D399" s="11" t="s">
        <v>1883</v>
      </c>
      <c r="E399" s="11" t="s">
        <v>7760</v>
      </c>
      <c r="F399" s="11" t="s">
        <v>6835</v>
      </c>
      <c r="G399" s="11" t="s">
        <v>130</v>
      </c>
      <c r="H399" s="11" t="s">
        <v>7759</v>
      </c>
      <c r="I399" s="11" t="s">
        <v>2241</v>
      </c>
      <c r="J399" s="11" t="s">
        <v>6832</v>
      </c>
      <c r="K399" s="11" t="s">
        <v>2033</v>
      </c>
      <c r="L399" s="11"/>
      <c r="M399" s="12"/>
      <c r="N399" s="11"/>
      <c r="O399" s="11" t="s">
        <v>2028</v>
      </c>
    </row>
    <row r="400" spans="1:15" ht="19.5" customHeight="1" x14ac:dyDescent="0.25">
      <c r="A400" s="13" t="s">
        <v>130</v>
      </c>
      <c r="B400" s="13"/>
      <c r="C400" s="13" t="s">
        <v>7762</v>
      </c>
      <c r="D400" s="13" t="s">
        <v>1883</v>
      </c>
      <c r="E400" s="13" t="s">
        <v>7760</v>
      </c>
      <c r="F400" s="13" t="s">
        <v>6835</v>
      </c>
      <c r="G400" s="13" t="s">
        <v>130</v>
      </c>
      <c r="H400" s="13" t="s">
        <v>7759</v>
      </c>
      <c r="I400" s="13" t="s">
        <v>2241</v>
      </c>
      <c r="J400" s="13" t="s">
        <v>6832</v>
      </c>
      <c r="K400" s="13" t="s">
        <v>2033</v>
      </c>
      <c r="L400" s="13"/>
      <c r="M400" s="14"/>
      <c r="N400" s="13"/>
      <c r="O400" s="13" t="s">
        <v>2028</v>
      </c>
    </row>
    <row r="401" spans="1:15" ht="19.5" customHeight="1" x14ac:dyDescent="0.25">
      <c r="A401" s="11" t="s">
        <v>130</v>
      </c>
      <c r="B401" s="11"/>
      <c r="C401" s="11" t="s">
        <v>7761</v>
      </c>
      <c r="D401" s="11" t="s">
        <v>1883</v>
      </c>
      <c r="E401" s="11" t="s">
        <v>7760</v>
      </c>
      <c r="F401" s="11" t="s">
        <v>6835</v>
      </c>
      <c r="G401" s="11" t="s">
        <v>130</v>
      </c>
      <c r="H401" s="11" t="s">
        <v>7759</v>
      </c>
      <c r="I401" s="11" t="s">
        <v>2241</v>
      </c>
      <c r="J401" s="11" t="s">
        <v>6832</v>
      </c>
      <c r="K401" s="11" t="s">
        <v>2033</v>
      </c>
      <c r="L401" s="11"/>
      <c r="M401" s="12"/>
      <c r="N401" s="11"/>
      <c r="O401" s="11" t="s">
        <v>2028</v>
      </c>
    </row>
    <row r="402" spans="1:15" ht="19.5" customHeight="1" x14ac:dyDescent="0.25">
      <c r="A402" s="13" t="s">
        <v>1201</v>
      </c>
      <c r="B402" s="13"/>
      <c r="C402" s="13" t="s">
        <v>7758</v>
      </c>
      <c r="D402" s="13" t="s">
        <v>1883</v>
      </c>
      <c r="E402" s="13" t="s">
        <v>7757</v>
      </c>
      <c r="F402" s="13"/>
      <c r="G402" s="13" t="s">
        <v>1201</v>
      </c>
      <c r="H402" s="13"/>
      <c r="I402" s="13" t="s">
        <v>7756</v>
      </c>
      <c r="J402" s="13" t="s">
        <v>7755</v>
      </c>
      <c r="K402" s="13" t="s">
        <v>2033</v>
      </c>
      <c r="L402" s="13"/>
      <c r="M402" s="14"/>
      <c r="N402" s="13"/>
      <c r="O402" s="13" t="s">
        <v>2028</v>
      </c>
    </row>
    <row r="403" spans="1:15" ht="19.5" customHeight="1" x14ac:dyDescent="0.25">
      <c r="A403" s="11" t="s">
        <v>1482</v>
      </c>
      <c r="B403" s="11"/>
      <c r="C403" s="11" t="s">
        <v>7754</v>
      </c>
      <c r="D403" s="11" t="s">
        <v>1883</v>
      </c>
      <c r="E403" s="11" t="s">
        <v>7753</v>
      </c>
      <c r="F403" s="11"/>
      <c r="G403" s="11" t="s">
        <v>1482</v>
      </c>
      <c r="H403" s="11"/>
      <c r="I403" s="11" t="s">
        <v>7752</v>
      </c>
      <c r="J403" s="11" t="s">
        <v>7751</v>
      </c>
      <c r="K403" s="11" t="s">
        <v>2033</v>
      </c>
      <c r="L403" s="11"/>
      <c r="M403" s="12"/>
      <c r="N403" s="11"/>
      <c r="O403" s="11" t="s">
        <v>2028</v>
      </c>
    </row>
    <row r="404" spans="1:15" ht="19.5" customHeight="1" x14ac:dyDescent="0.25">
      <c r="A404" s="13" t="s">
        <v>132</v>
      </c>
      <c r="B404" s="13"/>
      <c r="C404" s="13" t="s">
        <v>7750</v>
      </c>
      <c r="D404" s="13" t="s">
        <v>1883</v>
      </c>
      <c r="E404" s="13" t="s">
        <v>7747</v>
      </c>
      <c r="F404" s="13" t="s">
        <v>7746</v>
      </c>
      <c r="G404" s="13" t="s">
        <v>132</v>
      </c>
      <c r="H404" s="13" t="s">
        <v>7745</v>
      </c>
      <c r="I404" s="13" t="s">
        <v>7744</v>
      </c>
      <c r="J404" s="13" t="s">
        <v>7743</v>
      </c>
      <c r="K404" s="13" t="s">
        <v>1952</v>
      </c>
      <c r="L404" s="13"/>
      <c r="M404" s="14"/>
      <c r="N404" s="13"/>
      <c r="O404" s="13" t="s">
        <v>2028</v>
      </c>
    </row>
    <row r="405" spans="1:15" ht="19.5" customHeight="1" x14ac:dyDescent="0.25">
      <c r="A405" s="11" t="s">
        <v>132</v>
      </c>
      <c r="B405" s="11"/>
      <c r="C405" s="11" t="s">
        <v>7749</v>
      </c>
      <c r="D405" s="11" t="s">
        <v>1883</v>
      </c>
      <c r="E405" s="11" t="s">
        <v>7747</v>
      </c>
      <c r="F405" s="11" t="s">
        <v>7746</v>
      </c>
      <c r="G405" s="11" t="s">
        <v>132</v>
      </c>
      <c r="H405" s="11" t="s">
        <v>7745</v>
      </c>
      <c r="I405" s="11" t="s">
        <v>7744</v>
      </c>
      <c r="J405" s="11" t="s">
        <v>7743</v>
      </c>
      <c r="K405" s="11" t="s">
        <v>1952</v>
      </c>
      <c r="L405" s="11"/>
      <c r="M405" s="12"/>
      <c r="N405" s="11"/>
      <c r="O405" s="11" t="s">
        <v>2028</v>
      </c>
    </row>
    <row r="406" spans="1:15" ht="19.5" customHeight="1" x14ac:dyDescent="0.25">
      <c r="A406" s="13" t="s">
        <v>132</v>
      </c>
      <c r="B406" s="13"/>
      <c r="C406" s="13" t="s">
        <v>7748</v>
      </c>
      <c r="D406" s="13" t="s">
        <v>1883</v>
      </c>
      <c r="E406" s="13" t="s">
        <v>7747</v>
      </c>
      <c r="F406" s="13" t="s">
        <v>7746</v>
      </c>
      <c r="G406" s="13" t="s">
        <v>132</v>
      </c>
      <c r="H406" s="13" t="s">
        <v>7745</v>
      </c>
      <c r="I406" s="13" t="s">
        <v>7744</v>
      </c>
      <c r="J406" s="13" t="s">
        <v>7743</v>
      </c>
      <c r="K406" s="13" t="s">
        <v>1952</v>
      </c>
      <c r="L406" s="13"/>
      <c r="M406" s="14"/>
      <c r="N406" s="13"/>
      <c r="O406" s="13" t="s">
        <v>2028</v>
      </c>
    </row>
    <row r="407" spans="1:15" ht="19.5" customHeight="1" x14ac:dyDescent="0.25">
      <c r="A407" s="11" t="s">
        <v>134</v>
      </c>
      <c r="B407" s="11"/>
      <c r="C407" s="11" t="s">
        <v>7742</v>
      </c>
      <c r="D407" s="11" t="s">
        <v>1883</v>
      </c>
      <c r="E407" s="11" t="s">
        <v>7739</v>
      </c>
      <c r="F407" s="11" t="s">
        <v>7738</v>
      </c>
      <c r="G407" s="11" t="s">
        <v>134</v>
      </c>
      <c r="H407" s="11" t="s">
        <v>7737</v>
      </c>
      <c r="I407" s="11" t="s">
        <v>7736</v>
      </c>
      <c r="J407" s="11" t="s">
        <v>7735</v>
      </c>
      <c r="K407" s="11" t="s">
        <v>1952</v>
      </c>
      <c r="L407" s="11"/>
      <c r="M407" s="12"/>
      <c r="N407" s="11"/>
      <c r="O407" s="11" t="s">
        <v>2028</v>
      </c>
    </row>
    <row r="408" spans="1:15" ht="19.5" customHeight="1" x14ac:dyDescent="0.25">
      <c r="A408" s="13" t="s">
        <v>134</v>
      </c>
      <c r="B408" s="13"/>
      <c r="C408" s="13" t="s">
        <v>7741</v>
      </c>
      <c r="D408" s="13" t="s">
        <v>1883</v>
      </c>
      <c r="E408" s="13" t="s">
        <v>7739</v>
      </c>
      <c r="F408" s="13" t="s">
        <v>7738</v>
      </c>
      <c r="G408" s="13" t="s">
        <v>134</v>
      </c>
      <c r="H408" s="13" t="s">
        <v>7737</v>
      </c>
      <c r="I408" s="13" t="s">
        <v>7736</v>
      </c>
      <c r="J408" s="13" t="s">
        <v>7735</v>
      </c>
      <c r="K408" s="13" t="s">
        <v>1952</v>
      </c>
      <c r="L408" s="13"/>
      <c r="M408" s="14"/>
      <c r="N408" s="13"/>
      <c r="O408" s="13" t="s">
        <v>2028</v>
      </c>
    </row>
    <row r="409" spans="1:15" ht="19.5" customHeight="1" x14ac:dyDescent="0.25">
      <c r="A409" s="11" t="s">
        <v>134</v>
      </c>
      <c r="B409" s="11"/>
      <c r="C409" s="11" t="s">
        <v>7740</v>
      </c>
      <c r="D409" s="11" t="s">
        <v>1883</v>
      </c>
      <c r="E409" s="11" t="s">
        <v>7739</v>
      </c>
      <c r="F409" s="11" t="s">
        <v>7738</v>
      </c>
      <c r="G409" s="11" t="s">
        <v>134</v>
      </c>
      <c r="H409" s="11" t="s">
        <v>7737</v>
      </c>
      <c r="I409" s="11" t="s">
        <v>7736</v>
      </c>
      <c r="J409" s="11" t="s">
        <v>7735</v>
      </c>
      <c r="K409" s="11" t="s">
        <v>1952</v>
      </c>
      <c r="L409" s="11"/>
      <c r="M409" s="12"/>
      <c r="N409" s="11"/>
      <c r="O409" s="11" t="s">
        <v>2028</v>
      </c>
    </row>
    <row r="410" spans="1:15" ht="19.5" customHeight="1" x14ac:dyDescent="0.25">
      <c r="A410" s="13" t="s">
        <v>7732</v>
      </c>
      <c r="B410" s="13"/>
      <c r="C410" s="13" t="s">
        <v>7734</v>
      </c>
      <c r="D410" s="13" t="s">
        <v>1883</v>
      </c>
      <c r="E410" s="13" t="s">
        <v>7733</v>
      </c>
      <c r="F410" s="13"/>
      <c r="G410" s="13" t="s">
        <v>7732</v>
      </c>
      <c r="H410" s="13"/>
      <c r="I410" s="13" t="s">
        <v>7731</v>
      </c>
      <c r="J410" s="13" t="s">
        <v>7730</v>
      </c>
      <c r="K410" s="13" t="s">
        <v>2033</v>
      </c>
      <c r="L410" s="13"/>
      <c r="M410" s="14"/>
      <c r="N410" s="13"/>
      <c r="O410" s="13" t="s">
        <v>1945</v>
      </c>
    </row>
    <row r="411" spans="1:15" ht="19.5" customHeight="1" x14ac:dyDescent="0.25">
      <c r="A411" s="11" t="s">
        <v>7727</v>
      </c>
      <c r="B411" s="11"/>
      <c r="C411" s="11" t="s">
        <v>7729</v>
      </c>
      <c r="D411" s="11" t="s">
        <v>1883</v>
      </c>
      <c r="E411" s="11" t="s">
        <v>7728</v>
      </c>
      <c r="F411" s="11"/>
      <c r="G411" s="11" t="s">
        <v>7727</v>
      </c>
      <c r="H411" s="11" t="s">
        <v>7726</v>
      </c>
      <c r="I411" s="11" t="s">
        <v>7725</v>
      </c>
      <c r="J411" s="11" t="s">
        <v>7724</v>
      </c>
      <c r="K411" s="11" t="s">
        <v>1952</v>
      </c>
      <c r="L411" s="11"/>
      <c r="M411" s="12"/>
      <c r="N411" s="11"/>
      <c r="O411" s="11" t="s">
        <v>2028</v>
      </c>
    </row>
    <row r="412" spans="1:15" ht="19.5" customHeight="1" x14ac:dyDescent="0.25">
      <c r="A412" s="13" t="s">
        <v>1732</v>
      </c>
      <c r="B412" s="13"/>
      <c r="C412" s="13" t="s">
        <v>7723</v>
      </c>
      <c r="D412" s="13" t="s">
        <v>1883</v>
      </c>
      <c r="E412" s="13" t="s">
        <v>7722</v>
      </c>
      <c r="F412" s="13"/>
      <c r="G412" s="13" t="s">
        <v>1732</v>
      </c>
      <c r="H412" s="13"/>
      <c r="I412" s="13" t="s">
        <v>7721</v>
      </c>
      <c r="J412" s="13" t="s">
        <v>7720</v>
      </c>
      <c r="K412" s="13" t="s">
        <v>1952</v>
      </c>
      <c r="L412" s="13"/>
      <c r="M412" s="14"/>
      <c r="N412" s="13"/>
      <c r="O412" s="13" t="s">
        <v>2028</v>
      </c>
    </row>
    <row r="413" spans="1:15" ht="19.5" customHeight="1" x14ac:dyDescent="0.25">
      <c r="A413" s="11" t="s">
        <v>1425</v>
      </c>
      <c r="B413" s="11"/>
      <c r="C413" s="11" t="s">
        <v>7719</v>
      </c>
      <c r="D413" s="11" t="s">
        <v>1883</v>
      </c>
      <c r="E413" s="11" t="s">
        <v>7718</v>
      </c>
      <c r="F413" s="11"/>
      <c r="G413" s="11" t="s">
        <v>1425</v>
      </c>
      <c r="H413" s="11"/>
      <c r="I413" s="11" t="s">
        <v>7717</v>
      </c>
      <c r="J413" s="11" t="s">
        <v>7716</v>
      </c>
      <c r="K413" s="11" t="s">
        <v>1952</v>
      </c>
      <c r="L413" s="11"/>
      <c r="M413" s="12"/>
      <c r="N413" s="11"/>
      <c r="O413" s="11" t="s">
        <v>2028</v>
      </c>
    </row>
    <row r="414" spans="1:15" ht="19.5" customHeight="1" x14ac:dyDescent="0.25">
      <c r="A414" s="13" t="s">
        <v>136</v>
      </c>
      <c r="B414" s="13"/>
      <c r="C414" s="13" t="s">
        <v>7715</v>
      </c>
      <c r="D414" s="13" t="s">
        <v>1883</v>
      </c>
      <c r="E414" s="13" t="s">
        <v>7714</v>
      </c>
      <c r="F414" s="13"/>
      <c r="G414" s="13" t="s">
        <v>136</v>
      </c>
      <c r="H414" s="13" t="s">
        <v>7713</v>
      </c>
      <c r="I414" s="13" t="s">
        <v>7712</v>
      </c>
      <c r="J414" s="13" t="s">
        <v>7711</v>
      </c>
      <c r="K414" s="13" t="s">
        <v>1952</v>
      </c>
      <c r="L414" s="13"/>
      <c r="M414" s="14"/>
      <c r="N414" s="13"/>
      <c r="O414" s="13" t="s">
        <v>2028</v>
      </c>
    </row>
    <row r="415" spans="1:15" ht="19.5" customHeight="1" x14ac:dyDescent="0.25">
      <c r="A415" s="11" t="s">
        <v>1302</v>
      </c>
      <c r="B415" s="11"/>
      <c r="C415" s="11" t="s">
        <v>7710</v>
      </c>
      <c r="D415" s="11" t="s">
        <v>1883</v>
      </c>
      <c r="E415" s="11" t="s">
        <v>7709</v>
      </c>
      <c r="F415" s="11" t="s">
        <v>7708</v>
      </c>
      <c r="G415" s="11" t="s">
        <v>1302</v>
      </c>
      <c r="H415" s="11"/>
      <c r="I415" s="11" t="s">
        <v>7707</v>
      </c>
      <c r="J415" s="11" t="s">
        <v>7706</v>
      </c>
      <c r="K415" s="11" t="s">
        <v>1952</v>
      </c>
      <c r="L415" s="11"/>
      <c r="M415" s="12"/>
      <c r="N415" s="11"/>
      <c r="O415" s="11" t="s">
        <v>2028</v>
      </c>
    </row>
    <row r="416" spans="1:15" ht="19.5" customHeight="1" x14ac:dyDescent="0.25">
      <c r="A416" s="13" t="s">
        <v>7703</v>
      </c>
      <c r="B416" s="13"/>
      <c r="C416" s="13" t="s">
        <v>7705</v>
      </c>
      <c r="D416" s="13" t="s">
        <v>1883</v>
      </c>
      <c r="E416" s="13" t="s">
        <v>7704</v>
      </c>
      <c r="F416" s="13"/>
      <c r="G416" s="13" t="s">
        <v>7703</v>
      </c>
      <c r="H416" s="13"/>
      <c r="I416" s="13" t="s">
        <v>7702</v>
      </c>
      <c r="J416" s="13" t="s">
        <v>7701</v>
      </c>
      <c r="K416" s="13" t="s">
        <v>3599</v>
      </c>
      <c r="L416" s="13"/>
      <c r="M416" s="14"/>
      <c r="N416" s="13"/>
      <c r="O416" s="13" t="s">
        <v>2028</v>
      </c>
    </row>
    <row r="417" spans="1:15" ht="19.5" customHeight="1" x14ac:dyDescent="0.25">
      <c r="A417" s="11" t="s">
        <v>1618</v>
      </c>
      <c r="B417" s="11"/>
      <c r="C417" s="11" t="s">
        <v>7700</v>
      </c>
      <c r="D417" s="11" t="s">
        <v>1883</v>
      </c>
      <c r="E417" s="11" t="s">
        <v>7699</v>
      </c>
      <c r="F417" s="11"/>
      <c r="G417" s="11" t="s">
        <v>1618</v>
      </c>
      <c r="H417" s="11"/>
      <c r="I417" s="11" t="s">
        <v>7698</v>
      </c>
      <c r="J417" s="11" t="s">
        <v>7697</v>
      </c>
      <c r="K417" s="11" t="s">
        <v>2033</v>
      </c>
      <c r="L417" s="11"/>
      <c r="M417" s="12"/>
      <c r="N417" s="11"/>
      <c r="O417" s="11" t="s">
        <v>2028</v>
      </c>
    </row>
    <row r="418" spans="1:15" ht="19.5" customHeight="1" x14ac:dyDescent="0.25">
      <c r="A418" s="13" t="s">
        <v>1875</v>
      </c>
      <c r="B418" s="13"/>
      <c r="C418" s="13" t="s">
        <v>8791</v>
      </c>
      <c r="D418" s="13" t="s">
        <v>1883</v>
      </c>
      <c r="E418" s="13" t="s">
        <v>8792</v>
      </c>
      <c r="F418" s="13"/>
      <c r="G418" s="13" t="s">
        <v>1875</v>
      </c>
      <c r="H418" s="13"/>
      <c r="I418" s="13" t="s">
        <v>7693</v>
      </c>
      <c r="J418" s="13" t="s">
        <v>7692</v>
      </c>
      <c r="K418" s="13" t="s">
        <v>7651</v>
      </c>
      <c r="L418" s="13"/>
      <c r="M418" s="14"/>
      <c r="N418" s="13"/>
      <c r="O418" s="13" t="s">
        <v>1916</v>
      </c>
    </row>
    <row r="419" spans="1:15" ht="19.5" customHeight="1" x14ac:dyDescent="0.25">
      <c r="A419" s="11" t="s">
        <v>1875</v>
      </c>
      <c r="B419" s="11"/>
      <c r="C419" s="11" t="s">
        <v>7696</v>
      </c>
      <c r="D419" s="11" t="s">
        <v>1883</v>
      </c>
      <c r="E419" s="11" t="s">
        <v>7695</v>
      </c>
      <c r="F419" s="11" t="s">
        <v>7694</v>
      </c>
      <c r="G419" s="11" t="s">
        <v>1875</v>
      </c>
      <c r="H419" s="11"/>
      <c r="I419" s="11" t="s">
        <v>8957</v>
      </c>
      <c r="J419" s="11" t="s">
        <v>8958</v>
      </c>
      <c r="K419" s="11" t="s">
        <v>3599</v>
      </c>
      <c r="L419" s="11"/>
      <c r="M419" s="12"/>
      <c r="N419" s="11"/>
      <c r="O419" s="11" t="s">
        <v>2028</v>
      </c>
    </row>
    <row r="420" spans="1:15" ht="19.5" customHeight="1" x14ac:dyDescent="0.25">
      <c r="A420" s="13" t="s">
        <v>138</v>
      </c>
      <c r="B420" s="13"/>
      <c r="C420" s="13" t="s">
        <v>7691</v>
      </c>
      <c r="D420" s="13" t="s">
        <v>1883</v>
      </c>
      <c r="E420" s="13" t="s">
        <v>7688</v>
      </c>
      <c r="F420" s="13" t="s">
        <v>7687</v>
      </c>
      <c r="G420" s="13" t="s">
        <v>138</v>
      </c>
      <c r="H420" s="13" t="s">
        <v>7686</v>
      </c>
      <c r="I420" s="13" t="s">
        <v>7685</v>
      </c>
      <c r="J420" s="13" t="s">
        <v>7684</v>
      </c>
      <c r="K420" s="13" t="s">
        <v>2033</v>
      </c>
      <c r="L420" s="13"/>
      <c r="M420" s="14"/>
      <c r="N420" s="13"/>
      <c r="O420" s="13" t="s">
        <v>2028</v>
      </c>
    </row>
    <row r="421" spans="1:15" ht="19.5" customHeight="1" x14ac:dyDescent="0.25">
      <c r="A421" s="11" t="s">
        <v>138</v>
      </c>
      <c r="B421" s="11"/>
      <c r="C421" s="11" t="s">
        <v>7690</v>
      </c>
      <c r="D421" s="11" t="s">
        <v>1883</v>
      </c>
      <c r="E421" s="11" t="s">
        <v>7688</v>
      </c>
      <c r="F421" s="11" t="s">
        <v>7687</v>
      </c>
      <c r="G421" s="11" t="s">
        <v>138</v>
      </c>
      <c r="H421" s="11" t="s">
        <v>7686</v>
      </c>
      <c r="I421" s="11" t="s">
        <v>7685</v>
      </c>
      <c r="J421" s="11" t="s">
        <v>7684</v>
      </c>
      <c r="K421" s="11" t="s">
        <v>2033</v>
      </c>
      <c r="L421" s="11"/>
      <c r="M421" s="12"/>
      <c r="N421" s="11"/>
      <c r="O421" s="11" t="s">
        <v>2028</v>
      </c>
    </row>
    <row r="422" spans="1:15" ht="19.5" customHeight="1" x14ac:dyDescent="0.25">
      <c r="A422" s="13" t="s">
        <v>138</v>
      </c>
      <c r="B422" s="13"/>
      <c r="C422" s="13" t="s">
        <v>7689</v>
      </c>
      <c r="D422" s="13" t="s">
        <v>1883</v>
      </c>
      <c r="E422" s="13" t="s">
        <v>7688</v>
      </c>
      <c r="F422" s="13" t="s">
        <v>7687</v>
      </c>
      <c r="G422" s="13" t="s">
        <v>138</v>
      </c>
      <c r="H422" s="13" t="s">
        <v>7686</v>
      </c>
      <c r="I422" s="13" t="s">
        <v>7685</v>
      </c>
      <c r="J422" s="13" t="s">
        <v>7684</v>
      </c>
      <c r="K422" s="13" t="s">
        <v>2033</v>
      </c>
      <c r="L422" s="13"/>
      <c r="M422" s="14"/>
      <c r="N422" s="13"/>
      <c r="O422" s="13" t="s">
        <v>2028</v>
      </c>
    </row>
    <row r="423" spans="1:15" ht="19.5" customHeight="1" x14ac:dyDescent="0.25">
      <c r="A423" s="11" t="s">
        <v>140</v>
      </c>
      <c r="B423" s="11"/>
      <c r="C423" s="11" t="s">
        <v>7683</v>
      </c>
      <c r="D423" s="11" t="s">
        <v>1883</v>
      </c>
      <c r="E423" s="11" t="s">
        <v>7680</v>
      </c>
      <c r="F423" s="11" t="s">
        <v>7679</v>
      </c>
      <c r="G423" s="11" t="s">
        <v>140</v>
      </c>
      <c r="H423" s="11" t="s">
        <v>7678</v>
      </c>
      <c r="I423" s="11" t="s">
        <v>7677</v>
      </c>
      <c r="J423" s="11" t="s">
        <v>7676</v>
      </c>
      <c r="K423" s="11" t="s">
        <v>1952</v>
      </c>
      <c r="L423" s="11"/>
      <c r="M423" s="12"/>
      <c r="N423" s="11"/>
      <c r="O423" s="11" t="s">
        <v>2028</v>
      </c>
    </row>
    <row r="424" spans="1:15" ht="19.5" customHeight="1" x14ac:dyDescent="0.25">
      <c r="A424" s="13" t="s">
        <v>140</v>
      </c>
      <c r="B424" s="13"/>
      <c r="C424" s="13" t="s">
        <v>7682</v>
      </c>
      <c r="D424" s="13" t="s">
        <v>1883</v>
      </c>
      <c r="E424" s="13" t="s">
        <v>7680</v>
      </c>
      <c r="F424" s="13" t="s">
        <v>7679</v>
      </c>
      <c r="G424" s="13" t="s">
        <v>140</v>
      </c>
      <c r="H424" s="13" t="s">
        <v>7678</v>
      </c>
      <c r="I424" s="13" t="s">
        <v>7677</v>
      </c>
      <c r="J424" s="13" t="s">
        <v>7676</v>
      </c>
      <c r="K424" s="13" t="s">
        <v>1952</v>
      </c>
      <c r="L424" s="13"/>
      <c r="M424" s="14"/>
      <c r="N424" s="13"/>
      <c r="O424" s="13" t="s">
        <v>2028</v>
      </c>
    </row>
    <row r="425" spans="1:15" ht="19.5" customHeight="1" x14ac:dyDescent="0.25">
      <c r="A425" s="11" t="s">
        <v>140</v>
      </c>
      <c r="B425" s="11"/>
      <c r="C425" s="11" t="s">
        <v>7681</v>
      </c>
      <c r="D425" s="11" t="s">
        <v>1883</v>
      </c>
      <c r="E425" s="11" t="s">
        <v>7680</v>
      </c>
      <c r="F425" s="11" t="s">
        <v>7679</v>
      </c>
      <c r="G425" s="11" t="s">
        <v>140</v>
      </c>
      <c r="H425" s="11" t="s">
        <v>7678</v>
      </c>
      <c r="I425" s="11" t="s">
        <v>7677</v>
      </c>
      <c r="J425" s="11" t="s">
        <v>7676</v>
      </c>
      <c r="K425" s="11" t="s">
        <v>1952</v>
      </c>
      <c r="L425" s="11"/>
      <c r="M425" s="12"/>
      <c r="N425" s="11"/>
      <c r="O425" s="11" t="s">
        <v>2028</v>
      </c>
    </row>
    <row r="426" spans="1:15" ht="19.5" customHeight="1" x14ac:dyDescent="0.25">
      <c r="A426" s="13" t="s">
        <v>7673</v>
      </c>
      <c r="B426" s="13"/>
      <c r="C426" s="13" t="s">
        <v>7675</v>
      </c>
      <c r="D426" s="13" t="s">
        <v>1883</v>
      </c>
      <c r="E426" s="13" t="s">
        <v>7674</v>
      </c>
      <c r="F426" s="13"/>
      <c r="G426" s="13" t="s">
        <v>7673</v>
      </c>
      <c r="H426" s="13"/>
      <c r="I426" s="13" t="s">
        <v>7672</v>
      </c>
      <c r="J426" s="13" t="s">
        <v>7671</v>
      </c>
      <c r="K426" s="13" t="s">
        <v>1952</v>
      </c>
      <c r="L426" s="13"/>
      <c r="M426" s="14"/>
      <c r="N426" s="13"/>
      <c r="O426" s="13" t="s">
        <v>2028</v>
      </c>
    </row>
    <row r="427" spans="1:15" ht="19.5" customHeight="1" x14ac:dyDescent="0.25">
      <c r="A427" s="11" t="s">
        <v>1740</v>
      </c>
      <c r="B427" s="11"/>
      <c r="C427" s="11" t="s">
        <v>7670</v>
      </c>
      <c r="D427" s="11" t="s">
        <v>1883</v>
      </c>
      <c r="E427" s="11" t="s">
        <v>7669</v>
      </c>
      <c r="F427" s="11"/>
      <c r="G427" s="11" t="s">
        <v>1740</v>
      </c>
      <c r="H427" s="11"/>
      <c r="I427" s="11" t="s">
        <v>7668</v>
      </c>
      <c r="J427" s="11" t="s">
        <v>7667</v>
      </c>
      <c r="K427" s="11" t="s">
        <v>1952</v>
      </c>
      <c r="L427" s="11"/>
      <c r="M427" s="12"/>
      <c r="N427" s="11"/>
      <c r="O427" s="11" t="s">
        <v>2028</v>
      </c>
    </row>
    <row r="428" spans="1:15" ht="19.5" customHeight="1" x14ac:dyDescent="0.25">
      <c r="A428" s="13" t="s">
        <v>7664</v>
      </c>
      <c r="B428" s="13"/>
      <c r="C428" s="13" t="s">
        <v>7666</v>
      </c>
      <c r="D428" s="13" t="s">
        <v>1883</v>
      </c>
      <c r="E428" s="13" t="s">
        <v>7665</v>
      </c>
      <c r="F428" s="13"/>
      <c r="G428" s="13" t="s">
        <v>7664</v>
      </c>
      <c r="H428" s="13"/>
      <c r="I428" s="13" t="s">
        <v>7663</v>
      </c>
      <c r="J428" s="13" t="s">
        <v>7662</v>
      </c>
      <c r="K428" s="13" t="s">
        <v>1952</v>
      </c>
      <c r="L428" s="13"/>
      <c r="M428" s="14"/>
      <c r="N428" s="13"/>
      <c r="O428" s="13" t="s">
        <v>1945</v>
      </c>
    </row>
    <row r="429" spans="1:15" ht="19.5" customHeight="1" x14ac:dyDescent="0.25">
      <c r="A429" s="11" t="s">
        <v>1040</v>
      </c>
      <c r="B429" s="11"/>
      <c r="C429" s="11" t="s">
        <v>1039</v>
      </c>
      <c r="D429" s="11" t="s">
        <v>1883</v>
      </c>
      <c r="E429" s="11" t="s">
        <v>6313</v>
      </c>
      <c r="F429" s="11" t="s">
        <v>7661</v>
      </c>
      <c r="G429" s="11" t="s">
        <v>1040</v>
      </c>
      <c r="H429" s="11"/>
      <c r="I429" s="11" t="s">
        <v>7660</v>
      </c>
      <c r="J429" s="11" t="s">
        <v>7659</v>
      </c>
      <c r="K429" s="11" t="s">
        <v>1952</v>
      </c>
      <c r="L429" s="11"/>
      <c r="M429" s="12"/>
      <c r="N429" s="11"/>
      <c r="O429" s="11" t="s">
        <v>1945</v>
      </c>
    </row>
    <row r="430" spans="1:15" ht="19.5" customHeight="1" x14ac:dyDescent="0.25">
      <c r="A430" s="13" t="s">
        <v>7654</v>
      </c>
      <c r="B430" s="13"/>
      <c r="C430" s="13" t="s">
        <v>7658</v>
      </c>
      <c r="D430" s="13" t="s">
        <v>1883</v>
      </c>
      <c r="E430" s="13" t="s">
        <v>7656</v>
      </c>
      <c r="F430" s="13"/>
      <c r="G430" s="13" t="s">
        <v>7654</v>
      </c>
      <c r="H430" s="13"/>
      <c r="I430" s="13" t="s">
        <v>7653</v>
      </c>
      <c r="J430" s="13" t="s">
        <v>7652</v>
      </c>
      <c r="K430" s="13" t="s">
        <v>7651</v>
      </c>
      <c r="L430" s="13"/>
      <c r="M430" s="14"/>
      <c r="N430" s="13"/>
      <c r="O430" s="13" t="s">
        <v>1877</v>
      </c>
    </row>
    <row r="431" spans="1:15" ht="19.5" customHeight="1" x14ac:dyDescent="0.25">
      <c r="A431" s="11" t="s">
        <v>7654</v>
      </c>
      <c r="B431" s="11"/>
      <c r="C431" s="11" t="s">
        <v>7657</v>
      </c>
      <c r="D431" s="11" t="s">
        <v>1883</v>
      </c>
      <c r="E431" s="11" t="s">
        <v>7656</v>
      </c>
      <c r="F431" s="11" t="s">
        <v>7655</v>
      </c>
      <c r="G431" s="11" t="s">
        <v>7654</v>
      </c>
      <c r="H431" s="11"/>
      <c r="I431" s="11" t="s">
        <v>7653</v>
      </c>
      <c r="J431" s="11" t="s">
        <v>7652</v>
      </c>
      <c r="K431" s="11" t="s">
        <v>7651</v>
      </c>
      <c r="L431" s="11"/>
      <c r="M431" s="12"/>
      <c r="N431" s="11"/>
      <c r="O431" s="11" t="s">
        <v>1877</v>
      </c>
    </row>
    <row r="432" spans="1:15" ht="19.5" customHeight="1" x14ac:dyDescent="0.25">
      <c r="A432" s="13" t="s">
        <v>1328</v>
      </c>
      <c r="B432" s="13"/>
      <c r="C432" s="13" t="s">
        <v>7650</v>
      </c>
      <c r="D432" s="13" t="s">
        <v>1883</v>
      </c>
      <c r="E432" s="13" t="s">
        <v>7649</v>
      </c>
      <c r="F432" s="13" t="s">
        <v>7648</v>
      </c>
      <c r="G432" s="13" t="s">
        <v>1328</v>
      </c>
      <c r="H432" s="13"/>
      <c r="I432" s="13" t="s">
        <v>7647</v>
      </c>
      <c r="J432" s="13" t="s">
        <v>7646</v>
      </c>
      <c r="K432" s="13" t="s">
        <v>2033</v>
      </c>
      <c r="L432" s="13"/>
      <c r="M432" s="14"/>
      <c r="N432" s="13"/>
      <c r="O432" s="13" t="s">
        <v>2028</v>
      </c>
    </row>
    <row r="433" spans="1:15" ht="19.5" customHeight="1" x14ac:dyDescent="0.25">
      <c r="A433" s="11" t="s">
        <v>1304</v>
      </c>
      <c r="B433" s="11"/>
      <c r="C433" s="11" t="s">
        <v>7645</v>
      </c>
      <c r="D433" s="11" t="s">
        <v>1883</v>
      </c>
      <c r="E433" s="11" t="s">
        <v>7644</v>
      </c>
      <c r="F433" s="11"/>
      <c r="G433" s="11" t="s">
        <v>1304</v>
      </c>
      <c r="H433" s="11" t="s">
        <v>3855</v>
      </c>
      <c r="I433" s="11" t="s">
        <v>7643</v>
      </c>
      <c r="J433" s="11" t="s">
        <v>7642</v>
      </c>
      <c r="K433" s="11" t="s">
        <v>2122</v>
      </c>
      <c r="L433" s="11"/>
      <c r="M433" s="12"/>
      <c r="N433" s="11"/>
      <c r="O433" s="11" t="s">
        <v>2028</v>
      </c>
    </row>
    <row r="434" spans="1:15" ht="19.5" customHeight="1" x14ac:dyDescent="0.25">
      <c r="A434" s="13" t="s">
        <v>142</v>
      </c>
      <c r="B434" s="13"/>
      <c r="C434" s="13" t="s">
        <v>7641</v>
      </c>
      <c r="D434" s="13" t="s">
        <v>1883</v>
      </c>
      <c r="E434" s="13" t="s">
        <v>7640</v>
      </c>
      <c r="F434" s="13" t="s">
        <v>7639</v>
      </c>
      <c r="G434" s="13" t="s">
        <v>142</v>
      </c>
      <c r="H434" s="13" t="s">
        <v>7638</v>
      </c>
      <c r="I434" s="13" t="s">
        <v>7637</v>
      </c>
      <c r="J434" s="13" t="s">
        <v>7636</v>
      </c>
      <c r="K434" s="13" t="s">
        <v>3599</v>
      </c>
      <c r="L434" s="13"/>
      <c r="M434" s="14"/>
      <c r="N434" s="13"/>
      <c r="O434" s="13" t="s">
        <v>2028</v>
      </c>
    </row>
    <row r="435" spans="1:15" ht="19.5" customHeight="1" x14ac:dyDescent="0.25">
      <c r="A435" s="11" t="s">
        <v>7633</v>
      </c>
      <c r="B435" s="11"/>
      <c r="C435" s="11" t="s">
        <v>7635</v>
      </c>
      <c r="D435" s="11" t="s">
        <v>1883</v>
      </c>
      <c r="E435" s="11" t="s">
        <v>7634</v>
      </c>
      <c r="F435" s="11"/>
      <c r="G435" s="11" t="s">
        <v>7633</v>
      </c>
      <c r="H435" s="11"/>
      <c r="I435" s="11" t="s">
        <v>5191</v>
      </c>
      <c r="J435" s="11" t="s">
        <v>7629</v>
      </c>
      <c r="K435" s="11" t="s">
        <v>1952</v>
      </c>
      <c r="L435" s="11"/>
      <c r="M435" s="12"/>
      <c r="N435" s="11"/>
      <c r="O435" s="11" t="s">
        <v>2028</v>
      </c>
    </row>
    <row r="436" spans="1:15" ht="19.5" customHeight="1" x14ac:dyDescent="0.25">
      <c r="A436" s="13" t="s">
        <v>144</v>
      </c>
      <c r="B436" s="13"/>
      <c r="C436" s="13" t="s">
        <v>7632</v>
      </c>
      <c r="D436" s="13" t="s">
        <v>1883</v>
      </c>
      <c r="E436" s="13" t="s">
        <v>7631</v>
      </c>
      <c r="F436" s="13" t="s">
        <v>7630</v>
      </c>
      <c r="G436" s="13" t="s">
        <v>144</v>
      </c>
      <c r="H436" s="13"/>
      <c r="I436" s="13" t="s">
        <v>5476</v>
      </c>
      <c r="J436" s="13" t="s">
        <v>7629</v>
      </c>
      <c r="K436" s="13" t="s">
        <v>2122</v>
      </c>
      <c r="L436" s="13"/>
      <c r="M436" s="14"/>
      <c r="N436" s="13"/>
      <c r="O436" s="13" t="s">
        <v>2028</v>
      </c>
    </row>
    <row r="437" spans="1:15" ht="19.5" customHeight="1" x14ac:dyDescent="0.25">
      <c r="A437" s="11" t="s">
        <v>8912</v>
      </c>
      <c r="B437" s="11"/>
      <c r="C437" s="11" t="s">
        <v>8911</v>
      </c>
      <c r="D437" s="11" t="s">
        <v>1883</v>
      </c>
      <c r="E437" s="11" t="s">
        <v>8915</v>
      </c>
      <c r="F437" s="11"/>
      <c r="G437" s="11" t="s">
        <v>8912</v>
      </c>
      <c r="H437" s="11"/>
      <c r="I437" s="11" t="s">
        <v>8916</v>
      </c>
      <c r="J437" s="11" t="s">
        <v>8917</v>
      </c>
      <c r="K437" s="11" t="s">
        <v>2033</v>
      </c>
      <c r="L437" s="11"/>
      <c r="M437" s="12"/>
      <c r="N437" s="11"/>
      <c r="O437" s="11" t="s">
        <v>2028</v>
      </c>
    </row>
    <row r="438" spans="1:15" ht="19.5" customHeight="1" x14ac:dyDescent="0.25">
      <c r="A438" s="13" t="s">
        <v>1259</v>
      </c>
      <c r="B438" s="13"/>
      <c r="C438" s="13" t="s">
        <v>7628</v>
      </c>
      <c r="D438" s="13" t="s">
        <v>1883</v>
      </c>
      <c r="E438" s="13" t="s">
        <v>7627</v>
      </c>
      <c r="F438" s="13"/>
      <c r="G438" s="13" t="s">
        <v>1259</v>
      </c>
      <c r="H438" s="13"/>
      <c r="I438" s="13" t="s">
        <v>7626</v>
      </c>
      <c r="J438" s="13" t="s">
        <v>7621</v>
      </c>
      <c r="K438" s="13" t="s">
        <v>1952</v>
      </c>
      <c r="L438" s="13"/>
      <c r="M438" s="14"/>
      <c r="N438" s="13"/>
      <c r="O438" s="13" t="s">
        <v>2028</v>
      </c>
    </row>
    <row r="439" spans="1:15" ht="19.5" customHeight="1" x14ac:dyDescent="0.25">
      <c r="A439" s="11" t="s">
        <v>7623</v>
      </c>
      <c r="B439" s="11"/>
      <c r="C439" s="11" t="s">
        <v>7625</v>
      </c>
      <c r="D439" s="11" t="s">
        <v>1883</v>
      </c>
      <c r="E439" s="11" t="s">
        <v>7624</v>
      </c>
      <c r="F439" s="11"/>
      <c r="G439" s="11" t="s">
        <v>7623</v>
      </c>
      <c r="H439" s="11"/>
      <c r="I439" s="11" t="s">
        <v>7622</v>
      </c>
      <c r="J439" s="11" t="s">
        <v>7621</v>
      </c>
      <c r="K439" s="11" t="s">
        <v>1952</v>
      </c>
      <c r="L439" s="11"/>
      <c r="M439" s="12"/>
      <c r="N439" s="11"/>
      <c r="O439" s="11" t="s">
        <v>2028</v>
      </c>
    </row>
    <row r="440" spans="1:15" ht="19.5" customHeight="1" x14ac:dyDescent="0.25">
      <c r="A440" s="13" t="s">
        <v>146</v>
      </c>
      <c r="B440" s="13"/>
      <c r="C440" s="13" t="s">
        <v>7620</v>
      </c>
      <c r="D440" s="13" t="s">
        <v>1883</v>
      </c>
      <c r="E440" s="13" t="s">
        <v>7616</v>
      </c>
      <c r="F440" s="13"/>
      <c r="G440" s="13" t="s">
        <v>146</v>
      </c>
      <c r="H440" s="13"/>
      <c r="I440" s="13"/>
      <c r="J440" s="13"/>
      <c r="K440" s="13"/>
      <c r="L440" s="13"/>
      <c r="M440" s="14"/>
      <c r="N440" s="13"/>
      <c r="O440" s="13" t="s">
        <v>1916</v>
      </c>
    </row>
    <row r="441" spans="1:15" ht="19.5" customHeight="1" x14ac:dyDescent="0.25">
      <c r="A441" s="11" t="s">
        <v>146</v>
      </c>
      <c r="B441" s="11"/>
      <c r="C441" s="11" t="s">
        <v>7619</v>
      </c>
      <c r="D441" s="11" t="s">
        <v>1883</v>
      </c>
      <c r="E441" s="11" t="s">
        <v>7616</v>
      </c>
      <c r="F441" s="11" t="s">
        <v>7615</v>
      </c>
      <c r="G441" s="11" t="s">
        <v>146</v>
      </c>
      <c r="H441" s="11"/>
      <c r="I441" s="11" t="s">
        <v>7614</v>
      </c>
      <c r="J441" s="11" t="s">
        <v>7613</v>
      </c>
      <c r="K441" s="11" t="s">
        <v>1952</v>
      </c>
      <c r="L441" s="11"/>
      <c r="M441" s="12"/>
      <c r="N441" s="11"/>
      <c r="O441" s="11" t="s">
        <v>2028</v>
      </c>
    </row>
    <row r="442" spans="1:15" ht="19.5" customHeight="1" x14ac:dyDescent="0.25">
      <c r="A442" s="13" t="s">
        <v>146</v>
      </c>
      <c r="B442" s="13"/>
      <c r="C442" s="13" t="s">
        <v>7618</v>
      </c>
      <c r="D442" s="13" t="s">
        <v>1883</v>
      </c>
      <c r="E442" s="13" t="s">
        <v>7616</v>
      </c>
      <c r="F442" s="13" t="s">
        <v>7615</v>
      </c>
      <c r="G442" s="13" t="s">
        <v>146</v>
      </c>
      <c r="H442" s="13"/>
      <c r="I442" s="13" t="s">
        <v>7614</v>
      </c>
      <c r="J442" s="13" t="s">
        <v>7613</v>
      </c>
      <c r="K442" s="13" t="s">
        <v>1952</v>
      </c>
      <c r="L442" s="13"/>
      <c r="M442" s="14"/>
      <c r="N442" s="13"/>
      <c r="O442" s="13" t="s">
        <v>2028</v>
      </c>
    </row>
    <row r="443" spans="1:15" ht="19.5" customHeight="1" x14ac:dyDescent="0.25">
      <c r="A443" s="11" t="s">
        <v>146</v>
      </c>
      <c r="B443" s="11"/>
      <c r="C443" s="11" t="s">
        <v>7617</v>
      </c>
      <c r="D443" s="11" t="s">
        <v>1883</v>
      </c>
      <c r="E443" s="11" t="s">
        <v>7616</v>
      </c>
      <c r="F443" s="11" t="s">
        <v>7615</v>
      </c>
      <c r="G443" s="11" t="s">
        <v>146</v>
      </c>
      <c r="H443" s="11"/>
      <c r="I443" s="11" t="s">
        <v>7614</v>
      </c>
      <c r="J443" s="11" t="s">
        <v>7613</v>
      </c>
      <c r="K443" s="11" t="s">
        <v>1952</v>
      </c>
      <c r="L443" s="11"/>
      <c r="M443" s="12"/>
      <c r="N443" s="11"/>
      <c r="O443" s="11" t="s">
        <v>2028</v>
      </c>
    </row>
    <row r="444" spans="1:15" ht="19.5" customHeight="1" x14ac:dyDescent="0.25">
      <c r="A444" s="13" t="s">
        <v>1108</v>
      </c>
      <c r="B444" s="13"/>
      <c r="C444" s="13" t="s">
        <v>7612</v>
      </c>
      <c r="D444" s="13" t="s">
        <v>1883</v>
      </c>
      <c r="E444" s="13" t="s">
        <v>7609</v>
      </c>
      <c r="F444" s="13"/>
      <c r="G444" s="13" t="s">
        <v>1108</v>
      </c>
      <c r="H444" s="13"/>
      <c r="I444" s="13" t="s">
        <v>7611</v>
      </c>
      <c r="J444" s="13" t="s">
        <v>7607</v>
      </c>
      <c r="K444" s="13" t="s">
        <v>2033</v>
      </c>
      <c r="L444" s="13"/>
      <c r="M444" s="14"/>
      <c r="N444" s="13"/>
      <c r="O444" s="13" t="s">
        <v>2028</v>
      </c>
    </row>
    <row r="445" spans="1:15" ht="19.5" customHeight="1" x14ac:dyDescent="0.25">
      <c r="A445" s="11" t="s">
        <v>1108</v>
      </c>
      <c r="B445" s="11"/>
      <c r="C445" s="11" t="s">
        <v>7610</v>
      </c>
      <c r="D445" s="11" t="s">
        <v>1883</v>
      </c>
      <c r="E445" s="11" t="s">
        <v>7609</v>
      </c>
      <c r="F445" s="11"/>
      <c r="G445" s="11" t="s">
        <v>1108</v>
      </c>
      <c r="H445" s="11"/>
      <c r="I445" s="11" t="s">
        <v>7608</v>
      </c>
      <c r="J445" s="11" t="s">
        <v>7607</v>
      </c>
      <c r="K445" s="11" t="s">
        <v>2033</v>
      </c>
      <c r="L445" s="11"/>
      <c r="M445" s="12"/>
      <c r="N445" s="11"/>
      <c r="O445" s="11" t="s">
        <v>2028</v>
      </c>
    </row>
    <row r="446" spans="1:15" ht="19.5" customHeight="1" x14ac:dyDescent="0.25">
      <c r="A446" s="13" t="s">
        <v>1320</v>
      </c>
      <c r="B446" s="13"/>
      <c r="C446" s="13" t="s">
        <v>7606</v>
      </c>
      <c r="D446" s="13" t="s">
        <v>1883</v>
      </c>
      <c r="E446" s="13" t="s">
        <v>8937</v>
      </c>
      <c r="F446" s="13" t="s">
        <v>7605</v>
      </c>
      <c r="G446" s="13" t="s">
        <v>1320</v>
      </c>
      <c r="H446" s="13"/>
      <c r="I446" s="13" t="s">
        <v>7604</v>
      </c>
      <c r="J446" s="13" t="s">
        <v>7603</v>
      </c>
      <c r="K446" s="13" t="s">
        <v>2033</v>
      </c>
      <c r="L446" s="13"/>
      <c r="M446" s="14"/>
      <c r="N446" s="13"/>
      <c r="O446" s="13" t="s">
        <v>2028</v>
      </c>
    </row>
    <row r="447" spans="1:15" ht="19.5" customHeight="1" x14ac:dyDescent="0.25">
      <c r="A447" s="11" t="s">
        <v>148</v>
      </c>
      <c r="B447" s="11"/>
      <c r="C447" s="11" t="s">
        <v>7602</v>
      </c>
      <c r="D447" s="11" t="s">
        <v>1883</v>
      </c>
      <c r="E447" s="11" t="s">
        <v>7601</v>
      </c>
      <c r="F447" s="11"/>
      <c r="G447" s="11" t="s">
        <v>148</v>
      </c>
      <c r="H447" s="11" t="s">
        <v>7600</v>
      </c>
      <c r="I447" s="11"/>
      <c r="J447" s="11"/>
      <c r="K447" s="11"/>
      <c r="L447" s="11"/>
      <c r="M447" s="12"/>
      <c r="N447" s="11"/>
      <c r="O447" s="11" t="s">
        <v>2028</v>
      </c>
    </row>
    <row r="448" spans="1:15" ht="19.5" customHeight="1" x14ac:dyDescent="0.25">
      <c r="A448" s="13" t="s">
        <v>1724</v>
      </c>
      <c r="B448" s="13"/>
      <c r="C448" s="13" t="s">
        <v>7599</v>
      </c>
      <c r="D448" s="13" t="s">
        <v>1883</v>
      </c>
      <c r="E448" s="13" t="s">
        <v>7598</v>
      </c>
      <c r="F448" s="13"/>
      <c r="G448" s="13" t="s">
        <v>1724</v>
      </c>
      <c r="H448" s="13"/>
      <c r="I448" s="13" t="s">
        <v>5561</v>
      </c>
      <c r="J448" s="13" t="s">
        <v>7597</v>
      </c>
      <c r="K448" s="13" t="s">
        <v>2033</v>
      </c>
      <c r="L448" s="13"/>
      <c r="M448" s="14"/>
      <c r="N448" s="13"/>
      <c r="O448" s="13" t="s">
        <v>2028</v>
      </c>
    </row>
    <row r="449" spans="1:15" ht="19.5" customHeight="1" x14ac:dyDescent="0.25">
      <c r="A449" s="11" t="s">
        <v>1498</v>
      </c>
      <c r="B449" s="11"/>
      <c r="C449" s="11" t="s">
        <v>7596</v>
      </c>
      <c r="D449" s="11" t="s">
        <v>1883</v>
      </c>
      <c r="E449" s="11" t="s">
        <v>7595</v>
      </c>
      <c r="F449" s="11"/>
      <c r="G449" s="11" t="s">
        <v>1498</v>
      </c>
      <c r="H449" s="11"/>
      <c r="I449" s="11" t="s">
        <v>7594</v>
      </c>
      <c r="J449" s="11" t="s">
        <v>7593</v>
      </c>
      <c r="K449" s="11" t="s">
        <v>1952</v>
      </c>
      <c r="L449" s="11"/>
      <c r="M449" s="12"/>
      <c r="N449" s="11"/>
      <c r="O449" s="11" t="s">
        <v>2028</v>
      </c>
    </row>
    <row r="450" spans="1:15" ht="19.5" customHeight="1" x14ac:dyDescent="0.25">
      <c r="A450" s="13" t="s">
        <v>150</v>
      </c>
      <c r="B450" s="13"/>
      <c r="C450" s="13" t="s">
        <v>7592</v>
      </c>
      <c r="D450" s="13" t="s">
        <v>1883</v>
      </c>
      <c r="E450" s="13" t="s">
        <v>7589</v>
      </c>
      <c r="F450" s="13" t="s">
        <v>7588</v>
      </c>
      <c r="G450" s="13" t="s">
        <v>150</v>
      </c>
      <c r="H450" s="13" t="s">
        <v>7587</v>
      </c>
      <c r="I450" s="13" t="s">
        <v>7586</v>
      </c>
      <c r="J450" s="13" t="s">
        <v>7585</v>
      </c>
      <c r="K450" s="13" t="s">
        <v>1952</v>
      </c>
      <c r="L450" s="13"/>
      <c r="M450" s="14"/>
      <c r="N450" s="13"/>
      <c r="O450" s="13" t="s">
        <v>2028</v>
      </c>
    </row>
    <row r="451" spans="1:15" ht="19.5" customHeight="1" x14ac:dyDescent="0.25">
      <c r="A451" s="11" t="s">
        <v>150</v>
      </c>
      <c r="B451" s="11"/>
      <c r="C451" s="11" t="s">
        <v>7591</v>
      </c>
      <c r="D451" s="11" t="s">
        <v>1883</v>
      </c>
      <c r="E451" s="11" t="s">
        <v>7589</v>
      </c>
      <c r="F451" s="11" t="s">
        <v>7588</v>
      </c>
      <c r="G451" s="11" t="s">
        <v>150</v>
      </c>
      <c r="H451" s="11" t="s">
        <v>7587</v>
      </c>
      <c r="I451" s="11" t="s">
        <v>7586</v>
      </c>
      <c r="J451" s="11" t="s">
        <v>7585</v>
      </c>
      <c r="K451" s="11" t="s">
        <v>1952</v>
      </c>
      <c r="L451" s="11"/>
      <c r="M451" s="12"/>
      <c r="N451" s="11"/>
      <c r="O451" s="11" t="s">
        <v>2028</v>
      </c>
    </row>
    <row r="452" spans="1:15" ht="19.5" customHeight="1" x14ac:dyDescent="0.25">
      <c r="A452" s="13" t="s">
        <v>150</v>
      </c>
      <c r="B452" s="13"/>
      <c r="C452" s="13" t="s">
        <v>7590</v>
      </c>
      <c r="D452" s="13" t="s">
        <v>1883</v>
      </c>
      <c r="E452" s="13" t="s">
        <v>7589</v>
      </c>
      <c r="F452" s="13" t="s">
        <v>7588</v>
      </c>
      <c r="G452" s="13" t="s">
        <v>150</v>
      </c>
      <c r="H452" s="13" t="s">
        <v>7587</v>
      </c>
      <c r="I452" s="13" t="s">
        <v>7586</v>
      </c>
      <c r="J452" s="13" t="s">
        <v>7585</v>
      </c>
      <c r="K452" s="13" t="s">
        <v>1952</v>
      </c>
      <c r="L452" s="13"/>
      <c r="M452" s="14"/>
      <c r="N452" s="13"/>
      <c r="O452" s="13" t="s">
        <v>2028</v>
      </c>
    </row>
    <row r="453" spans="1:15" ht="19.5" customHeight="1" x14ac:dyDescent="0.25">
      <c r="A453" s="11" t="s">
        <v>152</v>
      </c>
      <c r="B453" s="11"/>
      <c r="C453" s="11" t="s">
        <v>7584</v>
      </c>
      <c r="D453" s="11" t="s">
        <v>1883</v>
      </c>
      <c r="E453" s="11" t="s">
        <v>7581</v>
      </c>
      <c r="F453" s="11"/>
      <c r="G453" s="11" t="s">
        <v>152</v>
      </c>
      <c r="H453" s="11" t="s">
        <v>7580</v>
      </c>
      <c r="I453" s="11" t="s">
        <v>7579</v>
      </c>
      <c r="J453" s="11" t="s">
        <v>7578</v>
      </c>
      <c r="K453" s="11" t="s">
        <v>3599</v>
      </c>
      <c r="L453" s="11"/>
      <c r="M453" s="12"/>
      <c r="N453" s="11"/>
      <c r="O453" s="11" t="s">
        <v>2028</v>
      </c>
    </row>
    <row r="454" spans="1:15" ht="19.5" customHeight="1" x14ac:dyDescent="0.25">
      <c r="A454" s="13" t="s">
        <v>152</v>
      </c>
      <c r="B454" s="13"/>
      <c r="C454" s="13" t="s">
        <v>7583</v>
      </c>
      <c r="D454" s="13" t="s">
        <v>1883</v>
      </c>
      <c r="E454" s="13" t="s">
        <v>7581</v>
      </c>
      <c r="F454" s="13"/>
      <c r="G454" s="13" t="s">
        <v>152</v>
      </c>
      <c r="H454" s="13" t="s">
        <v>7580</v>
      </c>
      <c r="I454" s="13" t="s">
        <v>7579</v>
      </c>
      <c r="J454" s="13" t="s">
        <v>7578</v>
      </c>
      <c r="K454" s="13" t="s">
        <v>3599</v>
      </c>
      <c r="L454" s="13"/>
      <c r="M454" s="14"/>
      <c r="N454" s="13"/>
      <c r="O454" s="13" t="s">
        <v>2028</v>
      </c>
    </row>
    <row r="455" spans="1:15" ht="19.5" customHeight="1" x14ac:dyDescent="0.25">
      <c r="A455" s="11" t="s">
        <v>152</v>
      </c>
      <c r="B455" s="11"/>
      <c r="C455" s="11" t="s">
        <v>7582</v>
      </c>
      <c r="D455" s="11" t="s">
        <v>1883</v>
      </c>
      <c r="E455" s="11" t="s">
        <v>7581</v>
      </c>
      <c r="F455" s="11"/>
      <c r="G455" s="11" t="s">
        <v>152</v>
      </c>
      <c r="H455" s="11" t="s">
        <v>7580</v>
      </c>
      <c r="I455" s="11" t="s">
        <v>7579</v>
      </c>
      <c r="J455" s="11" t="s">
        <v>7578</v>
      </c>
      <c r="K455" s="11" t="s">
        <v>3599</v>
      </c>
      <c r="L455" s="11"/>
      <c r="M455" s="12"/>
      <c r="N455" s="11"/>
      <c r="O455" s="11" t="s">
        <v>2028</v>
      </c>
    </row>
    <row r="456" spans="1:15" ht="19.5" customHeight="1" x14ac:dyDescent="0.25">
      <c r="A456" s="13" t="s">
        <v>7574</v>
      </c>
      <c r="B456" s="13"/>
      <c r="C456" s="13" t="s">
        <v>7577</v>
      </c>
      <c r="D456" s="13" t="s">
        <v>1883</v>
      </c>
      <c r="E456" s="13" t="s">
        <v>7576</v>
      </c>
      <c r="F456" s="13" t="s">
        <v>7575</v>
      </c>
      <c r="G456" s="13" t="s">
        <v>7574</v>
      </c>
      <c r="H456" s="13"/>
      <c r="I456" s="13" t="s">
        <v>1997</v>
      </c>
      <c r="J456" s="13" t="s">
        <v>7573</v>
      </c>
      <c r="K456" s="13" t="s">
        <v>1952</v>
      </c>
      <c r="L456" s="13"/>
      <c r="M456" s="14"/>
      <c r="N456" s="13"/>
      <c r="O456" s="13" t="s">
        <v>1945</v>
      </c>
    </row>
    <row r="457" spans="1:15" ht="19.5" customHeight="1" x14ac:dyDescent="0.25">
      <c r="A457" s="11" t="s">
        <v>154</v>
      </c>
      <c r="B457" s="11"/>
      <c r="C457" s="11" t="s">
        <v>7572</v>
      </c>
      <c r="D457" s="11" t="s">
        <v>1883</v>
      </c>
      <c r="E457" s="11" t="s">
        <v>7569</v>
      </c>
      <c r="F457" s="11" t="s">
        <v>7173</v>
      </c>
      <c r="G457" s="11" t="s">
        <v>154</v>
      </c>
      <c r="H457" s="11"/>
      <c r="I457" s="11" t="s">
        <v>7568</v>
      </c>
      <c r="J457" s="11" t="s">
        <v>7567</v>
      </c>
      <c r="K457" s="11" t="s">
        <v>1952</v>
      </c>
      <c r="L457" s="11"/>
      <c r="M457" s="12"/>
      <c r="N457" s="11"/>
      <c r="O457" s="11" t="s">
        <v>2028</v>
      </c>
    </row>
    <row r="458" spans="1:15" ht="19.5" customHeight="1" x14ac:dyDescent="0.25">
      <c r="A458" s="13" t="s">
        <v>154</v>
      </c>
      <c r="B458" s="13"/>
      <c r="C458" s="13" t="s">
        <v>7571</v>
      </c>
      <c r="D458" s="13" t="s">
        <v>1883</v>
      </c>
      <c r="E458" s="13" t="s">
        <v>7569</v>
      </c>
      <c r="F458" s="13" t="s">
        <v>7173</v>
      </c>
      <c r="G458" s="13" t="s">
        <v>154</v>
      </c>
      <c r="H458" s="13"/>
      <c r="I458" s="13" t="s">
        <v>7568</v>
      </c>
      <c r="J458" s="13" t="s">
        <v>7567</v>
      </c>
      <c r="K458" s="13" t="s">
        <v>1952</v>
      </c>
      <c r="L458" s="13"/>
      <c r="M458" s="14"/>
      <c r="N458" s="13"/>
      <c r="O458" s="13" t="s">
        <v>2028</v>
      </c>
    </row>
    <row r="459" spans="1:15" ht="19.5" customHeight="1" x14ac:dyDescent="0.25">
      <c r="A459" s="11" t="s">
        <v>154</v>
      </c>
      <c r="B459" s="11"/>
      <c r="C459" s="11" t="s">
        <v>7570</v>
      </c>
      <c r="D459" s="11" t="s">
        <v>1883</v>
      </c>
      <c r="E459" s="11" t="s">
        <v>7569</v>
      </c>
      <c r="F459" s="11" t="s">
        <v>7173</v>
      </c>
      <c r="G459" s="11" t="s">
        <v>154</v>
      </c>
      <c r="H459" s="11"/>
      <c r="I459" s="11" t="s">
        <v>7568</v>
      </c>
      <c r="J459" s="11" t="s">
        <v>7567</v>
      </c>
      <c r="K459" s="11" t="s">
        <v>1952</v>
      </c>
      <c r="L459" s="11"/>
      <c r="M459" s="12"/>
      <c r="N459" s="11"/>
      <c r="O459" s="11" t="s">
        <v>2028</v>
      </c>
    </row>
    <row r="460" spans="1:15" ht="19.5" customHeight="1" x14ac:dyDescent="0.25">
      <c r="A460" s="13" t="s">
        <v>8873</v>
      </c>
      <c r="B460" s="13"/>
      <c r="C460" s="13" t="s">
        <v>8872</v>
      </c>
      <c r="D460" s="13" t="s">
        <v>1883</v>
      </c>
      <c r="E460" s="13" t="s">
        <v>8878</v>
      </c>
      <c r="F460" s="13" t="s">
        <v>8879</v>
      </c>
      <c r="G460" s="13" t="s">
        <v>8873</v>
      </c>
      <c r="H460" s="13"/>
      <c r="I460" s="13" t="s">
        <v>8880</v>
      </c>
      <c r="J460" s="13" t="s">
        <v>8881</v>
      </c>
      <c r="K460" s="13" t="s">
        <v>1952</v>
      </c>
      <c r="L460" s="13"/>
      <c r="M460" s="14"/>
      <c r="N460" s="13"/>
      <c r="O460" s="13" t="s">
        <v>2028</v>
      </c>
    </row>
    <row r="461" spans="1:15" ht="19.5" customHeight="1" x14ac:dyDescent="0.25">
      <c r="A461" s="11" t="s">
        <v>7564</v>
      </c>
      <c r="B461" s="11"/>
      <c r="C461" s="11" t="s">
        <v>7566</v>
      </c>
      <c r="D461" s="11" t="s">
        <v>1883</v>
      </c>
      <c r="E461" s="11" t="s">
        <v>7565</v>
      </c>
      <c r="F461" s="11"/>
      <c r="G461" s="11" t="s">
        <v>7564</v>
      </c>
      <c r="H461" s="11"/>
      <c r="I461" s="11" t="s">
        <v>7563</v>
      </c>
      <c r="J461" s="11" t="s">
        <v>7562</v>
      </c>
      <c r="K461" s="11" t="s">
        <v>1952</v>
      </c>
      <c r="L461" s="11"/>
      <c r="M461" s="12"/>
      <c r="N461" s="11"/>
      <c r="O461" s="11" t="s">
        <v>1945</v>
      </c>
    </row>
    <row r="462" spans="1:15" ht="19.5" customHeight="1" x14ac:dyDescent="0.25">
      <c r="A462" s="13" t="s">
        <v>1346</v>
      </c>
      <c r="B462" s="13"/>
      <c r="C462" s="13" t="s">
        <v>7561</v>
      </c>
      <c r="D462" s="13" t="s">
        <v>1883</v>
      </c>
      <c r="E462" s="13" t="s">
        <v>7559</v>
      </c>
      <c r="F462" s="13" t="s">
        <v>7558</v>
      </c>
      <c r="G462" s="13" t="s">
        <v>1346</v>
      </c>
      <c r="H462" s="13"/>
      <c r="I462" s="13" t="s">
        <v>7557</v>
      </c>
      <c r="J462" s="13" t="s">
        <v>7556</v>
      </c>
      <c r="K462" s="13" t="s">
        <v>2033</v>
      </c>
      <c r="L462" s="13"/>
      <c r="M462" s="14"/>
      <c r="N462" s="13"/>
      <c r="O462" s="13" t="s">
        <v>2028</v>
      </c>
    </row>
    <row r="463" spans="1:15" ht="19.5" customHeight="1" x14ac:dyDescent="0.25">
      <c r="A463" s="11" t="s">
        <v>1346</v>
      </c>
      <c r="B463" s="11"/>
      <c r="C463" s="11" t="s">
        <v>7560</v>
      </c>
      <c r="D463" s="11" t="s">
        <v>1883</v>
      </c>
      <c r="E463" s="11" t="s">
        <v>7559</v>
      </c>
      <c r="F463" s="11" t="s">
        <v>7558</v>
      </c>
      <c r="G463" s="11" t="s">
        <v>1346</v>
      </c>
      <c r="H463" s="11"/>
      <c r="I463" s="11" t="s">
        <v>7557</v>
      </c>
      <c r="J463" s="11" t="s">
        <v>7556</v>
      </c>
      <c r="K463" s="11" t="s">
        <v>2033</v>
      </c>
      <c r="L463" s="11"/>
      <c r="M463" s="12"/>
      <c r="N463" s="11"/>
      <c r="O463" s="11" t="s">
        <v>2028</v>
      </c>
    </row>
    <row r="464" spans="1:15" ht="19.5" customHeight="1" x14ac:dyDescent="0.25">
      <c r="A464" s="13" t="s">
        <v>156</v>
      </c>
      <c r="B464" s="13"/>
      <c r="C464" s="13" t="s">
        <v>7555</v>
      </c>
      <c r="D464" s="13" t="s">
        <v>1883</v>
      </c>
      <c r="E464" s="13" t="s">
        <v>7554</v>
      </c>
      <c r="F464" s="13" t="s">
        <v>7550</v>
      </c>
      <c r="G464" s="13" t="s">
        <v>156</v>
      </c>
      <c r="H464" s="13"/>
      <c r="I464" s="13" t="s">
        <v>7553</v>
      </c>
      <c r="J464" s="13" t="s">
        <v>7547</v>
      </c>
      <c r="K464" s="13" t="s">
        <v>1952</v>
      </c>
      <c r="L464" s="13"/>
      <c r="M464" s="14"/>
      <c r="N464" s="13"/>
      <c r="O464" s="13" t="s">
        <v>2028</v>
      </c>
    </row>
    <row r="465" spans="1:15" ht="19.5" customHeight="1" x14ac:dyDescent="0.25">
      <c r="A465" s="11" t="s">
        <v>156</v>
      </c>
      <c r="B465" s="11"/>
      <c r="C465" s="11" t="s">
        <v>7552</v>
      </c>
      <c r="D465" s="11" t="s">
        <v>1883</v>
      </c>
      <c r="E465" s="11" t="s">
        <v>7551</v>
      </c>
      <c r="F465" s="11" t="s">
        <v>7550</v>
      </c>
      <c r="G465" s="11" t="s">
        <v>156</v>
      </c>
      <c r="H465" s="11" t="s">
        <v>7549</v>
      </c>
      <c r="I465" s="11" t="s">
        <v>7548</v>
      </c>
      <c r="J465" s="11" t="s">
        <v>7547</v>
      </c>
      <c r="K465" s="11" t="s">
        <v>1952</v>
      </c>
      <c r="L465" s="11"/>
      <c r="M465" s="12"/>
      <c r="N465" s="11"/>
      <c r="O465" s="11" t="s">
        <v>2028</v>
      </c>
    </row>
    <row r="466" spans="1:15" ht="19.5" customHeight="1" x14ac:dyDescent="0.25">
      <c r="A466" s="13" t="s">
        <v>7544</v>
      </c>
      <c r="B466" s="13"/>
      <c r="C466" s="13" t="s">
        <v>7546</v>
      </c>
      <c r="D466" s="13" t="s">
        <v>1883</v>
      </c>
      <c r="E466" s="13" t="s">
        <v>7545</v>
      </c>
      <c r="F466" s="13"/>
      <c r="G466" s="13" t="s">
        <v>7544</v>
      </c>
      <c r="H466" s="13"/>
      <c r="I466" s="13" t="s">
        <v>7543</v>
      </c>
      <c r="J466" s="13" t="s">
        <v>7542</v>
      </c>
      <c r="K466" s="13" t="s">
        <v>2033</v>
      </c>
      <c r="L466" s="13"/>
      <c r="M466" s="14"/>
      <c r="N466" s="13"/>
      <c r="O466" s="13" t="s">
        <v>2028</v>
      </c>
    </row>
    <row r="467" spans="1:15" ht="19.5" customHeight="1" x14ac:dyDescent="0.25">
      <c r="A467" s="11" t="s">
        <v>8847</v>
      </c>
      <c r="B467" s="11"/>
      <c r="C467" s="11" t="s">
        <v>8846</v>
      </c>
      <c r="D467" s="11" t="s">
        <v>1883</v>
      </c>
      <c r="E467" s="11" t="s">
        <v>8855</v>
      </c>
      <c r="F467" s="11" t="s">
        <v>8856</v>
      </c>
      <c r="G467" s="11" t="s">
        <v>8847</v>
      </c>
      <c r="H467" s="11"/>
      <c r="I467" s="11" t="s">
        <v>8857</v>
      </c>
      <c r="J467" s="11" t="s">
        <v>8858</v>
      </c>
      <c r="K467" s="11" t="s">
        <v>2033</v>
      </c>
      <c r="L467" s="11"/>
      <c r="M467" s="12"/>
      <c r="N467" s="11"/>
      <c r="O467" s="11" t="s">
        <v>1877</v>
      </c>
    </row>
    <row r="468" spans="1:15" ht="19.5" customHeight="1" x14ac:dyDescent="0.25">
      <c r="A468" s="13" t="s">
        <v>158</v>
      </c>
      <c r="B468" s="13"/>
      <c r="C468" s="13" t="s">
        <v>7541</v>
      </c>
      <c r="D468" s="13" t="s">
        <v>1883</v>
      </c>
      <c r="E468" s="13" t="s">
        <v>7540</v>
      </c>
      <c r="F468" s="13" t="s">
        <v>7539</v>
      </c>
      <c r="G468" s="13" t="s">
        <v>158</v>
      </c>
      <c r="H468" s="13" t="s">
        <v>7538</v>
      </c>
      <c r="I468" s="13" t="s">
        <v>8801</v>
      </c>
      <c r="J468" s="13" t="s">
        <v>7537</v>
      </c>
      <c r="K468" s="13" t="s">
        <v>2033</v>
      </c>
      <c r="L468" s="13"/>
      <c r="M468" s="14"/>
      <c r="N468" s="13"/>
      <c r="O468" s="13" t="s">
        <v>2028</v>
      </c>
    </row>
    <row r="469" spans="1:15" ht="19.5" customHeight="1" x14ac:dyDescent="0.25">
      <c r="A469" s="11" t="s">
        <v>7534</v>
      </c>
      <c r="B469" s="11"/>
      <c r="C469" s="11" t="s">
        <v>7536</v>
      </c>
      <c r="D469" s="11" t="s">
        <v>1883</v>
      </c>
      <c r="E469" s="11" t="s">
        <v>7535</v>
      </c>
      <c r="F469" s="11"/>
      <c r="G469" s="11" t="s">
        <v>7534</v>
      </c>
      <c r="H469" s="11"/>
      <c r="I469" s="11" t="s">
        <v>7533</v>
      </c>
      <c r="J469" s="11" t="s">
        <v>7532</v>
      </c>
      <c r="K469" s="11" t="s">
        <v>2033</v>
      </c>
      <c r="L469" s="11"/>
      <c r="M469" s="12"/>
      <c r="N469" s="11"/>
      <c r="O469" s="11" t="s">
        <v>2028</v>
      </c>
    </row>
    <row r="470" spans="1:15" ht="19.5" customHeight="1" x14ac:dyDescent="0.25">
      <c r="A470" s="13" t="s">
        <v>160</v>
      </c>
      <c r="B470" s="13"/>
      <c r="C470" s="13" t="s">
        <v>7531</v>
      </c>
      <c r="D470" s="13" t="s">
        <v>1883</v>
      </c>
      <c r="E470" s="13" t="s">
        <v>7528</v>
      </c>
      <c r="F470" s="13" t="s">
        <v>7527</v>
      </c>
      <c r="G470" s="13" t="s">
        <v>160</v>
      </c>
      <c r="H470" s="13"/>
      <c r="I470" s="13" t="s">
        <v>7526</v>
      </c>
      <c r="J470" s="13" t="s">
        <v>7525</v>
      </c>
      <c r="K470" s="13" t="s">
        <v>2033</v>
      </c>
      <c r="L470" s="13"/>
      <c r="M470" s="14"/>
      <c r="N470" s="13"/>
      <c r="O470" s="13" t="s">
        <v>2028</v>
      </c>
    </row>
    <row r="471" spans="1:15" ht="19.5" customHeight="1" x14ac:dyDescent="0.25">
      <c r="A471" s="11" t="s">
        <v>160</v>
      </c>
      <c r="B471" s="11"/>
      <c r="C471" s="11" t="s">
        <v>7530</v>
      </c>
      <c r="D471" s="11" t="s">
        <v>1883</v>
      </c>
      <c r="E471" s="11" t="s">
        <v>7528</v>
      </c>
      <c r="F471" s="11" t="s">
        <v>7527</v>
      </c>
      <c r="G471" s="11" t="s">
        <v>160</v>
      </c>
      <c r="H471" s="11"/>
      <c r="I471" s="11" t="s">
        <v>7526</v>
      </c>
      <c r="J471" s="11" t="s">
        <v>7525</v>
      </c>
      <c r="K471" s="11" t="s">
        <v>2033</v>
      </c>
      <c r="L471" s="11"/>
      <c r="M471" s="12"/>
      <c r="N471" s="11"/>
      <c r="O471" s="11" t="s">
        <v>2028</v>
      </c>
    </row>
    <row r="472" spans="1:15" ht="19.5" customHeight="1" x14ac:dyDescent="0.25">
      <c r="A472" s="13" t="s">
        <v>160</v>
      </c>
      <c r="B472" s="13"/>
      <c r="C472" s="13" t="s">
        <v>7529</v>
      </c>
      <c r="D472" s="13" t="s">
        <v>1883</v>
      </c>
      <c r="E472" s="13" t="s">
        <v>7528</v>
      </c>
      <c r="F472" s="13" t="s">
        <v>7527</v>
      </c>
      <c r="G472" s="13" t="s">
        <v>160</v>
      </c>
      <c r="H472" s="13"/>
      <c r="I472" s="13" t="s">
        <v>7526</v>
      </c>
      <c r="J472" s="13" t="s">
        <v>7525</v>
      </c>
      <c r="K472" s="13" t="s">
        <v>2033</v>
      </c>
      <c r="L472" s="13"/>
      <c r="M472" s="14"/>
      <c r="N472" s="13"/>
      <c r="O472" s="13" t="s">
        <v>2028</v>
      </c>
    </row>
    <row r="473" spans="1:15" ht="19.5" customHeight="1" x14ac:dyDescent="0.25">
      <c r="A473" s="11" t="s">
        <v>1174</v>
      </c>
      <c r="B473" s="11"/>
      <c r="C473" s="11" t="s">
        <v>7524</v>
      </c>
      <c r="D473" s="11" t="s">
        <v>1883</v>
      </c>
      <c r="E473" s="11" t="s">
        <v>7523</v>
      </c>
      <c r="F473" s="11"/>
      <c r="G473" s="11" t="s">
        <v>1174</v>
      </c>
      <c r="H473" s="11"/>
      <c r="I473" s="11" t="s">
        <v>6147</v>
      </c>
      <c r="J473" s="11" t="s">
        <v>7522</v>
      </c>
      <c r="K473" s="11" t="s">
        <v>1952</v>
      </c>
      <c r="L473" s="11"/>
      <c r="M473" s="12"/>
      <c r="N473" s="11"/>
      <c r="O473" s="11" t="s">
        <v>2028</v>
      </c>
    </row>
    <row r="474" spans="1:15" ht="19.5" customHeight="1" x14ac:dyDescent="0.25">
      <c r="A474" s="13" t="s">
        <v>162</v>
      </c>
      <c r="B474" s="13"/>
      <c r="C474" s="13" t="s">
        <v>7521</v>
      </c>
      <c r="D474" s="13" t="s">
        <v>1883</v>
      </c>
      <c r="E474" s="13" t="s">
        <v>7520</v>
      </c>
      <c r="F474" s="13"/>
      <c r="G474" s="13" t="s">
        <v>162</v>
      </c>
      <c r="H474" s="13" t="s">
        <v>7519</v>
      </c>
      <c r="I474" s="13" t="s">
        <v>7518</v>
      </c>
      <c r="J474" s="13" t="s">
        <v>7517</v>
      </c>
      <c r="K474" s="13" t="s">
        <v>1952</v>
      </c>
      <c r="L474" s="13"/>
      <c r="M474" s="14"/>
      <c r="N474" s="13"/>
      <c r="O474" s="13" t="s">
        <v>2028</v>
      </c>
    </row>
    <row r="475" spans="1:15" ht="19.5" customHeight="1" x14ac:dyDescent="0.25">
      <c r="A475" s="11" t="s">
        <v>1835</v>
      </c>
      <c r="B475" s="11"/>
      <c r="C475" s="11" t="s">
        <v>7514</v>
      </c>
      <c r="D475" s="11" t="s">
        <v>1883</v>
      </c>
      <c r="E475" s="11" t="s">
        <v>7513</v>
      </c>
      <c r="F475" s="11" t="s">
        <v>7512</v>
      </c>
      <c r="G475" s="11" t="s">
        <v>1835</v>
      </c>
      <c r="H475" s="11"/>
      <c r="I475" s="11" t="s">
        <v>7511</v>
      </c>
      <c r="J475" s="11" t="s">
        <v>7510</v>
      </c>
      <c r="K475" s="11" t="s">
        <v>4943</v>
      </c>
      <c r="L475" s="11"/>
      <c r="M475" s="12"/>
      <c r="N475" s="11"/>
      <c r="O475" s="11" t="s">
        <v>1877</v>
      </c>
    </row>
    <row r="476" spans="1:15" ht="19.5" customHeight="1" x14ac:dyDescent="0.25">
      <c r="A476" s="13" t="s">
        <v>1835</v>
      </c>
      <c r="B476" s="13"/>
      <c r="C476" s="13" t="s">
        <v>7516</v>
      </c>
      <c r="D476" s="13" t="s">
        <v>1883</v>
      </c>
      <c r="E476" s="13" t="s">
        <v>7513</v>
      </c>
      <c r="F476" s="13" t="s">
        <v>7512</v>
      </c>
      <c r="G476" s="13" t="s">
        <v>1835</v>
      </c>
      <c r="H476" s="13"/>
      <c r="I476" s="13" t="s">
        <v>7511</v>
      </c>
      <c r="J476" s="13" t="s">
        <v>7510</v>
      </c>
      <c r="K476" s="13" t="s">
        <v>4943</v>
      </c>
      <c r="L476" s="13"/>
      <c r="M476" s="14"/>
      <c r="N476" s="13"/>
      <c r="O476" s="13" t="s">
        <v>1877</v>
      </c>
    </row>
    <row r="477" spans="1:15" ht="19.5" customHeight="1" x14ac:dyDescent="0.25">
      <c r="A477" s="11" t="s">
        <v>1835</v>
      </c>
      <c r="B477" s="11"/>
      <c r="C477" s="11" t="s">
        <v>7515</v>
      </c>
      <c r="D477" s="11" t="s">
        <v>1883</v>
      </c>
      <c r="E477" s="11" t="s">
        <v>7513</v>
      </c>
      <c r="F477" s="11" t="s">
        <v>7512</v>
      </c>
      <c r="G477" s="11" t="s">
        <v>1835</v>
      </c>
      <c r="H477" s="11"/>
      <c r="I477" s="11" t="s">
        <v>7511</v>
      </c>
      <c r="J477" s="11" t="s">
        <v>7510</v>
      </c>
      <c r="K477" s="11" t="s">
        <v>4943</v>
      </c>
      <c r="L477" s="11"/>
      <c r="M477" s="12"/>
      <c r="N477" s="11"/>
      <c r="O477" s="11" t="s">
        <v>1877</v>
      </c>
    </row>
    <row r="478" spans="1:15" ht="19.5" customHeight="1" x14ac:dyDescent="0.25">
      <c r="A478" s="13" t="s">
        <v>1524</v>
      </c>
      <c r="B478" s="13"/>
      <c r="C478" s="13" t="s">
        <v>7509</v>
      </c>
      <c r="D478" s="13" t="s">
        <v>1883</v>
      </c>
      <c r="E478" s="13" t="s">
        <v>7508</v>
      </c>
      <c r="F478" s="13"/>
      <c r="G478" s="13" t="s">
        <v>1524</v>
      </c>
      <c r="H478" s="13"/>
      <c r="I478" s="13" t="s">
        <v>7507</v>
      </c>
      <c r="J478" s="13" t="s">
        <v>7506</v>
      </c>
      <c r="K478" s="13" t="s">
        <v>2033</v>
      </c>
      <c r="L478" s="13"/>
      <c r="M478" s="14"/>
      <c r="N478" s="13"/>
      <c r="O478" s="13" t="s">
        <v>2028</v>
      </c>
    </row>
    <row r="479" spans="1:15" ht="19.5" customHeight="1" x14ac:dyDescent="0.25">
      <c r="A479" s="11" t="s">
        <v>1518</v>
      </c>
      <c r="B479" s="11"/>
      <c r="C479" s="11" t="s">
        <v>7505</v>
      </c>
      <c r="D479" s="11" t="s">
        <v>1883</v>
      </c>
      <c r="E479" s="11" t="s">
        <v>7504</v>
      </c>
      <c r="F479" s="11"/>
      <c r="G479" s="11" t="s">
        <v>1518</v>
      </c>
      <c r="H479" s="11"/>
      <c r="I479" s="11" t="s">
        <v>7503</v>
      </c>
      <c r="J479" s="11" t="s">
        <v>7502</v>
      </c>
      <c r="K479" s="11" t="s">
        <v>5114</v>
      </c>
      <c r="L479" s="11"/>
      <c r="M479" s="12"/>
      <c r="N479" s="11"/>
      <c r="O479" s="11" t="s">
        <v>2028</v>
      </c>
    </row>
    <row r="480" spans="1:15" ht="19.5" customHeight="1" x14ac:dyDescent="0.25">
      <c r="A480" s="13" t="s">
        <v>7498</v>
      </c>
      <c r="B480" s="13"/>
      <c r="C480" s="13" t="s">
        <v>7501</v>
      </c>
      <c r="D480" s="13" t="s">
        <v>1883</v>
      </c>
      <c r="E480" s="13" t="s">
        <v>7500</v>
      </c>
      <c r="F480" s="13" t="s">
        <v>7499</v>
      </c>
      <c r="G480" s="13" t="s">
        <v>7498</v>
      </c>
      <c r="H480" s="13"/>
      <c r="I480" s="13" t="s">
        <v>1997</v>
      </c>
      <c r="J480" s="13" t="s">
        <v>7497</v>
      </c>
      <c r="K480" s="13" t="s">
        <v>1952</v>
      </c>
      <c r="L480" s="13"/>
      <c r="M480" s="14"/>
      <c r="N480" s="13"/>
      <c r="O480" s="13" t="s">
        <v>1945</v>
      </c>
    </row>
    <row r="481" spans="1:15" ht="19.5" customHeight="1" x14ac:dyDescent="0.25">
      <c r="A481" s="11" t="s">
        <v>164</v>
      </c>
      <c r="B481" s="11"/>
      <c r="C481" s="11" t="s">
        <v>7496</v>
      </c>
      <c r="D481" s="11" t="s">
        <v>1883</v>
      </c>
      <c r="E481" s="11" t="s">
        <v>7493</v>
      </c>
      <c r="F481" s="11" t="s">
        <v>7492</v>
      </c>
      <c r="G481" s="11" t="s">
        <v>164</v>
      </c>
      <c r="H481" s="11"/>
      <c r="I481" s="11" t="s">
        <v>3958</v>
      </c>
      <c r="J481" s="11" t="s">
        <v>7489</v>
      </c>
      <c r="K481" s="11" t="s">
        <v>1952</v>
      </c>
      <c r="L481" s="11"/>
      <c r="M481" s="12"/>
      <c r="N481" s="11"/>
      <c r="O481" s="11" t="s">
        <v>1945</v>
      </c>
    </row>
    <row r="482" spans="1:15" ht="19.5" customHeight="1" x14ac:dyDescent="0.25">
      <c r="A482" s="13" t="s">
        <v>164</v>
      </c>
      <c r="B482" s="13"/>
      <c r="C482" s="13" t="s">
        <v>7495</v>
      </c>
      <c r="D482" s="13" t="s">
        <v>1883</v>
      </c>
      <c r="E482" s="13" t="s">
        <v>7493</v>
      </c>
      <c r="F482" s="13" t="s">
        <v>7492</v>
      </c>
      <c r="G482" s="13" t="s">
        <v>164</v>
      </c>
      <c r="H482" s="13" t="s">
        <v>7491</v>
      </c>
      <c r="I482" s="13" t="s">
        <v>7490</v>
      </c>
      <c r="J482" s="13" t="s">
        <v>7489</v>
      </c>
      <c r="K482" s="13" t="s">
        <v>1952</v>
      </c>
      <c r="L482" s="13"/>
      <c r="M482" s="14"/>
      <c r="N482" s="13"/>
      <c r="O482" s="13" t="s">
        <v>2028</v>
      </c>
    </row>
    <row r="483" spans="1:15" ht="19.5" customHeight="1" x14ac:dyDescent="0.25">
      <c r="A483" s="11" t="s">
        <v>164</v>
      </c>
      <c r="B483" s="11"/>
      <c r="C483" s="11" t="s">
        <v>7494</v>
      </c>
      <c r="D483" s="11" t="s">
        <v>1883</v>
      </c>
      <c r="E483" s="11" t="s">
        <v>7493</v>
      </c>
      <c r="F483" s="11" t="s">
        <v>7492</v>
      </c>
      <c r="G483" s="11" t="s">
        <v>164</v>
      </c>
      <c r="H483" s="11" t="s">
        <v>7491</v>
      </c>
      <c r="I483" s="11" t="s">
        <v>7490</v>
      </c>
      <c r="J483" s="11" t="s">
        <v>7489</v>
      </c>
      <c r="K483" s="11" t="s">
        <v>1952</v>
      </c>
      <c r="L483" s="11"/>
      <c r="M483" s="12"/>
      <c r="N483" s="11"/>
      <c r="O483" s="11" t="s">
        <v>2028</v>
      </c>
    </row>
    <row r="484" spans="1:15" ht="19.5" customHeight="1" x14ac:dyDescent="0.25">
      <c r="A484" s="13" t="s">
        <v>166</v>
      </c>
      <c r="B484" s="13"/>
      <c r="C484" s="13" t="s">
        <v>7488</v>
      </c>
      <c r="D484" s="13" t="s">
        <v>1883</v>
      </c>
      <c r="E484" s="13" t="s">
        <v>7487</v>
      </c>
      <c r="F484" s="13"/>
      <c r="G484" s="13" t="s">
        <v>166</v>
      </c>
      <c r="H484" s="13" t="s">
        <v>7486</v>
      </c>
      <c r="I484" s="13" t="s">
        <v>7485</v>
      </c>
      <c r="J484" s="13" t="s">
        <v>7484</v>
      </c>
      <c r="K484" s="13" t="s">
        <v>2033</v>
      </c>
      <c r="L484" s="13"/>
      <c r="M484" s="14"/>
      <c r="N484" s="13"/>
      <c r="O484" s="13" t="s">
        <v>2028</v>
      </c>
    </row>
    <row r="485" spans="1:15" ht="19.5" customHeight="1" x14ac:dyDescent="0.25">
      <c r="A485" s="11" t="s">
        <v>168</v>
      </c>
      <c r="B485" s="11"/>
      <c r="C485" s="11" t="s">
        <v>7483</v>
      </c>
      <c r="D485" s="11" t="s">
        <v>1883</v>
      </c>
      <c r="E485" s="11" t="s">
        <v>7480</v>
      </c>
      <c r="F485" s="11" t="s">
        <v>7479</v>
      </c>
      <c r="G485" s="11" t="s">
        <v>168</v>
      </c>
      <c r="H485" s="11" t="s">
        <v>7478</v>
      </c>
      <c r="I485" s="11" t="s">
        <v>7477</v>
      </c>
      <c r="J485" s="11" t="s">
        <v>7476</v>
      </c>
      <c r="K485" s="11" t="s">
        <v>1952</v>
      </c>
      <c r="L485" s="11"/>
      <c r="M485" s="12"/>
      <c r="N485" s="11"/>
      <c r="O485" s="11" t="s">
        <v>2028</v>
      </c>
    </row>
    <row r="486" spans="1:15" ht="19.5" customHeight="1" x14ac:dyDescent="0.25">
      <c r="A486" s="13" t="s">
        <v>168</v>
      </c>
      <c r="B486" s="13"/>
      <c r="C486" s="13" t="s">
        <v>7482</v>
      </c>
      <c r="D486" s="13" t="s">
        <v>1883</v>
      </c>
      <c r="E486" s="13" t="s">
        <v>7480</v>
      </c>
      <c r="F486" s="13" t="s">
        <v>7479</v>
      </c>
      <c r="G486" s="13" t="s">
        <v>168</v>
      </c>
      <c r="H486" s="13" t="s">
        <v>7478</v>
      </c>
      <c r="I486" s="13" t="s">
        <v>7477</v>
      </c>
      <c r="J486" s="13" t="s">
        <v>7476</v>
      </c>
      <c r="K486" s="13" t="s">
        <v>1952</v>
      </c>
      <c r="L486" s="13"/>
      <c r="M486" s="14"/>
      <c r="N486" s="13"/>
      <c r="O486" s="13" t="s">
        <v>2028</v>
      </c>
    </row>
    <row r="487" spans="1:15" ht="19.5" customHeight="1" x14ac:dyDescent="0.25">
      <c r="A487" s="11" t="s">
        <v>168</v>
      </c>
      <c r="B487" s="11"/>
      <c r="C487" s="11" t="s">
        <v>7481</v>
      </c>
      <c r="D487" s="11" t="s">
        <v>1883</v>
      </c>
      <c r="E487" s="11" t="s">
        <v>7480</v>
      </c>
      <c r="F487" s="11" t="s">
        <v>7479</v>
      </c>
      <c r="G487" s="11" t="s">
        <v>168</v>
      </c>
      <c r="H487" s="11" t="s">
        <v>7478</v>
      </c>
      <c r="I487" s="11" t="s">
        <v>7477</v>
      </c>
      <c r="J487" s="11" t="s">
        <v>7476</v>
      </c>
      <c r="K487" s="11" t="s">
        <v>1952</v>
      </c>
      <c r="L487" s="11"/>
      <c r="M487" s="12"/>
      <c r="N487" s="11"/>
      <c r="O487" s="11" t="s">
        <v>2028</v>
      </c>
    </row>
    <row r="488" spans="1:15" ht="19.5" customHeight="1" x14ac:dyDescent="0.25">
      <c r="A488" s="13" t="s">
        <v>1429</v>
      </c>
      <c r="B488" s="13"/>
      <c r="C488" s="13" t="s">
        <v>7475</v>
      </c>
      <c r="D488" s="13" t="s">
        <v>1883</v>
      </c>
      <c r="E488" s="13" t="s">
        <v>7473</v>
      </c>
      <c r="F488" s="13"/>
      <c r="G488" s="13" t="s">
        <v>1429</v>
      </c>
      <c r="H488" s="13"/>
      <c r="I488" s="13" t="s">
        <v>7472</v>
      </c>
      <c r="J488" s="13" t="s">
        <v>7471</v>
      </c>
      <c r="K488" s="13" t="s">
        <v>2033</v>
      </c>
      <c r="L488" s="13"/>
      <c r="M488" s="14"/>
      <c r="N488" s="13"/>
      <c r="O488" s="13" t="s">
        <v>2028</v>
      </c>
    </row>
    <row r="489" spans="1:15" ht="19.5" customHeight="1" x14ac:dyDescent="0.25">
      <c r="A489" s="11" t="s">
        <v>1429</v>
      </c>
      <c r="B489" s="11"/>
      <c r="C489" s="11" t="s">
        <v>7474</v>
      </c>
      <c r="D489" s="11" t="s">
        <v>1883</v>
      </c>
      <c r="E489" s="11" t="s">
        <v>7473</v>
      </c>
      <c r="F489" s="11"/>
      <c r="G489" s="11" t="s">
        <v>1429</v>
      </c>
      <c r="H489" s="11"/>
      <c r="I489" s="11" t="s">
        <v>7472</v>
      </c>
      <c r="J489" s="11" t="s">
        <v>7471</v>
      </c>
      <c r="K489" s="11" t="s">
        <v>2033</v>
      </c>
      <c r="L489" s="11"/>
      <c r="M489" s="12"/>
      <c r="N489" s="11"/>
      <c r="O489" s="11" t="s">
        <v>2028</v>
      </c>
    </row>
    <row r="490" spans="1:15" ht="19.5" customHeight="1" x14ac:dyDescent="0.25">
      <c r="A490" s="13" t="s">
        <v>1490</v>
      </c>
      <c r="B490" s="13"/>
      <c r="C490" s="13" t="s">
        <v>7470</v>
      </c>
      <c r="D490" s="13" t="s">
        <v>1883</v>
      </c>
      <c r="E490" s="13" t="s">
        <v>7469</v>
      </c>
      <c r="F490" s="13"/>
      <c r="G490" s="13" t="s">
        <v>1490</v>
      </c>
      <c r="H490" s="13"/>
      <c r="I490" s="13" t="s">
        <v>7468</v>
      </c>
      <c r="J490" s="13" t="s">
        <v>7467</v>
      </c>
      <c r="K490" s="13" t="s">
        <v>2033</v>
      </c>
      <c r="L490" s="13"/>
      <c r="M490" s="14"/>
      <c r="N490" s="13"/>
      <c r="O490" s="13" t="s">
        <v>2028</v>
      </c>
    </row>
    <row r="491" spans="1:15" ht="19.5" customHeight="1" x14ac:dyDescent="0.25">
      <c r="A491" s="11" t="s">
        <v>1490</v>
      </c>
      <c r="B491" s="11"/>
      <c r="C491" s="11" t="s">
        <v>7466</v>
      </c>
      <c r="D491" s="11" t="s">
        <v>1883</v>
      </c>
      <c r="E491" s="11" t="s">
        <v>7465</v>
      </c>
      <c r="F491" s="11"/>
      <c r="G491" s="11" t="s">
        <v>1490</v>
      </c>
      <c r="H491" s="11"/>
      <c r="I491" s="11" t="s">
        <v>7464</v>
      </c>
      <c r="J491" s="11" t="s">
        <v>7463</v>
      </c>
      <c r="K491" s="11" t="s">
        <v>2033</v>
      </c>
      <c r="L491" s="11"/>
      <c r="M491" s="12"/>
      <c r="N491" s="11"/>
      <c r="O491" s="11" t="s">
        <v>2028</v>
      </c>
    </row>
    <row r="492" spans="1:15" ht="19.5" customHeight="1" x14ac:dyDescent="0.25">
      <c r="A492" s="13" t="s">
        <v>170</v>
      </c>
      <c r="B492" s="13"/>
      <c r="C492" s="13" t="s">
        <v>7462</v>
      </c>
      <c r="D492" s="13" t="s">
        <v>1883</v>
      </c>
      <c r="E492" s="13" t="s">
        <v>7461</v>
      </c>
      <c r="F492" s="13"/>
      <c r="G492" s="13" t="s">
        <v>170</v>
      </c>
      <c r="H492" s="13"/>
      <c r="I492" s="13"/>
      <c r="J492" s="13"/>
      <c r="K492" s="13"/>
      <c r="L492" s="13"/>
      <c r="M492" s="14"/>
      <c r="N492" s="13"/>
      <c r="O492" s="13" t="s">
        <v>2028</v>
      </c>
    </row>
    <row r="493" spans="1:15" ht="19.5" customHeight="1" x14ac:dyDescent="0.25">
      <c r="A493" s="11" t="s">
        <v>1292</v>
      </c>
      <c r="B493" s="11"/>
      <c r="C493" s="11" t="s">
        <v>7460</v>
      </c>
      <c r="D493" s="11" t="s">
        <v>1883</v>
      </c>
      <c r="E493" s="11" t="s">
        <v>7459</v>
      </c>
      <c r="F493" s="11"/>
      <c r="G493" s="11" t="s">
        <v>1292</v>
      </c>
      <c r="H493" s="11"/>
      <c r="I493" s="11" t="s">
        <v>7458</v>
      </c>
      <c r="J493" s="11" t="s">
        <v>7457</v>
      </c>
      <c r="K493" s="11" t="s">
        <v>1952</v>
      </c>
      <c r="L493" s="11"/>
      <c r="M493" s="12"/>
      <c r="N493" s="11"/>
      <c r="O493" s="11" t="s">
        <v>2028</v>
      </c>
    </row>
    <row r="494" spans="1:15" ht="19.5" customHeight="1" x14ac:dyDescent="0.25">
      <c r="A494" s="13" t="s">
        <v>1542</v>
      </c>
      <c r="B494" s="13"/>
      <c r="C494" s="13" t="s">
        <v>7456</v>
      </c>
      <c r="D494" s="13" t="s">
        <v>1883</v>
      </c>
      <c r="E494" s="13" t="s">
        <v>7455</v>
      </c>
      <c r="F494" s="13"/>
      <c r="G494" s="13" t="s">
        <v>1542</v>
      </c>
      <c r="H494" s="13"/>
      <c r="I494" s="13" t="s">
        <v>4852</v>
      </c>
      <c r="J494" s="13" t="s">
        <v>7454</v>
      </c>
      <c r="K494" s="13" t="s">
        <v>2033</v>
      </c>
      <c r="L494" s="13"/>
      <c r="M494" s="14"/>
      <c r="N494" s="13"/>
      <c r="O494" s="13" t="s">
        <v>2028</v>
      </c>
    </row>
    <row r="495" spans="1:15" ht="19.5" customHeight="1" x14ac:dyDescent="0.25">
      <c r="A495" s="11" t="s">
        <v>8908</v>
      </c>
      <c r="B495" s="11"/>
      <c r="C495" s="11" t="s">
        <v>8907</v>
      </c>
      <c r="D495" s="11" t="s">
        <v>1883</v>
      </c>
      <c r="E495" s="11" t="s">
        <v>8918</v>
      </c>
      <c r="F495" s="11"/>
      <c r="G495" s="11" t="s">
        <v>8908</v>
      </c>
      <c r="H495" s="11"/>
      <c r="I495" s="11" t="s">
        <v>8919</v>
      </c>
      <c r="J495" s="11" t="s">
        <v>8920</v>
      </c>
      <c r="K495" s="11" t="s">
        <v>2033</v>
      </c>
      <c r="L495" s="11"/>
      <c r="M495" s="12"/>
      <c r="N495" s="11"/>
      <c r="O495" s="11" t="s">
        <v>2028</v>
      </c>
    </row>
    <row r="496" spans="1:15" ht="19.5" customHeight="1" x14ac:dyDescent="0.25">
      <c r="A496" s="13" t="s">
        <v>172</v>
      </c>
      <c r="B496" s="13"/>
      <c r="C496" s="13" t="s">
        <v>7453</v>
      </c>
      <c r="D496" s="13" t="s">
        <v>1883</v>
      </c>
      <c r="E496" s="13" t="s">
        <v>7447</v>
      </c>
      <c r="F496" s="13" t="s">
        <v>7446</v>
      </c>
      <c r="G496" s="13" t="s">
        <v>172</v>
      </c>
      <c r="H496" s="13"/>
      <c r="I496" s="13" t="s">
        <v>7445</v>
      </c>
      <c r="J496" s="13" t="s">
        <v>7444</v>
      </c>
      <c r="K496" s="13" t="s">
        <v>1952</v>
      </c>
      <c r="L496" s="13"/>
      <c r="M496" s="14"/>
      <c r="N496" s="13"/>
      <c r="O496" s="13" t="s">
        <v>2028</v>
      </c>
    </row>
    <row r="497" spans="1:15" ht="19.5" customHeight="1" x14ac:dyDescent="0.25">
      <c r="A497" s="11" t="s">
        <v>7450</v>
      </c>
      <c r="B497" s="11"/>
      <c r="C497" s="11" t="s">
        <v>7452</v>
      </c>
      <c r="D497" s="11" t="s">
        <v>1883</v>
      </c>
      <c r="E497" s="11" t="s">
        <v>7451</v>
      </c>
      <c r="F497" s="11"/>
      <c r="G497" s="11" t="s">
        <v>7450</v>
      </c>
      <c r="H497" s="11"/>
      <c r="I497" s="11"/>
      <c r="J497" s="11"/>
      <c r="K497" s="11"/>
      <c r="L497" s="11"/>
      <c r="M497" s="12"/>
      <c r="N497" s="11"/>
      <c r="O497" s="11" t="s">
        <v>1916</v>
      </c>
    </row>
    <row r="498" spans="1:15" ht="19.5" customHeight="1" x14ac:dyDescent="0.25">
      <c r="A498" s="13" t="s">
        <v>172</v>
      </c>
      <c r="B498" s="13"/>
      <c r="C498" s="13" t="s">
        <v>7449</v>
      </c>
      <c r="D498" s="13" t="s">
        <v>1883</v>
      </c>
      <c r="E498" s="13" t="s">
        <v>7447</v>
      </c>
      <c r="F498" s="13" t="s">
        <v>7446</v>
      </c>
      <c r="G498" s="13" t="s">
        <v>172</v>
      </c>
      <c r="H498" s="13"/>
      <c r="I498" s="13" t="s">
        <v>7445</v>
      </c>
      <c r="J498" s="13" t="s">
        <v>7444</v>
      </c>
      <c r="K498" s="13" t="s">
        <v>1952</v>
      </c>
      <c r="L498" s="13"/>
      <c r="M498" s="14"/>
      <c r="N498" s="13"/>
      <c r="O498" s="13" t="s">
        <v>2028</v>
      </c>
    </row>
    <row r="499" spans="1:15" ht="19.5" customHeight="1" x14ac:dyDescent="0.25">
      <c r="A499" s="11" t="s">
        <v>172</v>
      </c>
      <c r="B499" s="11"/>
      <c r="C499" s="11" t="s">
        <v>7448</v>
      </c>
      <c r="D499" s="11" t="s">
        <v>1883</v>
      </c>
      <c r="E499" s="11" t="s">
        <v>7447</v>
      </c>
      <c r="F499" s="11" t="s">
        <v>7446</v>
      </c>
      <c r="G499" s="11" t="s">
        <v>172</v>
      </c>
      <c r="H499" s="11"/>
      <c r="I499" s="11" t="s">
        <v>7445</v>
      </c>
      <c r="J499" s="11" t="s">
        <v>7444</v>
      </c>
      <c r="K499" s="11" t="s">
        <v>1952</v>
      </c>
      <c r="L499" s="11"/>
      <c r="M499" s="12"/>
      <c r="N499" s="11"/>
      <c r="O499" s="11" t="s">
        <v>2028</v>
      </c>
    </row>
    <row r="500" spans="1:15" ht="19.5" customHeight="1" x14ac:dyDescent="0.25">
      <c r="A500" s="13" t="s">
        <v>1588</v>
      </c>
      <c r="B500" s="13"/>
      <c r="C500" s="13" t="s">
        <v>7443</v>
      </c>
      <c r="D500" s="13" t="s">
        <v>1883</v>
      </c>
      <c r="E500" s="13" t="s">
        <v>7442</v>
      </c>
      <c r="F500" s="13"/>
      <c r="G500" s="13" t="s">
        <v>1588</v>
      </c>
      <c r="H500" s="13"/>
      <c r="I500" s="13" t="s">
        <v>7441</v>
      </c>
      <c r="J500" s="13" t="s">
        <v>7440</v>
      </c>
      <c r="K500" s="13" t="s">
        <v>2033</v>
      </c>
      <c r="L500" s="13"/>
      <c r="M500" s="14"/>
      <c r="N500" s="13"/>
      <c r="O500" s="13" t="s">
        <v>2028</v>
      </c>
    </row>
    <row r="501" spans="1:15" ht="19.5" customHeight="1" x14ac:dyDescent="0.25">
      <c r="A501" s="11" t="s">
        <v>274</v>
      </c>
      <c r="B501" s="11"/>
      <c r="C501" s="11" t="s">
        <v>7439</v>
      </c>
      <c r="D501" s="11" t="s">
        <v>1883</v>
      </c>
      <c r="E501" s="11" t="s">
        <v>7436</v>
      </c>
      <c r="F501" s="11" t="s">
        <v>7435</v>
      </c>
      <c r="G501" s="11" t="s">
        <v>274</v>
      </c>
      <c r="H501" s="11" t="s">
        <v>7434</v>
      </c>
      <c r="I501" s="11" t="s">
        <v>7433</v>
      </c>
      <c r="J501" s="11" t="s">
        <v>7432</v>
      </c>
      <c r="K501" s="11" t="s">
        <v>2033</v>
      </c>
      <c r="L501" s="11"/>
      <c r="M501" s="12"/>
      <c r="N501" s="11"/>
      <c r="O501" s="11" t="s">
        <v>2028</v>
      </c>
    </row>
    <row r="502" spans="1:15" ht="19.5" customHeight="1" x14ac:dyDescent="0.25">
      <c r="A502" s="13" t="s">
        <v>274</v>
      </c>
      <c r="B502" s="13"/>
      <c r="C502" s="13" t="s">
        <v>7438</v>
      </c>
      <c r="D502" s="13" t="s">
        <v>1883</v>
      </c>
      <c r="E502" s="13" t="s">
        <v>7436</v>
      </c>
      <c r="F502" s="13" t="s">
        <v>7435</v>
      </c>
      <c r="G502" s="13" t="s">
        <v>274</v>
      </c>
      <c r="H502" s="13" t="s">
        <v>7434</v>
      </c>
      <c r="I502" s="13" t="s">
        <v>7433</v>
      </c>
      <c r="J502" s="13" t="s">
        <v>7432</v>
      </c>
      <c r="K502" s="13" t="s">
        <v>2033</v>
      </c>
      <c r="L502" s="13"/>
      <c r="M502" s="14"/>
      <c r="N502" s="13"/>
      <c r="O502" s="13" t="s">
        <v>2028</v>
      </c>
    </row>
    <row r="503" spans="1:15" ht="19.5" customHeight="1" x14ac:dyDescent="0.25">
      <c r="A503" s="11" t="s">
        <v>274</v>
      </c>
      <c r="B503" s="11"/>
      <c r="C503" s="11" t="s">
        <v>7437</v>
      </c>
      <c r="D503" s="11" t="s">
        <v>1883</v>
      </c>
      <c r="E503" s="11" t="s">
        <v>7436</v>
      </c>
      <c r="F503" s="11" t="s">
        <v>7435</v>
      </c>
      <c r="G503" s="11" t="s">
        <v>274</v>
      </c>
      <c r="H503" s="11" t="s">
        <v>7434</v>
      </c>
      <c r="I503" s="11" t="s">
        <v>7433</v>
      </c>
      <c r="J503" s="11" t="s">
        <v>7432</v>
      </c>
      <c r="K503" s="11" t="s">
        <v>2033</v>
      </c>
      <c r="L503" s="11"/>
      <c r="M503" s="12"/>
      <c r="N503" s="11"/>
      <c r="O503" s="11" t="s">
        <v>2028</v>
      </c>
    </row>
    <row r="504" spans="1:15" ht="19.5" customHeight="1" x14ac:dyDescent="0.25">
      <c r="A504" s="13" t="s">
        <v>1702</v>
      </c>
      <c r="B504" s="13"/>
      <c r="C504" s="13" t="s">
        <v>7431</v>
      </c>
      <c r="D504" s="13" t="s">
        <v>1883</v>
      </c>
      <c r="E504" s="13" t="s">
        <v>7430</v>
      </c>
      <c r="F504" s="13"/>
      <c r="G504" s="13" t="s">
        <v>1702</v>
      </c>
      <c r="H504" s="13"/>
      <c r="I504" s="13" t="s">
        <v>7429</v>
      </c>
      <c r="J504" s="13" t="s">
        <v>7428</v>
      </c>
      <c r="K504" s="13" t="s">
        <v>2033</v>
      </c>
      <c r="L504" s="13"/>
      <c r="M504" s="14"/>
      <c r="N504" s="13"/>
      <c r="O504" s="13" t="s">
        <v>2028</v>
      </c>
    </row>
    <row r="505" spans="1:15" ht="19.5" customHeight="1" x14ac:dyDescent="0.25">
      <c r="A505" s="11" t="s">
        <v>7425</v>
      </c>
      <c r="B505" s="11"/>
      <c r="C505" s="11" t="s">
        <v>7427</v>
      </c>
      <c r="D505" s="11" t="s">
        <v>1883</v>
      </c>
      <c r="E505" s="11" t="s">
        <v>7426</v>
      </c>
      <c r="F505" s="11"/>
      <c r="G505" s="11" t="s">
        <v>7425</v>
      </c>
      <c r="H505" s="11"/>
      <c r="I505" s="11" t="s">
        <v>7424</v>
      </c>
      <c r="J505" s="11" t="s">
        <v>7423</v>
      </c>
      <c r="K505" s="11" t="s">
        <v>2033</v>
      </c>
      <c r="L505" s="11"/>
      <c r="M505" s="12"/>
      <c r="N505" s="11"/>
      <c r="O505" s="11" t="s">
        <v>2028</v>
      </c>
    </row>
    <row r="506" spans="1:15" ht="19.5" customHeight="1" x14ac:dyDescent="0.25">
      <c r="A506" s="13" t="s">
        <v>174</v>
      </c>
      <c r="B506" s="13"/>
      <c r="C506" s="13" t="s">
        <v>7422</v>
      </c>
      <c r="D506" s="13" t="s">
        <v>1883</v>
      </c>
      <c r="E506" s="13" t="s">
        <v>7420</v>
      </c>
      <c r="F506" s="13"/>
      <c r="G506" s="13" t="s">
        <v>174</v>
      </c>
      <c r="H506" s="13"/>
      <c r="I506" s="13" t="s">
        <v>7419</v>
      </c>
      <c r="J506" s="13" t="s">
        <v>7418</v>
      </c>
      <c r="K506" s="13" t="s">
        <v>2033</v>
      </c>
      <c r="L506" s="13"/>
      <c r="M506" s="14"/>
      <c r="N506" s="13"/>
      <c r="O506" s="13" t="s">
        <v>2028</v>
      </c>
    </row>
    <row r="507" spans="1:15" ht="19.5" customHeight="1" x14ac:dyDescent="0.25">
      <c r="A507" s="11" t="s">
        <v>174</v>
      </c>
      <c r="B507" s="11"/>
      <c r="C507" s="11" t="s">
        <v>7421</v>
      </c>
      <c r="D507" s="11" t="s">
        <v>1883</v>
      </c>
      <c r="E507" s="11" t="s">
        <v>7420</v>
      </c>
      <c r="F507" s="11"/>
      <c r="G507" s="11" t="s">
        <v>174</v>
      </c>
      <c r="H507" s="11"/>
      <c r="I507" s="11" t="s">
        <v>7419</v>
      </c>
      <c r="J507" s="11" t="s">
        <v>7418</v>
      </c>
      <c r="K507" s="11" t="s">
        <v>2033</v>
      </c>
      <c r="L507" s="11"/>
      <c r="M507" s="12"/>
      <c r="N507" s="11"/>
      <c r="O507" s="11" t="s">
        <v>2028</v>
      </c>
    </row>
    <row r="508" spans="1:15" ht="19.5" customHeight="1" x14ac:dyDescent="0.25">
      <c r="A508" s="13" t="s">
        <v>176</v>
      </c>
      <c r="B508" s="13"/>
      <c r="C508" s="13" t="s">
        <v>7417</v>
      </c>
      <c r="D508" s="13" t="s">
        <v>1883</v>
      </c>
      <c r="E508" s="13" t="s">
        <v>7414</v>
      </c>
      <c r="F508" s="13" t="s">
        <v>7413</v>
      </c>
      <c r="G508" s="13" t="s">
        <v>176</v>
      </c>
      <c r="H508" s="13" t="s">
        <v>7412</v>
      </c>
      <c r="I508" s="13" t="s">
        <v>7411</v>
      </c>
      <c r="J508" s="13" t="s">
        <v>7410</v>
      </c>
      <c r="K508" s="13" t="s">
        <v>2033</v>
      </c>
      <c r="L508" s="13"/>
      <c r="M508" s="14"/>
      <c r="N508" s="13"/>
      <c r="O508" s="13" t="s">
        <v>2028</v>
      </c>
    </row>
    <row r="509" spans="1:15" ht="19.5" customHeight="1" x14ac:dyDescent="0.25">
      <c r="A509" s="11" t="s">
        <v>176</v>
      </c>
      <c r="B509" s="11"/>
      <c r="C509" s="11" t="s">
        <v>7416</v>
      </c>
      <c r="D509" s="11" t="s">
        <v>1883</v>
      </c>
      <c r="E509" s="11" t="s">
        <v>7414</v>
      </c>
      <c r="F509" s="11" t="s">
        <v>7413</v>
      </c>
      <c r="G509" s="11" t="s">
        <v>176</v>
      </c>
      <c r="H509" s="11" t="s">
        <v>7412</v>
      </c>
      <c r="I509" s="11" t="s">
        <v>7411</v>
      </c>
      <c r="J509" s="11" t="s">
        <v>7410</v>
      </c>
      <c r="K509" s="11" t="s">
        <v>2033</v>
      </c>
      <c r="L509" s="11"/>
      <c r="M509" s="12"/>
      <c r="N509" s="11"/>
      <c r="O509" s="11" t="s">
        <v>2028</v>
      </c>
    </row>
    <row r="510" spans="1:15" ht="19.5" customHeight="1" x14ac:dyDescent="0.25">
      <c r="A510" s="13" t="s">
        <v>176</v>
      </c>
      <c r="B510" s="13"/>
      <c r="C510" s="13" t="s">
        <v>7415</v>
      </c>
      <c r="D510" s="13" t="s">
        <v>1883</v>
      </c>
      <c r="E510" s="13" t="s">
        <v>7414</v>
      </c>
      <c r="F510" s="13" t="s">
        <v>7413</v>
      </c>
      <c r="G510" s="13" t="s">
        <v>176</v>
      </c>
      <c r="H510" s="13" t="s">
        <v>7412</v>
      </c>
      <c r="I510" s="13" t="s">
        <v>7411</v>
      </c>
      <c r="J510" s="13" t="s">
        <v>7410</v>
      </c>
      <c r="K510" s="13" t="s">
        <v>2033</v>
      </c>
      <c r="L510" s="13"/>
      <c r="M510" s="14"/>
      <c r="N510" s="13"/>
      <c r="O510" s="13" t="s">
        <v>2028</v>
      </c>
    </row>
    <row r="511" spans="1:15" ht="19.5" customHeight="1" x14ac:dyDescent="0.25">
      <c r="A511" s="11" t="s">
        <v>7408</v>
      </c>
      <c r="B511" s="11"/>
      <c r="C511" s="11" t="s">
        <v>7409</v>
      </c>
      <c r="D511" s="11" t="s">
        <v>1883</v>
      </c>
      <c r="E511" s="11" t="s">
        <v>8935</v>
      </c>
      <c r="F511" s="11"/>
      <c r="G511" s="11" t="s">
        <v>7408</v>
      </c>
      <c r="H511" s="11"/>
      <c r="I511" s="11"/>
      <c r="J511" s="11"/>
      <c r="K511" s="11"/>
      <c r="L511" s="11"/>
      <c r="M511" s="12"/>
      <c r="N511" s="11"/>
      <c r="O511" s="11" t="s">
        <v>2028</v>
      </c>
    </row>
    <row r="512" spans="1:15" ht="19.5" customHeight="1" x14ac:dyDescent="0.25">
      <c r="A512" s="13" t="s">
        <v>178</v>
      </c>
      <c r="B512" s="13"/>
      <c r="C512" s="13" t="s">
        <v>7407</v>
      </c>
      <c r="D512" s="13" t="s">
        <v>1883</v>
      </c>
      <c r="E512" s="13" t="s">
        <v>7404</v>
      </c>
      <c r="F512" s="13" t="s">
        <v>7403</v>
      </c>
      <c r="G512" s="13" t="s">
        <v>178</v>
      </c>
      <c r="H512" s="13" t="s">
        <v>7402</v>
      </c>
      <c r="I512" s="13" t="s">
        <v>7401</v>
      </c>
      <c r="J512" s="13" t="s">
        <v>7400</v>
      </c>
      <c r="K512" s="13" t="s">
        <v>2033</v>
      </c>
      <c r="L512" s="13"/>
      <c r="M512" s="14"/>
      <c r="N512" s="13"/>
      <c r="O512" s="13" t="s">
        <v>2028</v>
      </c>
    </row>
    <row r="513" spans="1:15" ht="19.5" customHeight="1" x14ac:dyDescent="0.25">
      <c r="A513" s="11" t="s">
        <v>178</v>
      </c>
      <c r="B513" s="11"/>
      <c r="C513" s="11" t="s">
        <v>7406</v>
      </c>
      <c r="D513" s="11" t="s">
        <v>1883</v>
      </c>
      <c r="E513" s="11" t="s">
        <v>7404</v>
      </c>
      <c r="F513" s="11" t="s">
        <v>7403</v>
      </c>
      <c r="G513" s="11" t="s">
        <v>178</v>
      </c>
      <c r="H513" s="11" t="s">
        <v>7402</v>
      </c>
      <c r="I513" s="11" t="s">
        <v>7401</v>
      </c>
      <c r="J513" s="11" t="s">
        <v>7400</v>
      </c>
      <c r="K513" s="11" t="s">
        <v>2033</v>
      </c>
      <c r="L513" s="11"/>
      <c r="M513" s="12"/>
      <c r="N513" s="11"/>
      <c r="O513" s="11" t="s">
        <v>2028</v>
      </c>
    </row>
    <row r="514" spans="1:15" ht="19.5" customHeight="1" x14ac:dyDescent="0.25">
      <c r="A514" s="13" t="s">
        <v>178</v>
      </c>
      <c r="B514" s="13"/>
      <c r="C514" s="13" t="s">
        <v>7405</v>
      </c>
      <c r="D514" s="13" t="s">
        <v>1883</v>
      </c>
      <c r="E514" s="13" t="s">
        <v>7404</v>
      </c>
      <c r="F514" s="13" t="s">
        <v>7403</v>
      </c>
      <c r="G514" s="13" t="s">
        <v>178</v>
      </c>
      <c r="H514" s="13" t="s">
        <v>7402</v>
      </c>
      <c r="I514" s="13" t="s">
        <v>7401</v>
      </c>
      <c r="J514" s="13" t="s">
        <v>7400</v>
      </c>
      <c r="K514" s="13" t="s">
        <v>2033</v>
      </c>
      <c r="L514" s="13"/>
      <c r="M514" s="14"/>
      <c r="N514" s="13"/>
      <c r="O514" s="13" t="s">
        <v>2028</v>
      </c>
    </row>
    <row r="515" spans="1:15" ht="19.5" customHeight="1" x14ac:dyDescent="0.25">
      <c r="A515" s="11" t="s">
        <v>1582</v>
      </c>
      <c r="B515" s="11"/>
      <c r="C515" s="11" t="s">
        <v>7399</v>
      </c>
      <c r="D515" s="11" t="s">
        <v>1883</v>
      </c>
      <c r="E515" s="11" t="s">
        <v>7398</v>
      </c>
      <c r="F515" s="11"/>
      <c r="G515" s="11" t="s">
        <v>1582</v>
      </c>
      <c r="H515" s="11"/>
      <c r="I515" s="11" t="s">
        <v>7397</v>
      </c>
      <c r="J515" s="11" t="s">
        <v>7396</v>
      </c>
      <c r="K515" s="11" t="s">
        <v>1952</v>
      </c>
      <c r="L515" s="11"/>
      <c r="M515" s="12"/>
      <c r="N515" s="11"/>
      <c r="O515" s="11" t="s">
        <v>2028</v>
      </c>
    </row>
    <row r="516" spans="1:15" ht="19.5" customHeight="1" x14ac:dyDescent="0.25">
      <c r="A516" s="13" t="s">
        <v>180</v>
      </c>
      <c r="B516" s="13"/>
      <c r="C516" s="13" t="s">
        <v>7395</v>
      </c>
      <c r="D516" s="13" t="s">
        <v>1883</v>
      </c>
      <c r="E516" s="13" t="s">
        <v>7392</v>
      </c>
      <c r="F516" s="13" t="s">
        <v>7391</v>
      </c>
      <c r="G516" s="13" t="s">
        <v>180</v>
      </c>
      <c r="H516" s="13"/>
      <c r="I516" s="13" t="s">
        <v>7390</v>
      </c>
      <c r="J516" s="13" t="s">
        <v>7389</v>
      </c>
      <c r="K516" s="13" t="s">
        <v>3599</v>
      </c>
      <c r="L516" s="13"/>
      <c r="M516" s="14"/>
      <c r="N516" s="13"/>
      <c r="O516" s="13" t="s">
        <v>2028</v>
      </c>
    </row>
    <row r="517" spans="1:15" ht="19.5" customHeight="1" x14ac:dyDescent="0.25">
      <c r="A517" s="11" t="s">
        <v>180</v>
      </c>
      <c r="B517" s="11"/>
      <c r="C517" s="11" t="s">
        <v>7394</v>
      </c>
      <c r="D517" s="11" t="s">
        <v>1883</v>
      </c>
      <c r="E517" s="11" t="s">
        <v>7392</v>
      </c>
      <c r="F517" s="11" t="s">
        <v>7391</v>
      </c>
      <c r="G517" s="11" t="s">
        <v>180</v>
      </c>
      <c r="H517" s="11"/>
      <c r="I517" s="11" t="s">
        <v>7390</v>
      </c>
      <c r="J517" s="11" t="s">
        <v>7389</v>
      </c>
      <c r="K517" s="11" t="s">
        <v>3599</v>
      </c>
      <c r="L517" s="11"/>
      <c r="M517" s="12"/>
      <c r="N517" s="11"/>
      <c r="O517" s="11" t="s">
        <v>2028</v>
      </c>
    </row>
    <row r="518" spans="1:15" ht="19.5" customHeight="1" x14ac:dyDescent="0.25">
      <c r="A518" s="13" t="s">
        <v>180</v>
      </c>
      <c r="B518" s="13"/>
      <c r="C518" s="13" t="s">
        <v>7393</v>
      </c>
      <c r="D518" s="13" t="s">
        <v>1883</v>
      </c>
      <c r="E518" s="13" t="s">
        <v>7392</v>
      </c>
      <c r="F518" s="13" t="s">
        <v>7391</v>
      </c>
      <c r="G518" s="13" t="s">
        <v>180</v>
      </c>
      <c r="H518" s="13"/>
      <c r="I518" s="13" t="s">
        <v>7390</v>
      </c>
      <c r="J518" s="13" t="s">
        <v>7389</v>
      </c>
      <c r="K518" s="13" t="s">
        <v>3599</v>
      </c>
      <c r="L518" s="13"/>
      <c r="M518" s="14"/>
      <c r="N518" s="13"/>
      <c r="O518" s="13" t="s">
        <v>2028</v>
      </c>
    </row>
    <row r="519" spans="1:15" ht="19.5" customHeight="1" x14ac:dyDescent="0.25">
      <c r="A519" s="11" t="s">
        <v>7385</v>
      </c>
      <c r="B519" s="11"/>
      <c r="C519" s="11" t="s">
        <v>7388</v>
      </c>
      <c r="D519" s="11" t="s">
        <v>1883</v>
      </c>
      <c r="E519" s="11" t="s">
        <v>7387</v>
      </c>
      <c r="F519" s="11" t="s">
        <v>7386</v>
      </c>
      <c r="G519" s="11" t="s">
        <v>7385</v>
      </c>
      <c r="H519" s="11" t="s">
        <v>7384</v>
      </c>
      <c r="I519" s="11" t="s">
        <v>7383</v>
      </c>
      <c r="J519" s="11" t="s">
        <v>7382</v>
      </c>
      <c r="K519" s="11" t="s">
        <v>2033</v>
      </c>
      <c r="L519" s="11"/>
      <c r="M519" s="12"/>
      <c r="N519" s="11"/>
      <c r="O519" s="11" t="s">
        <v>1945</v>
      </c>
    </row>
    <row r="520" spans="1:15" ht="19.5" customHeight="1" x14ac:dyDescent="0.25">
      <c r="A520" s="13" t="s">
        <v>1286</v>
      </c>
      <c r="B520" s="13"/>
      <c r="C520" s="13" t="s">
        <v>1258</v>
      </c>
      <c r="D520" s="13" t="s">
        <v>1883</v>
      </c>
      <c r="E520" s="13" t="s">
        <v>7380</v>
      </c>
      <c r="F520" s="13" t="s">
        <v>7379</v>
      </c>
      <c r="G520" s="13" t="s">
        <v>1286</v>
      </c>
      <c r="H520" s="13"/>
      <c r="I520" s="13" t="s">
        <v>7378</v>
      </c>
      <c r="J520" s="13" t="s">
        <v>7377</v>
      </c>
      <c r="K520" s="13" t="s">
        <v>2033</v>
      </c>
      <c r="L520" s="13"/>
      <c r="M520" s="14"/>
      <c r="N520" s="13"/>
      <c r="O520" s="13" t="s">
        <v>2028</v>
      </c>
    </row>
    <row r="521" spans="1:15" ht="19.5" customHeight="1" x14ac:dyDescent="0.25">
      <c r="A521" s="11" t="s">
        <v>1286</v>
      </c>
      <c r="B521" s="11"/>
      <c r="C521" s="11" t="s">
        <v>7381</v>
      </c>
      <c r="D521" s="11" t="s">
        <v>1883</v>
      </c>
      <c r="E521" s="11" t="s">
        <v>7380</v>
      </c>
      <c r="F521" s="11" t="s">
        <v>7379</v>
      </c>
      <c r="G521" s="11" t="s">
        <v>1286</v>
      </c>
      <c r="H521" s="11"/>
      <c r="I521" s="11" t="s">
        <v>7378</v>
      </c>
      <c r="J521" s="11" t="s">
        <v>7377</v>
      </c>
      <c r="K521" s="11" t="s">
        <v>2033</v>
      </c>
      <c r="L521" s="11"/>
      <c r="M521" s="12"/>
      <c r="N521" s="11"/>
      <c r="O521" s="11" t="s">
        <v>2028</v>
      </c>
    </row>
    <row r="522" spans="1:15" ht="19.5" customHeight="1" x14ac:dyDescent="0.25">
      <c r="A522" s="13" t="s">
        <v>1552</v>
      </c>
      <c r="B522" s="13"/>
      <c r="C522" s="13" t="s">
        <v>7376</v>
      </c>
      <c r="D522" s="13" t="s">
        <v>1883</v>
      </c>
      <c r="E522" s="13" t="s">
        <v>7375</v>
      </c>
      <c r="F522" s="13"/>
      <c r="G522" s="13" t="s">
        <v>1552</v>
      </c>
      <c r="H522" s="13"/>
      <c r="I522" s="13" t="s">
        <v>7374</v>
      </c>
      <c r="J522" s="13" t="s">
        <v>7373</v>
      </c>
      <c r="K522" s="13" t="s">
        <v>2033</v>
      </c>
      <c r="L522" s="13"/>
      <c r="M522" s="14"/>
      <c r="N522" s="13"/>
      <c r="O522" s="13" t="s">
        <v>2028</v>
      </c>
    </row>
    <row r="523" spans="1:15" ht="19.5" customHeight="1" x14ac:dyDescent="0.25">
      <c r="A523" s="11" t="s">
        <v>182</v>
      </c>
      <c r="B523" s="11"/>
      <c r="C523" s="11" t="s">
        <v>7372</v>
      </c>
      <c r="D523" s="11" t="s">
        <v>1883</v>
      </c>
      <c r="E523" s="11" t="s">
        <v>7369</v>
      </c>
      <c r="F523" s="11"/>
      <c r="G523" s="11" t="s">
        <v>182</v>
      </c>
      <c r="H523" s="11"/>
      <c r="I523" s="11" t="s">
        <v>7368</v>
      </c>
      <c r="J523" s="11" t="s">
        <v>7367</v>
      </c>
      <c r="K523" s="11" t="s">
        <v>2033</v>
      </c>
      <c r="L523" s="11"/>
      <c r="M523" s="12"/>
      <c r="N523" s="11"/>
      <c r="O523" s="11" t="s">
        <v>2028</v>
      </c>
    </row>
    <row r="524" spans="1:15" ht="19.5" customHeight="1" x14ac:dyDescent="0.25">
      <c r="A524" s="13" t="s">
        <v>182</v>
      </c>
      <c r="B524" s="13"/>
      <c r="C524" s="13" t="s">
        <v>7371</v>
      </c>
      <c r="D524" s="13" t="s">
        <v>1883</v>
      </c>
      <c r="E524" s="13" t="s">
        <v>7369</v>
      </c>
      <c r="F524" s="13"/>
      <c r="G524" s="13" t="s">
        <v>182</v>
      </c>
      <c r="H524" s="13"/>
      <c r="I524" s="13" t="s">
        <v>7368</v>
      </c>
      <c r="J524" s="13" t="s">
        <v>7367</v>
      </c>
      <c r="K524" s="13" t="s">
        <v>2033</v>
      </c>
      <c r="L524" s="13"/>
      <c r="M524" s="14"/>
      <c r="N524" s="13"/>
      <c r="O524" s="13" t="s">
        <v>2028</v>
      </c>
    </row>
    <row r="525" spans="1:15" ht="19.5" customHeight="1" x14ac:dyDescent="0.25">
      <c r="A525" s="11" t="s">
        <v>182</v>
      </c>
      <c r="B525" s="11"/>
      <c r="C525" s="11" t="s">
        <v>7370</v>
      </c>
      <c r="D525" s="11" t="s">
        <v>1883</v>
      </c>
      <c r="E525" s="11" t="s">
        <v>7369</v>
      </c>
      <c r="F525" s="11"/>
      <c r="G525" s="11" t="s">
        <v>182</v>
      </c>
      <c r="H525" s="11"/>
      <c r="I525" s="11" t="s">
        <v>7368</v>
      </c>
      <c r="J525" s="11" t="s">
        <v>7367</v>
      </c>
      <c r="K525" s="11" t="s">
        <v>2033</v>
      </c>
      <c r="L525" s="11"/>
      <c r="M525" s="12"/>
      <c r="N525" s="11"/>
      <c r="O525" s="11" t="s">
        <v>2028</v>
      </c>
    </row>
    <row r="526" spans="1:15" ht="19.5" customHeight="1" x14ac:dyDescent="0.25">
      <c r="A526" s="13" t="s">
        <v>184</v>
      </c>
      <c r="B526" s="13"/>
      <c r="C526" s="13" t="s">
        <v>7366</v>
      </c>
      <c r="D526" s="13" t="s">
        <v>1883</v>
      </c>
      <c r="E526" s="13" t="s">
        <v>7363</v>
      </c>
      <c r="F526" s="13" t="s">
        <v>7362</v>
      </c>
      <c r="G526" s="13" t="s">
        <v>184</v>
      </c>
      <c r="H526" s="13"/>
      <c r="I526" s="13" t="s">
        <v>7361</v>
      </c>
      <c r="J526" s="13" t="s">
        <v>7360</v>
      </c>
      <c r="K526" s="13" t="s">
        <v>2033</v>
      </c>
      <c r="L526" s="13"/>
      <c r="M526" s="14"/>
      <c r="N526" s="13"/>
      <c r="O526" s="13" t="s">
        <v>2028</v>
      </c>
    </row>
    <row r="527" spans="1:15" ht="19.5" customHeight="1" x14ac:dyDescent="0.25">
      <c r="A527" s="11" t="s">
        <v>184</v>
      </c>
      <c r="B527" s="11"/>
      <c r="C527" s="11" t="s">
        <v>7365</v>
      </c>
      <c r="D527" s="11" t="s">
        <v>1883</v>
      </c>
      <c r="E527" s="11" t="s">
        <v>7363</v>
      </c>
      <c r="F527" s="11" t="s">
        <v>7362</v>
      </c>
      <c r="G527" s="11" t="s">
        <v>184</v>
      </c>
      <c r="H527" s="11"/>
      <c r="I527" s="11" t="s">
        <v>7361</v>
      </c>
      <c r="J527" s="11" t="s">
        <v>7360</v>
      </c>
      <c r="K527" s="11" t="s">
        <v>2033</v>
      </c>
      <c r="L527" s="11"/>
      <c r="M527" s="12"/>
      <c r="N527" s="11"/>
      <c r="O527" s="11" t="s">
        <v>2028</v>
      </c>
    </row>
    <row r="528" spans="1:15" ht="19.5" customHeight="1" x14ac:dyDescent="0.25">
      <c r="A528" s="13" t="s">
        <v>184</v>
      </c>
      <c r="B528" s="13"/>
      <c r="C528" s="13" t="s">
        <v>7364</v>
      </c>
      <c r="D528" s="13" t="s">
        <v>1883</v>
      </c>
      <c r="E528" s="13" t="s">
        <v>7363</v>
      </c>
      <c r="F528" s="13" t="s">
        <v>7362</v>
      </c>
      <c r="G528" s="13" t="s">
        <v>184</v>
      </c>
      <c r="H528" s="13"/>
      <c r="I528" s="13" t="s">
        <v>7361</v>
      </c>
      <c r="J528" s="13" t="s">
        <v>7360</v>
      </c>
      <c r="K528" s="13" t="s">
        <v>2033</v>
      </c>
      <c r="L528" s="13"/>
      <c r="M528" s="14"/>
      <c r="N528" s="13"/>
      <c r="O528" s="13" t="s">
        <v>2028</v>
      </c>
    </row>
    <row r="529" spans="1:15" ht="19.5" customHeight="1" x14ac:dyDescent="0.25">
      <c r="A529" s="11" t="s">
        <v>186</v>
      </c>
      <c r="B529" s="11"/>
      <c r="C529" s="11" t="s">
        <v>7359</v>
      </c>
      <c r="D529" s="11" t="s">
        <v>1883</v>
      </c>
      <c r="E529" s="11" t="s">
        <v>7357</v>
      </c>
      <c r="F529" s="11" t="s">
        <v>7356</v>
      </c>
      <c r="G529" s="11" t="s">
        <v>186</v>
      </c>
      <c r="H529" s="11" t="s">
        <v>7355</v>
      </c>
      <c r="I529" s="11" t="s">
        <v>7354</v>
      </c>
      <c r="J529" s="11" t="s">
        <v>7353</v>
      </c>
      <c r="K529" s="11" t="s">
        <v>1952</v>
      </c>
      <c r="L529" s="11"/>
      <c r="M529" s="12"/>
      <c r="N529" s="11"/>
      <c r="O529" s="11" t="s">
        <v>1945</v>
      </c>
    </row>
    <row r="530" spans="1:15" ht="19.5" customHeight="1" x14ac:dyDescent="0.25">
      <c r="A530" s="13" t="s">
        <v>186</v>
      </c>
      <c r="B530" s="13"/>
      <c r="C530" s="13" t="s">
        <v>7358</v>
      </c>
      <c r="D530" s="13" t="s">
        <v>1883</v>
      </c>
      <c r="E530" s="13" t="s">
        <v>7357</v>
      </c>
      <c r="F530" s="13" t="s">
        <v>7356</v>
      </c>
      <c r="G530" s="13" t="s">
        <v>186</v>
      </c>
      <c r="H530" s="13" t="s">
        <v>7355</v>
      </c>
      <c r="I530" s="13" t="s">
        <v>7354</v>
      </c>
      <c r="J530" s="13" t="s">
        <v>7353</v>
      </c>
      <c r="K530" s="13" t="s">
        <v>1952</v>
      </c>
      <c r="L530" s="13"/>
      <c r="M530" s="14"/>
      <c r="N530" s="13"/>
      <c r="O530" s="13" t="s">
        <v>2028</v>
      </c>
    </row>
    <row r="531" spans="1:15" ht="19.5" customHeight="1" x14ac:dyDescent="0.25">
      <c r="A531" s="11" t="s">
        <v>1728</v>
      </c>
      <c r="B531" s="11"/>
      <c r="C531" s="11" t="s">
        <v>7352</v>
      </c>
      <c r="D531" s="11" t="s">
        <v>1883</v>
      </c>
      <c r="E531" s="11" t="s">
        <v>7350</v>
      </c>
      <c r="F531" s="11"/>
      <c r="G531" s="11" t="s">
        <v>1728</v>
      </c>
      <c r="H531" s="11"/>
      <c r="I531" s="11" t="s">
        <v>7349</v>
      </c>
      <c r="J531" s="11" t="s">
        <v>7348</v>
      </c>
      <c r="K531" s="11" t="s">
        <v>2033</v>
      </c>
      <c r="L531" s="11"/>
      <c r="M531" s="12"/>
      <c r="N531" s="11"/>
      <c r="O531" s="11" t="s">
        <v>2028</v>
      </c>
    </row>
    <row r="532" spans="1:15" ht="19.5" customHeight="1" x14ac:dyDescent="0.25">
      <c r="A532" s="13" t="s">
        <v>1728</v>
      </c>
      <c r="B532" s="13"/>
      <c r="C532" s="13" t="s">
        <v>7351</v>
      </c>
      <c r="D532" s="13" t="s">
        <v>1883</v>
      </c>
      <c r="E532" s="13" t="s">
        <v>7350</v>
      </c>
      <c r="F532" s="13"/>
      <c r="G532" s="13" t="s">
        <v>1728</v>
      </c>
      <c r="H532" s="13"/>
      <c r="I532" s="13" t="s">
        <v>7349</v>
      </c>
      <c r="J532" s="13" t="s">
        <v>7348</v>
      </c>
      <c r="K532" s="13" t="s">
        <v>2033</v>
      </c>
      <c r="L532" s="13"/>
      <c r="M532" s="14"/>
      <c r="N532" s="13"/>
      <c r="O532" s="13" t="s">
        <v>2028</v>
      </c>
    </row>
    <row r="533" spans="1:15" ht="19.5" customHeight="1" x14ac:dyDescent="0.25">
      <c r="A533" s="11" t="s">
        <v>188</v>
      </c>
      <c r="B533" s="11"/>
      <c r="C533" s="11" t="s">
        <v>7347</v>
      </c>
      <c r="D533" s="11" t="s">
        <v>1883</v>
      </c>
      <c r="E533" s="11" t="s">
        <v>7344</v>
      </c>
      <c r="F533" s="11" t="s">
        <v>7343</v>
      </c>
      <c r="G533" s="11" t="s">
        <v>188</v>
      </c>
      <c r="H533" s="11" t="s">
        <v>7342</v>
      </c>
      <c r="I533" s="11" t="s">
        <v>7341</v>
      </c>
      <c r="J533" s="11" t="s">
        <v>7340</v>
      </c>
      <c r="K533" s="11" t="s">
        <v>2033</v>
      </c>
      <c r="L533" s="11"/>
      <c r="M533" s="12"/>
      <c r="N533" s="11"/>
      <c r="O533" s="11" t="s">
        <v>2028</v>
      </c>
    </row>
    <row r="534" spans="1:15" ht="19.5" customHeight="1" x14ac:dyDescent="0.25">
      <c r="A534" s="13" t="s">
        <v>188</v>
      </c>
      <c r="B534" s="13"/>
      <c r="C534" s="13" t="s">
        <v>7346</v>
      </c>
      <c r="D534" s="13" t="s">
        <v>1883</v>
      </c>
      <c r="E534" s="13" t="s">
        <v>7344</v>
      </c>
      <c r="F534" s="13" t="s">
        <v>7343</v>
      </c>
      <c r="G534" s="13" t="s">
        <v>188</v>
      </c>
      <c r="H534" s="13" t="s">
        <v>7342</v>
      </c>
      <c r="I534" s="13" t="s">
        <v>7341</v>
      </c>
      <c r="J534" s="13" t="s">
        <v>7340</v>
      </c>
      <c r="K534" s="13" t="s">
        <v>2033</v>
      </c>
      <c r="L534" s="13"/>
      <c r="M534" s="14"/>
      <c r="N534" s="13"/>
      <c r="O534" s="13" t="s">
        <v>2028</v>
      </c>
    </row>
    <row r="535" spans="1:15" ht="19.5" customHeight="1" x14ac:dyDescent="0.25">
      <c r="A535" s="11" t="s">
        <v>188</v>
      </c>
      <c r="B535" s="11"/>
      <c r="C535" s="11" t="s">
        <v>7345</v>
      </c>
      <c r="D535" s="11" t="s">
        <v>1883</v>
      </c>
      <c r="E535" s="11" t="s">
        <v>7344</v>
      </c>
      <c r="F535" s="11" t="s">
        <v>7343</v>
      </c>
      <c r="G535" s="11" t="s">
        <v>188</v>
      </c>
      <c r="H535" s="11" t="s">
        <v>7342</v>
      </c>
      <c r="I535" s="11" t="s">
        <v>7341</v>
      </c>
      <c r="J535" s="11" t="s">
        <v>7340</v>
      </c>
      <c r="K535" s="11" t="s">
        <v>2033</v>
      </c>
      <c r="L535" s="11"/>
      <c r="M535" s="12"/>
      <c r="N535" s="11"/>
      <c r="O535" s="11" t="s">
        <v>2028</v>
      </c>
    </row>
    <row r="536" spans="1:15" ht="19.5" customHeight="1" x14ac:dyDescent="0.25">
      <c r="A536" s="13" t="s">
        <v>190</v>
      </c>
      <c r="B536" s="13"/>
      <c r="C536" s="13" t="s">
        <v>7339</v>
      </c>
      <c r="D536" s="13" t="s">
        <v>1883</v>
      </c>
      <c r="E536" s="13" t="s">
        <v>7336</v>
      </c>
      <c r="F536" s="13" t="s">
        <v>7335</v>
      </c>
      <c r="G536" s="13" t="s">
        <v>190</v>
      </c>
      <c r="H536" s="13"/>
      <c r="I536" s="13" t="s">
        <v>7334</v>
      </c>
      <c r="J536" s="13" t="s">
        <v>7333</v>
      </c>
      <c r="K536" s="13" t="s">
        <v>2033</v>
      </c>
      <c r="L536" s="13"/>
      <c r="M536" s="14"/>
      <c r="N536" s="13"/>
      <c r="O536" s="13" t="s">
        <v>2028</v>
      </c>
    </row>
    <row r="537" spans="1:15" ht="19.5" customHeight="1" x14ac:dyDescent="0.25">
      <c r="A537" s="11" t="s">
        <v>190</v>
      </c>
      <c r="B537" s="11"/>
      <c r="C537" s="11" t="s">
        <v>7338</v>
      </c>
      <c r="D537" s="11" t="s">
        <v>1883</v>
      </c>
      <c r="E537" s="11" t="s">
        <v>7336</v>
      </c>
      <c r="F537" s="11" t="s">
        <v>7335</v>
      </c>
      <c r="G537" s="11" t="s">
        <v>190</v>
      </c>
      <c r="H537" s="11"/>
      <c r="I537" s="11" t="s">
        <v>7334</v>
      </c>
      <c r="J537" s="11" t="s">
        <v>7333</v>
      </c>
      <c r="K537" s="11" t="s">
        <v>2033</v>
      </c>
      <c r="L537" s="11"/>
      <c r="M537" s="12"/>
      <c r="N537" s="11"/>
      <c r="O537" s="11" t="s">
        <v>2028</v>
      </c>
    </row>
    <row r="538" spans="1:15" ht="19.5" customHeight="1" x14ac:dyDescent="0.25">
      <c r="A538" s="13" t="s">
        <v>190</v>
      </c>
      <c r="B538" s="13"/>
      <c r="C538" s="13" t="s">
        <v>7337</v>
      </c>
      <c r="D538" s="13" t="s">
        <v>1883</v>
      </c>
      <c r="E538" s="13" t="s">
        <v>7336</v>
      </c>
      <c r="F538" s="13" t="s">
        <v>7335</v>
      </c>
      <c r="G538" s="13" t="s">
        <v>190</v>
      </c>
      <c r="H538" s="13"/>
      <c r="I538" s="13" t="s">
        <v>7334</v>
      </c>
      <c r="J538" s="13" t="s">
        <v>7333</v>
      </c>
      <c r="K538" s="13" t="s">
        <v>2033</v>
      </c>
      <c r="L538" s="13"/>
      <c r="M538" s="14"/>
      <c r="N538" s="13"/>
      <c r="O538" s="13" t="s">
        <v>2028</v>
      </c>
    </row>
    <row r="539" spans="1:15" ht="19.5" customHeight="1" x14ac:dyDescent="0.25">
      <c r="A539" s="11" t="s">
        <v>192</v>
      </c>
      <c r="B539" s="11"/>
      <c r="C539" s="11" t="s">
        <v>7332</v>
      </c>
      <c r="D539" s="11" t="s">
        <v>1883</v>
      </c>
      <c r="E539" s="11" t="s">
        <v>7331</v>
      </c>
      <c r="F539" s="11"/>
      <c r="G539" s="11" t="s">
        <v>192</v>
      </c>
      <c r="H539" s="11"/>
      <c r="I539" s="11" t="s">
        <v>7330</v>
      </c>
      <c r="J539" s="11" t="s">
        <v>7326</v>
      </c>
      <c r="K539" s="11" t="s">
        <v>2033</v>
      </c>
      <c r="L539" s="11"/>
      <c r="M539" s="12"/>
      <c r="N539" s="11"/>
      <c r="O539" s="11" t="s">
        <v>1916</v>
      </c>
    </row>
    <row r="540" spans="1:15" ht="19.5" customHeight="1" x14ac:dyDescent="0.25">
      <c r="A540" s="13" t="s">
        <v>192</v>
      </c>
      <c r="B540" s="13"/>
      <c r="C540" s="13" t="s">
        <v>7329</v>
      </c>
      <c r="D540" s="13" t="s">
        <v>1883</v>
      </c>
      <c r="E540" s="13" t="s">
        <v>7328</v>
      </c>
      <c r="F540" s="13"/>
      <c r="G540" s="13" t="s">
        <v>192</v>
      </c>
      <c r="H540" s="13"/>
      <c r="I540" s="13" t="s">
        <v>7327</v>
      </c>
      <c r="J540" s="13" t="s">
        <v>7326</v>
      </c>
      <c r="K540" s="13" t="s">
        <v>2033</v>
      </c>
      <c r="L540" s="13"/>
      <c r="M540" s="14"/>
      <c r="N540" s="13"/>
      <c r="O540" s="13" t="s">
        <v>2028</v>
      </c>
    </row>
    <row r="541" spans="1:15" ht="19.5" customHeight="1" x14ac:dyDescent="0.25">
      <c r="A541" s="11" t="s">
        <v>7322</v>
      </c>
      <c r="B541" s="11"/>
      <c r="C541" s="11" t="s">
        <v>7325</v>
      </c>
      <c r="D541" s="11" t="s">
        <v>1883</v>
      </c>
      <c r="E541" s="11" t="s">
        <v>7324</v>
      </c>
      <c r="F541" s="11" t="s">
        <v>7323</v>
      </c>
      <c r="G541" s="11" t="s">
        <v>7322</v>
      </c>
      <c r="H541" s="11"/>
      <c r="I541" s="11" t="s">
        <v>7321</v>
      </c>
      <c r="J541" s="11" t="s">
        <v>7320</v>
      </c>
      <c r="K541" s="11" t="s">
        <v>3599</v>
      </c>
      <c r="L541" s="11"/>
      <c r="M541" s="12"/>
      <c r="N541" s="11"/>
      <c r="O541" s="11" t="s">
        <v>2028</v>
      </c>
    </row>
    <row r="542" spans="1:15" ht="19.5" customHeight="1" x14ac:dyDescent="0.25">
      <c r="A542" s="13" t="s">
        <v>66</v>
      </c>
      <c r="B542" s="13"/>
      <c r="C542" s="13" t="s">
        <v>7319</v>
      </c>
      <c r="D542" s="13" t="s">
        <v>1883</v>
      </c>
      <c r="E542" s="13" t="s">
        <v>7316</v>
      </c>
      <c r="F542" s="13" t="s">
        <v>7315</v>
      </c>
      <c r="G542" s="13" t="s">
        <v>66</v>
      </c>
      <c r="H542" s="13" t="s">
        <v>7314</v>
      </c>
      <c r="I542" s="13" t="s">
        <v>7313</v>
      </c>
      <c r="J542" s="13" t="s">
        <v>7312</v>
      </c>
      <c r="K542" s="13" t="s">
        <v>2033</v>
      </c>
      <c r="L542" s="13"/>
      <c r="M542" s="14"/>
      <c r="N542" s="13"/>
      <c r="O542" s="13" t="s">
        <v>2028</v>
      </c>
    </row>
    <row r="543" spans="1:15" ht="19.5" customHeight="1" x14ac:dyDescent="0.25">
      <c r="A543" s="11" t="s">
        <v>66</v>
      </c>
      <c r="B543" s="11"/>
      <c r="C543" s="11" t="s">
        <v>7318</v>
      </c>
      <c r="D543" s="11" t="s">
        <v>1883</v>
      </c>
      <c r="E543" s="11" t="s">
        <v>7316</v>
      </c>
      <c r="F543" s="11" t="s">
        <v>7315</v>
      </c>
      <c r="G543" s="11" t="s">
        <v>66</v>
      </c>
      <c r="H543" s="11" t="s">
        <v>7314</v>
      </c>
      <c r="I543" s="11" t="s">
        <v>7313</v>
      </c>
      <c r="J543" s="11" t="s">
        <v>7312</v>
      </c>
      <c r="K543" s="11" t="s">
        <v>2033</v>
      </c>
      <c r="L543" s="11"/>
      <c r="M543" s="12"/>
      <c r="N543" s="11"/>
      <c r="O543" s="11" t="s">
        <v>2028</v>
      </c>
    </row>
    <row r="544" spans="1:15" ht="19.5" customHeight="1" x14ac:dyDescent="0.25">
      <c r="A544" s="13" t="s">
        <v>66</v>
      </c>
      <c r="B544" s="13"/>
      <c r="C544" s="13" t="s">
        <v>7317</v>
      </c>
      <c r="D544" s="13" t="s">
        <v>1883</v>
      </c>
      <c r="E544" s="13" t="s">
        <v>7316</v>
      </c>
      <c r="F544" s="13" t="s">
        <v>7315</v>
      </c>
      <c r="G544" s="13" t="s">
        <v>66</v>
      </c>
      <c r="H544" s="13" t="s">
        <v>7314</v>
      </c>
      <c r="I544" s="13" t="s">
        <v>7313</v>
      </c>
      <c r="J544" s="13" t="s">
        <v>7312</v>
      </c>
      <c r="K544" s="13" t="s">
        <v>2033</v>
      </c>
      <c r="L544" s="13"/>
      <c r="M544" s="14"/>
      <c r="N544" s="13"/>
      <c r="O544" s="13" t="s">
        <v>2028</v>
      </c>
    </row>
    <row r="545" spans="1:15" ht="19.5" customHeight="1" x14ac:dyDescent="0.25">
      <c r="A545" s="11" t="s">
        <v>1395</v>
      </c>
      <c r="B545" s="11"/>
      <c r="C545" s="11" t="s">
        <v>7311</v>
      </c>
      <c r="D545" s="11" t="s">
        <v>1883</v>
      </c>
      <c r="E545" s="11" t="s">
        <v>7307</v>
      </c>
      <c r="F545" s="11"/>
      <c r="G545" s="11" t="s">
        <v>1395</v>
      </c>
      <c r="H545" s="11"/>
      <c r="I545" s="11" t="s">
        <v>7310</v>
      </c>
      <c r="J545" s="11" t="s">
        <v>7309</v>
      </c>
      <c r="K545" s="11" t="s">
        <v>1952</v>
      </c>
      <c r="L545" s="11"/>
      <c r="M545" s="12"/>
      <c r="N545" s="11"/>
      <c r="O545" s="11" t="s">
        <v>2028</v>
      </c>
    </row>
    <row r="546" spans="1:15" ht="19.5" customHeight="1" x14ac:dyDescent="0.25">
      <c r="A546" s="13" t="s">
        <v>1395</v>
      </c>
      <c r="B546" s="13"/>
      <c r="C546" s="13" t="s">
        <v>7308</v>
      </c>
      <c r="D546" s="13" t="s">
        <v>1883</v>
      </c>
      <c r="E546" s="13" t="s">
        <v>7307</v>
      </c>
      <c r="F546" s="13"/>
      <c r="G546" s="13" t="s">
        <v>1395</v>
      </c>
      <c r="H546" s="13"/>
      <c r="I546" s="13" t="s">
        <v>7306</v>
      </c>
      <c r="J546" s="13"/>
      <c r="K546" s="13" t="s">
        <v>1952</v>
      </c>
      <c r="L546" s="13"/>
      <c r="M546" s="14"/>
      <c r="N546" s="13"/>
      <c r="O546" s="13" t="s">
        <v>1916</v>
      </c>
    </row>
    <row r="547" spans="1:15" ht="19.5" customHeight="1" x14ac:dyDescent="0.25">
      <c r="A547" s="11" t="s">
        <v>7302</v>
      </c>
      <c r="B547" s="11"/>
      <c r="C547" s="11" t="s">
        <v>7305</v>
      </c>
      <c r="D547" s="11" t="s">
        <v>1883</v>
      </c>
      <c r="E547" s="11" t="s">
        <v>8928</v>
      </c>
      <c r="F547" s="11"/>
      <c r="G547" s="11" t="s">
        <v>7302</v>
      </c>
      <c r="H547" s="11"/>
      <c r="I547" s="11" t="s">
        <v>5841</v>
      </c>
      <c r="J547" s="11" t="s">
        <v>7301</v>
      </c>
      <c r="K547" s="11" t="s">
        <v>2033</v>
      </c>
      <c r="L547" s="11"/>
      <c r="M547" s="12"/>
      <c r="N547" s="11"/>
      <c r="O547" s="11" t="s">
        <v>2028</v>
      </c>
    </row>
    <row r="548" spans="1:15" ht="19.5" customHeight="1" x14ac:dyDescent="0.25">
      <c r="A548" s="13" t="s">
        <v>7302</v>
      </c>
      <c r="B548" s="13"/>
      <c r="C548" s="13" t="s">
        <v>7304</v>
      </c>
      <c r="D548" s="13" t="s">
        <v>1883</v>
      </c>
      <c r="E548" s="13" t="s">
        <v>8928</v>
      </c>
      <c r="F548" s="13"/>
      <c r="G548" s="13" t="s">
        <v>7302</v>
      </c>
      <c r="H548" s="13"/>
      <c r="I548" s="13" t="s">
        <v>5841</v>
      </c>
      <c r="J548" s="13" t="s">
        <v>7301</v>
      </c>
      <c r="K548" s="13" t="s">
        <v>2033</v>
      </c>
      <c r="L548" s="13"/>
      <c r="M548" s="14"/>
      <c r="N548" s="13"/>
      <c r="O548" s="13" t="s">
        <v>2028</v>
      </c>
    </row>
    <row r="549" spans="1:15" ht="19.5" customHeight="1" x14ac:dyDescent="0.25">
      <c r="A549" s="11" t="s">
        <v>7302</v>
      </c>
      <c r="B549" s="11"/>
      <c r="C549" s="11" t="s">
        <v>7303</v>
      </c>
      <c r="D549" s="11" t="s">
        <v>1883</v>
      </c>
      <c r="E549" s="11" t="s">
        <v>8928</v>
      </c>
      <c r="F549" s="11"/>
      <c r="G549" s="11" t="s">
        <v>7302</v>
      </c>
      <c r="H549" s="11"/>
      <c r="I549" s="11" t="s">
        <v>5841</v>
      </c>
      <c r="J549" s="11" t="s">
        <v>7301</v>
      </c>
      <c r="K549" s="11" t="s">
        <v>2033</v>
      </c>
      <c r="L549" s="11"/>
      <c r="M549" s="12"/>
      <c r="N549" s="11"/>
      <c r="O549" s="11" t="s">
        <v>2028</v>
      </c>
    </row>
    <row r="550" spans="1:15" ht="19.5" customHeight="1" x14ac:dyDescent="0.25">
      <c r="A550" s="13" t="s">
        <v>1166</v>
      </c>
      <c r="B550" s="13"/>
      <c r="C550" s="13" t="s">
        <v>7300</v>
      </c>
      <c r="D550" s="13" t="s">
        <v>1883</v>
      </c>
      <c r="E550" s="13" t="s">
        <v>7299</v>
      </c>
      <c r="F550" s="13"/>
      <c r="G550" s="13" t="s">
        <v>1166</v>
      </c>
      <c r="H550" s="13" t="s">
        <v>7298</v>
      </c>
      <c r="I550" s="13" t="s">
        <v>7297</v>
      </c>
      <c r="J550" s="13" t="s">
        <v>7296</v>
      </c>
      <c r="K550" s="13" t="s">
        <v>2175</v>
      </c>
      <c r="L550" s="13"/>
      <c r="M550" s="14"/>
      <c r="N550" s="13"/>
      <c r="O550" s="13" t="s">
        <v>2028</v>
      </c>
    </row>
    <row r="551" spans="1:15" ht="19.5" customHeight="1" x14ac:dyDescent="0.25">
      <c r="A551" s="11" t="s">
        <v>7293</v>
      </c>
      <c r="B551" s="11"/>
      <c r="C551" s="11" t="s">
        <v>7295</v>
      </c>
      <c r="D551" s="11" t="s">
        <v>1883</v>
      </c>
      <c r="E551" s="11" t="s">
        <v>7294</v>
      </c>
      <c r="F551" s="11"/>
      <c r="G551" s="11" t="s">
        <v>7293</v>
      </c>
      <c r="H551" s="11"/>
      <c r="I551" s="11" t="s">
        <v>7292</v>
      </c>
      <c r="J551" s="11" t="s">
        <v>7291</v>
      </c>
      <c r="K551" s="11" t="s">
        <v>2033</v>
      </c>
      <c r="L551" s="11"/>
      <c r="M551" s="12"/>
      <c r="N551" s="11"/>
      <c r="O551" s="11" t="s">
        <v>2028</v>
      </c>
    </row>
    <row r="552" spans="1:15" ht="19.5" customHeight="1" x14ac:dyDescent="0.25">
      <c r="A552" s="13" t="s">
        <v>1199</v>
      </c>
      <c r="B552" s="13"/>
      <c r="C552" s="13" t="s">
        <v>7290</v>
      </c>
      <c r="D552" s="13" t="s">
        <v>1883</v>
      </c>
      <c r="E552" s="13" t="s">
        <v>7286</v>
      </c>
      <c r="F552" s="13" t="s">
        <v>7285</v>
      </c>
      <c r="G552" s="13" t="s">
        <v>7284</v>
      </c>
      <c r="H552" s="13" t="s">
        <v>7283</v>
      </c>
      <c r="I552" s="13" t="s">
        <v>7289</v>
      </c>
      <c r="J552" s="13" t="s">
        <v>7281</v>
      </c>
      <c r="K552" s="13" t="s">
        <v>3599</v>
      </c>
      <c r="L552" s="13"/>
      <c r="M552" s="14"/>
      <c r="N552" s="13"/>
      <c r="O552" s="13" t="s">
        <v>2028</v>
      </c>
    </row>
    <row r="553" spans="1:15" ht="19.5" customHeight="1" x14ac:dyDescent="0.25">
      <c r="A553" s="11" t="s">
        <v>7288</v>
      </c>
      <c r="B553" s="11"/>
      <c r="C553" s="11" t="s">
        <v>7287</v>
      </c>
      <c r="D553" s="11" t="s">
        <v>1883</v>
      </c>
      <c r="E553" s="11" t="s">
        <v>7286</v>
      </c>
      <c r="F553" s="11" t="s">
        <v>7285</v>
      </c>
      <c r="G553" s="11" t="s">
        <v>7284</v>
      </c>
      <c r="H553" s="11" t="s">
        <v>7283</v>
      </c>
      <c r="I553" s="11" t="s">
        <v>7282</v>
      </c>
      <c r="J553" s="11" t="s">
        <v>7281</v>
      </c>
      <c r="K553" s="11" t="s">
        <v>3599</v>
      </c>
      <c r="L553" s="11"/>
      <c r="M553" s="12"/>
      <c r="N553" s="11"/>
      <c r="O553" s="11" t="s">
        <v>2028</v>
      </c>
    </row>
    <row r="554" spans="1:15" ht="19.5" customHeight="1" x14ac:dyDescent="0.25">
      <c r="A554" s="13" t="s">
        <v>194</v>
      </c>
      <c r="B554" s="13"/>
      <c r="C554" s="13" t="s">
        <v>7280</v>
      </c>
      <c r="D554" s="13" t="s">
        <v>1883</v>
      </c>
      <c r="E554" s="13" t="s">
        <v>7279</v>
      </c>
      <c r="F554" s="13"/>
      <c r="G554" s="13" t="s">
        <v>194</v>
      </c>
      <c r="H554" s="13" t="s">
        <v>7278</v>
      </c>
      <c r="I554" s="13" t="s">
        <v>7277</v>
      </c>
      <c r="J554" s="13" t="s">
        <v>7276</v>
      </c>
      <c r="K554" s="13" t="s">
        <v>2033</v>
      </c>
      <c r="L554" s="13"/>
      <c r="M554" s="14"/>
      <c r="N554" s="13"/>
      <c r="O554" s="13" t="s">
        <v>2028</v>
      </c>
    </row>
    <row r="555" spans="1:15" ht="19.5" customHeight="1" x14ac:dyDescent="0.25">
      <c r="A555" s="11" t="s">
        <v>7266</v>
      </c>
      <c r="B555" s="11"/>
      <c r="C555" s="11" t="s">
        <v>7274</v>
      </c>
      <c r="D555" s="11" t="s">
        <v>1883</v>
      </c>
      <c r="E555" s="11" t="s">
        <v>7267</v>
      </c>
      <c r="F555" s="11" t="s">
        <v>7273</v>
      </c>
      <c r="G555" s="11" t="s">
        <v>7266</v>
      </c>
      <c r="H555" s="11"/>
      <c r="I555" s="11" t="s">
        <v>8905</v>
      </c>
      <c r="J555" s="11" t="s">
        <v>8906</v>
      </c>
      <c r="K555" s="11" t="s">
        <v>3599</v>
      </c>
      <c r="L555" s="11"/>
      <c r="M555" s="12"/>
      <c r="N555" s="11"/>
      <c r="O555" s="11" t="s">
        <v>1945</v>
      </c>
    </row>
    <row r="556" spans="1:15" ht="19.5" customHeight="1" x14ac:dyDescent="0.25">
      <c r="A556" s="13" t="s">
        <v>7266</v>
      </c>
      <c r="B556" s="13"/>
      <c r="C556" s="13" t="s">
        <v>7275</v>
      </c>
      <c r="D556" s="13" t="s">
        <v>1883</v>
      </c>
      <c r="E556" s="13" t="s">
        <v>7269</v>
      </c>
      <c r="F556" s="13"/>
      <c r="G556" s="13" t="s">
        <v>7266</v>
      </c>
      <c r="H556" s="13"/>
      <c r="I556" s="13" t="s">
        <v>8905</v>
      </c>
      <c r="J556" s="13" t="s">
        <v>8906</v>
      </c>
      <c r="K556" s="13" t="s">
        <v>3599</v>
      </c>
      <c r="L556" s="13"/>
      <c r="M556" s="14"/>
      <c r="N556" s="13"/>
      <c r="O556" s="13" t="s">
        <v>2028</v>
      </c>
    </row>
    <row r="557" spans="1:15" ht="19.5" customHeight="1" x14ac:dyDescent="0.25">
      <c r="A557" s="11" t="s">
        <v>7266</v>
      </c>
      <c r="B557" s="11"/>
      <c r="C557" s="11" t="s">
        <v>7272</v>
      </c>
      <c r="D557" s="11" t="s">
        <v>1883</v>
      </c>
      <c r="E557" s="11" t="s">
        <v>7267</v>
      </c>
      <c r="F557" s="11"/>
      <c r="G557" s="11" t="s">
        <v>7266</v>
      </c>
      <c r="H557" s="11"/>
      <c r="I557" s="11" t="s">
        <v>8905</v>
      </c>
      <c r="J557" s="11" t="s">
        <v>8906</v>
      </c>
      <c r="K557" s="11" t="s">
        <v>3599</v>
      </c>
      <c r="L557" s="11"/>
      <c r="M557" s="12"/>
      <c r="N557" s="11"/>
      <c r="O557" s="11" t="s">
        <v>2028</v>
      </c>
    </row>
    <row r="558" spans="1:15" ht="19.5" customHeight="1" x14ac:dyDescent="0.25">
      <c r="A558" s="13" t="s">
        <v>7266</v>
      </c>
      <c r="B558" s="13"/>
      <c r="C558" s="13" t="s">
        <v>7271</v>
      </c>
      <c r="D558" s="13" t="s">
        <v>1883</v>
      </c>
      <c r="E558" s="13" t="s">
        <v>7267</v>
      </c>
      <c r="F558" s="13"/>
      <c r="G558" s="13" t="s">
        <v>7266</v>
      </c>
      <c r="H558" s="13"/>
      <c r="I558" s="13" t="s">
        <v>8905</v>
      </c>
      <c r="J558" s="13" t="s">
        <v>8906</v>
      </c>
      <c r="K558" s="13" t="s">
        <v>3599</v>
      </c>
      <c r="L558" s="13"/>
      <c r="M558" s="14"/>
      <c r="N558" s="13"/>
      <c r="O558" s="13" t="s">
        <v>1945</v>
      </c>
    </row>
    <row r="559" spans="1:15" ht="19.5" customHeight="1" x14ac:dyDescent="0.25">
      <c r="A559" s="11" t="s">
        <v>7266</v>
      </c>
      <c r="B559" s="11"/>
      <c r="C559" s="11" t="s">
        <v>7270</v>
      </c>
      <c r="D559" s="11" t="s">
        <v>1883</v>
      </c>
      <c r="E559" s="11" t="s">
        <v>7269</v>
      </c>
      <c r="F559" s="11"/>
      <c r="G559" s="11" t="s">
        <v>7266</v>
      </c>
      <c r="H559" s="11"/>
      <c r="I559" s="11" t="s">
        <v>8905</v>
      </c>
      <c r="J559" s="11" t="s">
        <v>8906</v>
      </c>
      <c r="K559" s="11" t="s">
        <v>3599</v>
      </c>
      <c r="L559" s="11"/>
      <c r="M559" s="12"/>
      <c r="N559" s="11"/>
      <c r="O559" s="11" t="s">
        <v>2028</v>
      </c>
    </row>
    <row r="560" spans="1:15" ht="19.5" customHeight="1" x14ac:dyDescent="0.25">
      <c r="A560" s="13" t="s">
        <v>7266</v>
      </c>
      <c r="B560" s="13"/>
      <c r="C560" s="13" t="s">
        <v>7268</v>
      </c>
      <c r="D560" s="13" t="s">
        <v>1883</v>
      </c>
      <c r="E560" s="13" t="s">
        <v>7267</v>
      </c>
      <c r="F560" s="13"/>
      <c r="G560" s="13" t="s">
        <v>7266</v>
      </c>
      <c r="H560" s="13"/>
      <c r="I560" s="13" t="s">
        <v>8905</v>
      </c>
      <c r="J560" s="13" t="s">
        <v>8906</v>
      </c>
      <c r="K560" s="13" t="s">
        <v>3599</v>
      </c>
      <c r="L560" s="13"/>
      <c r="M560" s="14"/>
      <c r="N560" s="13"/>
      <c r="O560" s="13" t="s">
        <v>1945</v>
      </c>
    </row>
    <row r="561" spans="1:15" ht="19.5" customHeight="1" x14ac:dyDescent="0.25">
      <c r="A561" s="11" t="s">
        <v>196</v>
      </c>
      <c r="B561" s="11"/>
      <c r="C561" s="11" t="s">
        <v>7265</v>
      </c>
      <c r="D561" s="11" t="s">
        <v>1883</v>
      </c>
      <c r="E561" s="11" t="s">
        <v>7262</v>
      </c>
      <c r="F561" s="11" t="s">
        <v>7261</v>
      </c>
      <c r="G561" s="11" t="s">
        <v>196</v>
      </c>
      <c r="H561" s="11" t="s">
        <v>7260</v>
      </c>
      <c r="I561" s="11" t="s">
        <v>7259</v>
      </c>
      <c r="J561" s="11" t="s">
        <v>7258</v>
      </c>
      <c r="K561" s="11" t="s">
        <v>1952</v>
      </c>
      <c r="L561" s="11"/>
      <c r="M561" s="12"/>
      <c r="N561" s="11"/>
      <c r="O561" s="11" t="s">
        <v>2028</v>
      </c>
    </row>
    <row r="562" spans="1:15" ht="19.5" customHeight="1" x14ac:dyDescent="0.25">
      <c r="A562" s="13" t="s">
        <v>196</v>
      </c>
      <c r="B562" s="13"/>
      <c r="C562" s="13" t="s">
        <v>7264</v>
      </c>
      <c r="D562" s="13" t="s">
        <v>1883</v>
      </c>
      <c r="E562" s="13" t="s">
        <v>7262</v>
      </c>
      <c r="F562" s="13" t="s">
        <v>7261</v>
      </c>
      <c r="G562" s="13" t="s">
        <v>196</v>
      </c>
      <c r="H562" s="13" t="s">
        <v>7260</v>
      </c>
      <c r="I562" s="13" t="s">
        <v>7259</v>
      </c>
      <c r="J562" s="13" t="s">
        <v>7258</v>
      </c>
      <c r="K562" s="13" t="s">
        <v>1952</v>
      </c>
      <c r="L562" s="13"/>
      <c r="M562" s="14"/>
      <c r="N562" s="13"/>
      <c r="O562" s="13" t="s">
        <v>2028</v>
      </c>
    </row>
    <row r="563" spans="1:15" ht="19.5" customHeight="1" x14ac:dyDescent="0.25">
      <c r="A563" s="11" t="s">
        <v>196</v>
      </c>
      <c r="B563" s="11"/>
      <c r="C563" s="11" t="s">
        <v>7263</v>
      </c>
      <c r="D563" s="11" t="s">
        <v>1883</v>
      </c>
      <c r="E563" s="11" t="s">
        <v>7262</v>
      </c>
      <c r="F563" s="11" t="s">
        <v>7261</v>
      </c>
      <c r="G563" s="11" t="s">
        <v>196</v>
      </c>
      <c r="H563" s="11" t="s">
        <v>7260</v>
      </c>
      <c r="I563" s="11" t="s">
        <v>7259</v>
      </c>
      <c r="J563" s="11" t="s">
        <v>7258</v>
      </c>
      <c r="K563" s="11" t="s">
        <v>1952</v>
      </c>
      <c r="L563" s="11"/>
      <c r="M563" s="12"/>
      <c r="N563" s="11"/>
      <c r="O563" s="11" t="s">
        <v>2028</v>
      </c>
    </row>
    <row r="564" spans="1:15" ht="19.5" customHeight="1" x14ac:dyDescent="0.25">
      <c r="A564" s="13" t="s">
        <v>198</v>
      </c>
      <c r="B564" s="13"/>
      <c r="C564" s="13" t="s">
        <v>7257</v>
      </c>
      <c r="D564" s="13" t="s">
        <v>1883</v>
      </c>
      <c r="E564" s="13" t="s">
        <v>7254</v>
      </c>
      <c r="F564" s="13" t="s">
        <v>7253</v>
      </c>
      <c r="G564" s="13" t="s">
        <v>198</v>
      </c>
      <c r="H564" s="13"/>
      <c r="I564" s="13" t="s">
        <v>7252</v>
      </c>
      <c r="J564" s="13" t="s">
        <v>7251</v>
      </c>
      <c r="K564" s="13" t="s">
        <v>1952</v>
      </c>
      <c r="L564" s="13"/>
      <c r="M564" s="14"/>
      <c r="N564" s="13"/>
      <c r="O564" s="13" t="s">
        <v>2028</v>
      </c>
    </row>
    <row r="565" spans="1:15" ht="19.5" customHeight="1" x14ac:dyDescent="0.25">
      <c r="A565" s="11" t="s">
        <v>198</v>
      </c>
      <c r="B565" s="11"/>
      <c r="C565" s="11" t="s">
        <v>7256</v>
      </c>
      <c r="D565" s="11" t="s">
        <v>1883</v>
      </c>
      <c r="E565" s="11" t="s">
        <v>7254</v>
      </c>
      <c r="F565" s="11" t="s">
        <v>7253</v>
      </c>
      <c r="G565" s="11" t="s">
        <v>198</v>
      </c>
      <c r="H565" s="11"/>
      <c r="I565" s="11" t="s">
        <v>7252</v>
      </c>
      <c r="J565" s="11" t="s">
        <v>7251</v>
      </c>
      <c r="K565" s="11" t="s">
        <v>1952</v>
      </c>
      <c r="L565" s="11"/>
      <c r="M565" s="12"/>
      <c r="N565" s="11"/>
      <c r="O565" s="11" t="s">
        <v>2028</v>
      </c>
    </row>
    <row r="566" spans="1:15" ht="19.5" customHeight="1" x14ac:dyDescent="0.25">
      <c r="A566" s="13" t="s">
        <v>198</v>
      </c>
      <c r="B566" s="13"/>
      <c r="C566" s="13" t="s">
        <v>7255</v>
      </c>
      <c r="D566" s="13" t="s">
        <v>1883</v>
      </c>
      <c r="E566" s="13" t="s">
        <v>7254</v>
      </c>
      <c r="F566" s="13" t="s">
        <v>7253</v>
      </c>
      <c r="G566" s="13" t="s">
        <v>198</v>
      </c>
      <c r="H566" s="13"/>
      <c r="I566" s="13" t="s">
        <v>7252</v>
      </c>
      <c r="J566" s="13" t="s">
        <v>7251</v>
      </c>
      <c r="K566" s="13" t="s">
        <v>1952</v>
      </c>
      <c r="L566" s="13"/>
      <c r="M566" s="14"/>
      <c r="N566" s="13"/>
      <c r="O566" s="13" t="s">
        <v>2028</v>
      </c>
    </row>
    <row r="567" spans="1:15" ht="19.5" customHeight="1" x14ac:dyDescent="0.25">
      <c r="A567" s="11" t="s">
        <v>1837</v>
      </c>
      <c r="B567" s="11"/>
      <c r="C567" s="11" t="s">
        <v>1836</v>
      </c>
      <c r="D567" s="11" t="s">
        <v>1883</v>
      </c>
      <c r="E567" s="11" t="s">
        <v>7250</v>
      </c>
      <c r="F567" s="11"/>
      <c r="G567" s="11" t="s">
        <v>1837</v>
      </c>
      <c r="H567" s="11"/>
      <c r="I567" s="11" t="s">
        <v>7249</v>
      </c>
      <c r="J567" s="11" t="s">
        <v>7248</v>
      </c>
      <c r="K567" s="11" t="s">
        <v>1952</v>
      </c>
      <c r="L567" s="11"/>
      <c r="M567" s="12"/>
      <c r="N567" s="11"/>
      <c r="O567" s="11" t="s">
        <v>1945</v>
      </c>
    </row>
    <row r="568" spans="1:15" ht="19.5" customHeight="1" x14ac:dyDescent="0.25">
      <c r="A568" s="13" t="s">
        <v>200</v>
      </c>
      <c r="B568" s="13"/>
      <c r="C568" s="13" t="s">
        <v>7247</v>
      </c>
      <c r="D568" s="13" t="s">
        <v>1883</v>
      </c>
      <c r="E568" s="13" t="s">
        <v>7246</v>
      </c>
      <c r="F568" s="13" t="s">
        <v>7245</v>
      </c>
      <c r="G568" s="13" t="s">
        <v>200</v>
      </c>
      <c r="H568" s="13"/>
      <c r="I568" s="13" t="s">
        <v>7244</v>
      </c>
      <c r="J568" s="13" t="s">
        <v>7243</v>
      </c>
      <c r="K568" s="13" t="s">
        <v>3599</v>
      </c>
      <c r="L568" s="13"/>
      <c r="M568" s="14"/>
      <c r="N568" s="13"/>
      <c r="O568" s="13" t="s">
        <v>2028</v>
      </c>
    </row>
    <row r="569" spans="1:15" ht="19.5" customHeight="1" x14ac:dyDescent="0.25">
      <c r="A569" s="11" t="s">
        <v>202</v>
      </c>
      <c r="B569" s="11"/>
      <c r="C569" s="11" t="s">
        <v>7242</v>
      </c>
      <c r="D569" s="11" t="s">
        <v>1883</v>
      </c>
      <c r="E569" s="11" t="s">
        <v>7239</v>
      </c>
      <c r="F569" s="11" t="s">
        <v>7238</v>
      </c>
      <c r="G569" s="11" t="s">
        <v>202</v>
      </c>
      <c r="H569" s="11" t="s">
        <v>7237</v>
      </c>
      <c r="I569" s="11" t="s">
        <v>7236</v>
      </c>
      <c r="J569" s="11" t="s">
        <v>7235</v>
      </c>
      <c r="K569" s="11" t="s">
        <v>2033</v>
      </c>
      <c r="L569" s="11"/>
      <c r="M569" s="12"/>
      <c r="N569" s="11"/>
      <c r="O569" s="11" t="s">
        <v>2028</v>
      </c>
    </row>
    <row r="570" spans="1:15" ht="19.5" customHeight="1" x14ac:dyDescent="0.25">
      <c r="A570" s="13" t="s">
        <v>202</v>
      </c>
      <c r="B570" s="13"/>
      <c r="C570" s="13" t="s">
        <v>7241</v>
      </c>
      <c r="D570" s="13" t="s">
        <v>1883</v>
      </c>
      <c r="E570" s="13" t="s">
        <v>7239</v>
      </c>
      <c r="F570" s="13" t="s">
        <v>7238</v>
      </c>
      <c r="G570" s="13" t="s">
        <v>202</v>
      </c>
      <c r="H570" s="13" t="s">
        <v>7237</v>
      </c>
      <c r="I570" s="13" t="s">
        <v>7236</v>
      </c>
      <c r="J570" s="13" t="s">
        <v>7235</v>
      </c>
      <c r="K570" s="13" t="s">
        <v>2033</v>
      </c>
      <c r="L570" s="13"/>
      <c r="M570" s="14"/>
      <c r="N570" s="13"/>
      <c r="O570" s="13" t="s">
        <v>2028</v>
      </c>
    </row>
    <row r="571" spans="1:15" ht="19.5" customHeight="1" x14ac:dyDescent="0.25">
      <c r="A571" s="11" t="s">
        <v>202</v>
      </c>
      <c r="B571" s="11"/>
      <c r="C571" s="11" t="s">
        <v>7240</v>
      </c>
      <c r="D571" s="11" t="s">
        <v>1883</v>
      </c>
      <c r="E571" s="11" t="s">
        <v>7239</v>
      </c>
      <c r="F571" s="11" t="s">
        <v>7238</v>
      </c>
      <c r="G571" s="11" t="s">
        <v>202</v>
      </c>
      <c r="H571" s="11" t="s">
        <v>7237</v>
      </c>
      <c r="I571" s="11" t="s">
        <v>7236</v>
      </c>
      <c r="J571" s="11" t="s">
        <v>7235</v>
      </c>
      <c r="K571" s="11" t="s">
        <v>2033</v>
      </c>
      <c r="L571" s="11"/>
      <c r="M571" s="12"/>
      <c r="N571" s="11"/>
      <c r="O571" s="11" t="s">
        <v>2028</v>
      </c>
    </row>
    <row r="572" spans="1:15" ht="19.5" customHeight="1" x14ac:dyDescent="0.25">
      <c r="A572" s="13" t="s">
        <v>1576</v>
      </c>
      <c r="B572" s="13"/>
      <c r="C572" s="13" t="s">
        <v>7234</v>
      </c>
      <c r="D572" s="13" t="s">
        <v>1883</v>
      </c>
      <c r="E572" s="13" t="s">
        <v>7233</v>
      </c>
      <c r="F572" s="13"/>
      <c r="G572" s="13" t="s">
        <v>1576</v>
      </c>
      <c r="H572" s="13"/>
      <c r="I572" s="13" t="s">
        <v>8802</v>
      </c>
      <c r="J572" s="13" t="s">
        <v>8803</v>
      </c>
      <c r="K572" s="13" t="s">
        <v>2033</v>
      </c>
      <c r="L572" s="13"/>
      <c r="M572" s="14"/>
      <c r="N572" s="13"/>
      <c r="O572" s="13" t="s">
        <v>2028</v>
      </c>
    </row>
    <row r="573" spans="1:15" ht="19.5" customHeight="1" x14ac:dyDescent="0.25">
      <c r="A573" s="11" t="s">
        <v>1869</v>
      </c>
      <c r="B573" s="11"/>
      <c r="C573" s="11" t="s">
        <v>7232</v>
      </c>
      <c r="D573" s="11" t="s">
        <v>1883</v>
      </c>
      <c r="E573" s="11" t="s">
        <v>7231</v>
      </c>
      <c r="F573" s="11" t="s">
        <v>7230</v>
      </c>
      <c r="G573" s="11" t="s">
        <v>1869</v>
      </c>
      <c r="H573" s="11"/>
      <c r="I573" s="11" t="s">
        <v>7229</v>
      </c>
      <c r="J573" s="11" t="s">
        <v>7228</v>
      </c>
      <c r="K573" s="11" t="s">
        <v>2033</v>
      </c>
      <c r="L573" s="11"/>
      <c r="M573" s="12"/>
      <c r="N573" s="11"/>
      <c r="O573" s="11" t="s">
        <v>2028</v>
      </c>
    </row>
    <row r="574" spans="1:15" ht="19.5" customHeight="1" x14ac:dyDescent="0.25">
      <c r="A574" s="13" t="s">
        <v>7225</v>
      </c>
      <c r="B574" s="13"/>
      <c r="C574" s="13" t="s">
        <v>7227</v>
      </c>
      <c r="D574" s="13" t="s">
        <v>1883</v>
      </c>
      <c r="E574" s="13" t="s">
        <v>7223</v>
      </c>
      <c r="F574" s="13" t="s">
        <v>7222</v>
      </c>
      <c r="G574" s="13" t="s">
        <v>7221</v>
      </c>
      <c r="H574" s="13"/>
      <c r="I574" s="13" t="s">
        <v>7220</v>
      </c>
      <c r="J574" s="13" t="s">
        <v>7219</v>
      </c>
      <c r="K574" s="13" t="s">
        <v>1952</v>
      </c>
      <c r="L574" s="13"/>
      <c r="M574" s="14"/>
      <c r="N574" s="13"/>
      <c r="O574" s="13" t="s">
        <v>2028</v>
      </c>
    </row>
    <row r="575" spans="1:15" ht="19.5" customHeight="1" x14ac:dyDescent="0.25">
      <c r="A575" s="11" t="s">
        <v>7225</v>
      </c>
      <c r="B575" s="11"/>
      <c r="C575" s="11" t="s">
        <v>7226</v>
      </c>
      <c r="D575" s="11" t="s">
        <v>1883</v>
      </c>
      <c r="E575" s="11" t="s">
        <v>7223</v>
      </c>
      <c r="F575" s="11" t="s">
        <v>7222</v>
      </c>
      <c r="G575" s="11" t="s">
        <v>7221</v>
      </c>
      <c r="H575" s="11"/>
      <c r="I575" s="11" t="s">
        <v>7220</v>
      </c>
      <c r="J575" s="11" t="s">
        <v>7219</v>
      </c>
      <c r="K575" s="11" t="s">
        <v>1952</v>
      </c>
      <c r="L575" s="11"/>
      <c r="M575" s="12"/>
      <c r="N575" s="11"/>
      <c r="O575" s="11" t="s">
        <v>2028</v>
      </c>
    </row>
    <row r="576" spans="1:15" ht="19.5" customHeight="1" x14ac:dyDescent="0.25">
      <c r="A576" s="13" t="s">
        <v>7225</v>
      </c>
      <c r="B576" s="13"/>
      <c r="C576" s="13" t="s">
        <v>7224</v>
      </c>
      <c r="D576" s="13" t="s">
        <v>1883</v>
      </c>
      <c r="E576" s="13" t="s">
        <v>7223</v>
      </c>
      <c r="F576" s="13" t="s">
        <v>7222</v>
      </c>
      <c r="G576" s="13" t="s">
        <v>7221</v>
      </c>
      <c r="H576" s="13"/>
      <c r="I576" s="13" t="s">
        <v>7220</v>
      </c>
      <c r="J576" s="13" t="s">
        <v>7219</v>
      </c>
      <c r="K576" s="13" t="s">
        <v>1952</v>
      </c>
      <c r="L576" s="13"/>
      <c r="M576" s="14"/>
      <c r="N576" s="13"/>
      <c r="O576" s="13" t="s">
        <v>2028</v>
      </c>
    </row>
    <row r="577" spans="1:15" ht="19.5" customHeight="1" x14ac:dyDescent="0.25">
      <c r="A577" s="11" t="s">
        <v>7216</v>
      </c>
      <c r="B577" s="11"/>
      <c r="C577" s="11" t="s">
        <v>7218</v>
      </c>
      <c r="D577" s="11" t="s">
        <v>1883</v>
      </c>
      <c r="E577" s="11" t="s">
        <v>7217</v>
      </c>
      <c r="F577" s="11"/>
      <c r="G577" s="11" t="s">
        <v>7216</v>
      </c>
      <c r="H577" s="11"/>
      <c r="I577" s="11" t="s">
        <v>7215</v>
      </c>
      <c r="J577" s="11" t="s">
        <v>7214</v>
      </c>
      <c r="K577" s="11" t="s">
        <v>2033</v>
      </c>
      <c r="L577" s="11"/>
      <c r="M577" s="12"/>
      <c r="N577" s="11"/>
      <c r="O577" s="11" t="s">
        <v>2028</v>
      </c>
    </row>
    <row r="578" spans="1:15" ht="19.5" customHeight="1" x14ac:dyDescent="0.25">
      <c r="A578" s="13" t="s">
        <v>7211</v>
      </c>
      <c r="B578" s="13"/>
      <c r="C578" s="13" t="s">
        <v>7213</v>
      </c>
      <c r="D578" s="13" t="s">
        <v>1883</v>
      </c>
      <c r="E578" s="13" t="s">
        <v>7212</v>
      </c>
      <c r="F578" s="13"/>
      <c r="G578" s="13" t="s">
        <v>7211</v>
      </c>
      <c r="H578" s="13"/>
      <c r="I578" s="13" t="s">
        <v>7210</v>
      </c>
      <c r="J578" s="13" t="s">
        <v>7209</v>
      </c>
      <c r="K578" s="13" t="s">
        <v>7208</v>
      </c>
      <c r="L578" s="13"/>
      <c r="M578" s="14"/>
      <c r="N578" s="13"/>
      <c r="O578" s="13" t="s">
        <v>2028</v>
      </c>
    </row>
    <row r="579" spans="1:15" ht="19.5" customHeight="1" x14ac:dyDescent="0.25">
      <c r="A579" s="11" t="s">
        <v>206</v>
      </c>
      <c r="B579" s="11"/>
      <c r="C579" s="11" t="s">
        <v>7207</v>
      </c>
      <c r="D579" s="11" t="s">
        <v>1883</v>
      </c>
      <c r="E579" s="11" t="s">
        <v>7206</v>
      </c>
      <c r="F579" s="11" t="s">
        <v>7205</v>
      </c>
      <c r="G579" s="11" t="s">
        <v>206</v>
      </c>
      <c r="H579" s="11" t="s">
        <v>7204</v>
      </c>
      <c r="I579" s="11" t="s">
        <v>7203</v>
      </c>
      <c r="J579" s="11" t="s">
        <v>7202</v>
      </c>
      <c r="K579" s="11" t="s">
        <v>1952</v>
      </c>
      <c r="L579" s="11"/>
      <c r="M579" s="12"/>
      <c r="N579" s="11"/>
      <c r="O579" s="11" t="s">
        <v>2028</v>
      </c>
    </row>
    <row r="580" spans="1:15" ht="19.5" customHeight="1" x14ac:dyDescent="0.25">
      <c r="A580" s="13" t="s">
        <v>7199</v>
      </c>
      <c r="B580" s="13"/>
      <c r="C580" s="13" t="s">
        <v>7201</v>
      </c>
      <c r="D580" s="13" t="s">
        <v>1883</v>
      </c>
      <c r="E580" s="13" t="s">
        <v>7200</v>
      </c>
      <c r="F580" s="13"/>
      <c r="G580" s="13" t="s">
        <v>7199</v>
      </c>
      <c r="H580" s="13"/>
      <c r="I580" s="13" t="s">
        <v>7198</v>
      </c>
      <c r="J580" s="13" t="s">
        <v>7197</v>
      </c>
      <c r="K580" s="13" t="s">
        <v>2033</v>
      </c>
      <c r="L580" s="13"/>
      <c r="M580" s="14"/>
      <c r="N580" s="13"/>
      <c r="O580" s="13" t="s">
        <v>2028</v>
      </c>
    </row>
    <row r="581" spans="1:15" ht="19.5" customHeight="1" x14ac:dyDescent="0.25">
      <c r="A581" s="11" t="s">
        <v>208</v>
      </c>
      <c r="B581" s="11"/>
      <c r="C581" s="11" t="s">
        <v>7196</v>
      </c>
      <c r="D581" s="11" t="s">
        <v>1883</v>
      </c>
      <c r="E581" s="11" t="s">
        <v>7193</v>
      </c>
      <c r="F581" s="11" t="s">
        <v>7192</v>
      </c>
      <c r="G581" s="11" t="s">
        <v>208</v>
      </c>
      <c r="H581" s="11" t="s">
        <v>7191</v>
      </c>
      <c r="I581" s="11" t="s">
        <v>7190</v>
      </c>
      <c r="J581" s="11" t="s">
        <v>7189</v>
      </c>
      <c r="K581" s="11" t="s">
        <v>1952</v>
      </c>
      <c r="L581" s="11"/>
      <c r="M581" s="12"/>
      <c r="N581" s="11"/>
      <c r="O581" s="11" t="s">
        <v>2028</v>
      </c>
    </row>
    <row r="582" spans="1:15" ht="19.5" customHeight="1" x14ac:dyDescent="0.25">
      <c r="A582" s="13" t="s">
        <v>208</v>
      </c>
      <c r="B582" s="13"/>
      <c r="C582" s="13" t="s">
        <v>7195</v>
      </c>
      <c r="D582" s="13" t="s">
        <v>1883</v>
      </c>
      <c r="E582" s="13" t="s">
        <v>7193</v>
      </c>
      <c r="F582" s="13" t="s">
        <v>7192</v>
      </c>
      <c r="G582" s="13" t="s">
        <v>208</v>
      </c>
      <c r="H582" s="13" t="s">
        <v>7191</v>
      </c>
      <c r="I582" s="13" t="s">
        <v>7190</v>
      </c>
      <c r="J582" s="13" t="s">
        <v>7189</v>
      </c>
      <c r="K582" s="13" t="s">
        <v>1952</v>
      </c>
      <c r="L582" s="13"/>
      <c r="M582" s="14"/>
      <c r="N582" s="13"/>
      <c r="O582" s="13" t="s">
        <v>2028</v>
      </c>
    </row>
    <row r="583" spans="1:15" ht="19.5" customHeight="1" x14ac:dyDescent="0.25">
      <c r="A583" s="11" t="s">
        <v>208</v>
      </c>
      <c r="B583" s="11"/>
      <c r="C583" s="11" t="s">
        <v>7194</v>
      </c>
      <c r="D583" s="11" t="s">
        <v>1883</v>
      </c>
      <c r="E583" s="11" t="s">
        <v>7193</v>
      </c>
      <c r="F583" s="11" t="s">
        <v>7192</v>
      </c>
      <c r="G583" s="11" t="s">
        <v>208</v>
      </c>
      <c r="H583" s="11" t="s">
        <v>7191</v>
      </c>
      <c r="I583" s="11" t="s">
        <v>7190</v>
      </c>
      <c r="J583" s="11" t="s">
        <v>7189</v>
      </c>
      <c r="K583" s="11" t="s">
        <v>1952</v>
      </c>
      <c r="L583" s="11"/>
      <c r="M583" s="12"/>
      <c r="N583" s="11"/>
      <c r="O583" s="11" t="s">
        <v>2028</v>
      </c>
    </row>
    <row r="584" spans="1:15" ht="19.5" customHeight="1" x14ac:dyDescent="0.25">
      <c r="A584" s="13" t="s">
        <v>210</v>
      </c>
      <c r="B584" s="13"/>
      <c r="C584" s="13" t="s">
        <v>7188</v>
      </c>
      <c r="D584" s="13" t="s">
        <v>1883</v>
      </c>
      <c r="E584" s="13" t="s">
        <v>7187</v>
      </c>
      <c r="F584" s="13" t="s">
        <v>7186</v>
      </c>
      <c r="G584" s="13" t="s">
        <v>210</v>
      </c>
      <c r="H584" s="13" t="s">
        <v>7185</v>
      </c>
      <c r="I584" s="13" t="s">
        <v>7184</v>
      </c>
      <c r="J584" s="13" t="s">
        <v>7183</v>
      </c>
      <c r="K584" s="13" t="s">
        <v>2033</v>
      </c>
      <c r="L584" s="13"/>
      <c r="M584" s="14"/>
      <c r="N584" s="13"/>
      <c r="O584" s="13" t="s">
        <v>2028</v>
      </c>
    </row>
    <row r="585" spans="1:15" ht="19.5" customHeight="1" x14ac:dyDescent="0.25">
      <c r="A585" s="11" t="s">
        <v>210</v>
      </c>
      <c r="B585" s="11"/>
      <c r="C585" s="11" t="s">
        <v>7182</v>
      </c>
      <c r="D585" s="11" t="s">
        <v>1883</v>
      </c>
      <c r="E585" s="11" t="s">
        <v>7181</v>
      </c>
      <c r="F585" s="11"/>
      <c r="G585" s="11" t="s">
        <v>210</v>
      </c>
      <c r="H585" s="11"/>
      <c r="I585" s="11"/>
      <c r="J585" s="11"/>
      <c r="K585" s="11"/>
      <c r="L585" s="11"/>
      <c r="M585" s="12"/>
      <c r="N585" s="11"/>
      <c r="O585" s="11" t="s">
        <v>2028</v>
      </c>
    </row>
    <row r="586" spans="1:15" ht="19.5" customHeight="1" x14ac:dyDescent="0.25">
      <c r="A586" s="13" t="s">
        <v>1084</v>
      </c>
      <c r="B586" s="13"/>
      <c r="C586" s="13" t="s">
        <v>7180</v>
      </c>
      <c r="D586" s="13" t="s">
        <v>1883</v>
      </c>
      <c r="E586" s="13" t="s">
        <v>7179</v>
      </c>
      <c r="F586" s="13"/>
      <c r="G586" s="13" t="s">
        <v>1084</v>
      </c>
      <c r="H586" s="13"/>
      <c r="I586" s="13" t="s">
        <v>7178</v>
      </c>
      <c r="J586" s="13"/>
      <c r="K586" s="13" t="s">
        <v>2033</v>
      </c>
      <c r="L586" s="13"/>
      <c r="M586" s="14"/>
      <c r="N586" s="13"/>
      <c r="O586" s="13" t="s">
        <v>2028</v>
      </c>
    </row>
    <row r="587" spans="1:15" ht="19.5" customHeight="1" x14ac:dyDescent="0.25">
      <c r="A587" s="11" t="s">
        <v>1368</v>
      </c>
      <c r="B587" s="11"/>
      <c r="C587" s="11" t="s">
        <v>7177</v>
      </c>
      <c r="D587" s="11" t="s">
        <v>1883</v>
      </c>
      <c r="E587" s="11" t="s">
        <v>7176</v>
      </c>
      <c r="F587" s="11"/>
      <c r="G587" s="11" t="s">
        <v>1368</v>
      </c>
      <c r="H587" s="11"/>
      <c r="I587" s="11" t="s">
        <v>8804</v>
      </c>
      <c r="J587" s="11" t="s">
        <v>7175</v>
      </c>
      <c r="K587" s="11" t="s">
        <v>2033</v>
      </c>
      <c r="L587" s="11"/>
      <c r="M587" s="12"/>
      <c r="N587" s="11"/>
      <c r="O587" s="11" t="s">
        <v>2028</v>
      </c>
    </row>
    <row r="588" spans="1:15" ht="19.5" customHeight="1" x14ac:dyDescent="0.25">
      <c r="A588" s="13" t="s">
        <v>1833</v>
      </c>
      <c r="B588" s="13"/>
      <c r="C588" s="13" t="s">
        <v>1832</v>
      </c>
      <c r="D588" s="13" t="s">
        <v>1883</v>
      </c>
      <c r="E588" s="13" t="s">
        <v>7174</v>
      </c>
      <c r="F588" s="13" t="s">
        <v>7173</v>
      </c>
      <c r="G588" s="13" t="s">
        <v>1833</v>
      </c>
      <c r="H588" s="13"/>
      <c r="I588" s="13" t="s">
        <v>4036</v>
      </c>
      <c r="J588" s="13" t="s">
        <v>7172</v>
      </c>
      <c r="K588" s="13" t="s">
        <v>1952</v>
      </c>
      <c r="L588" s="13"/>
      <c r="M588" s="14"/>
      <c r="N588" s="13"/>
      <c r="O588" s="13" t="s">
        <v>1877</v>
      </c>
    </row>
    <row r="589" spans="1:15" ht="19.5" customHeight="1" x14ac:dyDescent="0.25">
      <c r="A589" s="11" t="s">
        <v>214</v>
      </c>
      <c r="B589" s="11"/>
      <c r="C589" s="11" t="s">
        <v>7171</v>
      </c>
      <c r="D589" s="11" t="s">
        <v>1883</v>
      </c>
      <c r="E589" s="11" t="s">
        <v>7170</v>
      </c>
      <c r="F589" s="11" t="s">
        <v>7169</v>
      </c>
      <c r="G589" s="11" t="s">
        <v>214</v>
      </c>
      <c r="H589" s="11"/>
      <c r="I589" s="11" t="s">
        <v>7168</v>
      </c>
      <c r="J589" s="11" t="s">
        <v>7167</v>
      </c>
      <c r="K589" s="11" t="s">
        <v>2033</v>
      </c>
      <c r="L589" s="11"/>
      <c r="M589" s="12"/>
      <c r="N589" s="11"/>
      <c r="O589" s="11" t="s">
        <v>2028</v>
      </c>
    </row>
    <row r="590" spans="1:15" ht="19.5" customHeight="1" x14ac:dyDescent="0.25">
      <c r="A590" s="13" t="s">
        <v>7164</v>
      </c>
      <c r="B590" s="13"/>
      <c r="C590" s="13" t="s">
        <v>7166</v>
      </c>
      <c r="D590" s="13" t="s">
        <v>1883</v>
      </c>
      <c r="E590" s="13" t="s">
        <v>7165</v>
      </c>
      <c r="F590" s="13"/>
      <c r="G590" s="13" t="s">
        <v>7164</v>
      </c>
      <c r="H590" s="13"/>
      <c r="I590" s="13"/>
      <c r="J590" s="13"/>
      <c r="K590" s="13"/>
      <c r="L590" s="13"/>
      <c r="M590" s="14"/>
      <c r="N590" s="13"/>
      <c r="O590" s="13" t="s">
        <v>2028</v>
      </c>
    </row>
    <row r="591" spans="1:15" ht="19.5" customHeight="1" x14ac:dyDescent="0.25">
      <c r="A591" s="11" t="s">
        <v>1817</v>
      </c>
      <c r="B591" s="11"/>
      <c r="C591" s="11" t="s">
        <v>1816</v>
      </c>
      <c r="D591" s="11" t="s">
        <v>1883</v>
      </c>
      <c r="E591" s="11" t="s">
        <v>7163</v>
      </c>
      <c r="F591" s="11" t="s">
        <v>7162</v>
      </c>
      <c r="G591" s="11" t="s">
        <v>1817</v>
      </c>
      <c r="H591" s="11"/>
      <c r="I591" s="11" t="s">
        <v>7161</v>
      </c>
      <c r="J591" s="11" t="s">
        <v>7160</v>
      </c>
      <c r="K591" s="11" t="s">
        <v>5555</v>
      </c>
      <c r="L591" s="11"/>
      <c r="M591" s="12"/>
      <c r="N591" s="11"/>
      <c r="O591" s="11" t="s">
        <v>2028</v>
      </c>
    </row>
    <row r="592" spans="1:15" ht="19.5" customHeight="1" x14ac:dyDescent="0.25">
      <c r="A592" s="13" t="s">
        <v>1247</v>
      </c>
      <c r="B592" s="13"/>
      <c r="C592" s="13" t="s">
        <v>7159</v>
      </c>
      <c r="D592" s="13" t="s">
        <v>1883</v>
      </c>
      <c r="E592" s="13" t="s">
        <v>7158</v>
      </c>
      <c r="F592" s="13" t="s">
        <v>7157</v>
      </c>
      <c r="G592" s="13" t="s">
        <v>1247</v>
      </c>
      <c r="H592" s="13"/>
      <c r="I592" s="13" t="s">
        <v>7156</v>
      </c>
      <c r="J592" s="13" t="s">
        <v>7155</v>
      </c>
      <c r="K592" s="13" t="s">
        <v>2033</v>
      </c>
      <c r="L592" s="13"/>
      <c r="M592" s="14"/>
      <c r="N592" s="13"/>
      <c r="O592" s="13" t="s">
        <v>2028</v>
      </c>
    </row>
    <row r="593" spans="1:15" ht="19.5" customHeight="1" x14ac:dyDescent="0.25">
      <c r="A593" s="11" t="s">
        <v>1415</v>
      </c>
      <c r="B593" s="11"/>
      <c r="C593" s="11" t="s">
        <v>7154</v>
      </c>
      <c r="D593" s="11" t="s">
        <v>1883</v>
      </c>
      <c r="E593" s="11" t="s">
        <v>7153</v>
      </c>
      <c r="F593" s="11"/>
      <c r="G593" s="11" t="s">
        <v>1415</v>
      </c>
      <c r="H593" s="11"/>
      <c r="I593" s="11" t="s">
        <v>8929</v>
      </c>
      <c r="J593" s="11" t="s">
        <v>8930</v>
      </c>
      <c r="K593" s="11" t="s">
        <v>2033</v>
      </c>
      <c r="L593" s="11"/>
      <c r="M593" s="12"/>
      <c r="N593" s="11"/>
      <c r="O593" s="11" t="s">
        <v>2028</v>
      </c>
    </row>
    <row r="594" spans="1:15" ht="19.5" customHeight="1" x14ac:dyDescent="0.25">
      <c r="A594" s="13" t="s">
        <v>1750</v>
      </c>
      <c r="B594" s="13"/>
      <c r="C594" s="13" t="s">
        <v>7152</v>
      </c>
      <c r="D594" s="13" t="s">
        <v>1883</v>
      </c>
      <c r="E594" s="13" t="s">
        <v>7151</v>
      </c>
      <c r="F594" s="13"/>
      <c r="G594" s="13" t="s">
        <v>1750</v>
      </c>
      <c r="H594" s="13"/>
      <c r="I594" s="13" t="s">
        <v>7150</v>
      </c>
      <c r="J594" s="13" t="s">
        <v>7149</v>
      </c>
      <c r="K594" s="13" t="s">
        <v>1952</v>
      </c>
      <c r="L594" s="13"/>
      <c r="M594" s="14"/>
      <c r="N594" s="13"/>
      <c r="O594" s="13" t="s">
        <v>2028</v>
      </c>
    </row>
    <row r="595" spans="1:15" ht="19.5" customHeight="1" x14ac:dyDescent="0.25">
      <c r="A595" s="11" t="s">
        <v>216</v>
      </c>
      <c r="B595" s="11"/>
      <c r="C595" s="11" t="s">
        <v>7148</v>
      </c>
      <c r="D595" s="11" t="s">
        <v>1883</v>
      </c>
      <c r="E595" s="11" t="s">
        <v>7145</v>
      </c>
      <c r="F595" s="11" t="s">
        <v>7144</v>
      </c>
      <c r="G595" s="11" t="s">
        <v>7143</v>
      </c>
      <c r="H595" s="11" t="s">
        <v>7142</v>
      </c>
      <c r="I595" s="11" t="s">
        <v>7141</v>
      </c>
      <c r="J595" s="11" t="s">
        <v>7140</v>
      </c>
      <c r="K595" s="11" t="s">
        <v>3599</v>
      </c>
      <c r="L595" s="11"/>
      <c r="M595" s="12"/>
      <c r="N595" s="11"/>
      <c r="O595" s="11" t="s">
        <v>2028</v>
      </c>
    </row>
    <row r="596" spans="1:15" ht="19.5" customHeight="1" x14ac:dyDescent="0.25">
      <c r="A596" s="13" t="s">
        <v>216</v>
      </c>
      <c r="B596" s="13"/>
      <c r="C596" s="13" t="s">
        <v>7147</v>
      </c>
      <c r="D596" s="13" t="s">
        <v>1883</v>
      </c>
      <c r="E596" s="13" t="s">
        <v>7145</v>
      </c>
      <c r="F596" s="13" t="s">
        <v>7144</v>
      </c>
      <c r="G596" s="13" t="s">
        <v>7143</v>
      </c>
      <c r="H596" s="13" t="s">
        <v>7142</v>
      </c>
      <c r="I596" s="13" t="s">
        <v>7141</v>
      </c>
      <c r="J596" s="13" t="s">
        <v>7140</v>
      </c>
      <c r="K596" s="13" t="s">
        <v>3599</v>
      </c>
      <c r="L596" s="13"/>
      <c r="M596" s="14"/>
      <c r="N596" s="13"/>
      <c r="O596" s="13" t="s">
        <v>2028</v>
      </c>
    </row>
    <row r="597" spans="1:15" ht="19.5" customHeight="1" x14ac:dyDescent="0.25">
      <c r="A597" s="11" t="s">
        <v>216</v>
      </c>
      <c r="B597" s="11"/>
      <c r="C597" s="11" t="s">
        <v>7146</v>
      </c>
      <c r="D597" s="11" t="s">
        <v>1883</v>
      </c>
      <c r="E597" s="11" t="s">
        <v>7145</v>
      </c>
      <c r="F597" s="11" t="s">
        <v>7144</v>
      </c>
      <c r="G597" s="11" t="s">
        <v>7143</v>
      </c>
      <c r="H597" s="11" t="s">
        <v>7142</v>
      </c>
      <c r="I597" s="11" t="s">
        <v>7141</v>
      </c>
      <c r="J597" s="11" t="s">
        <v>7140</v>
      </c>
      <c r="K597" s="11" t="s">
        <v>3599</v>
      </c>
      <c r="L597" s="11"/>
      <c r="M597" s="12"/>
      <c r="N597" s="11"/>
      <c r="O597" s="11" t="s">
        <v>2028</v>
      </c>
    </row>
    <row r="598" spans="1:15" ht="19.5" customHeight="1" x14ac:dyDescent="0.25">
      <c r="A598" s="13" t="s">
        <v>1478</v>
      </c>
      <c r="B598" s="13"/>
      <c r="C598" s="13" t="s">
        <v>7139</v>
      </c>
      <c r="D598" s="13" t="s">
        <v>1883</v>
      </c>
      <c r="E598" s="13" t="s">
        <v>7138</v>
      </c>
      <c r="F598" s="13"/>
      <c r="G598" s="13" t="s">
        <v>1478</v>
      </c>
      <c r="H598" s="13"/>
      <c r="I598" s="13" t="s">
        <v>4902</v>
      </c>
      <c r="J598" s="13" t="s">
        <v>7137</v>
      </c>
      <c r="K598" s="13" t="s">
        <v>2033</v>
      </c>
      <c r="L598" s="13"/>
      <c r="M598" s="14"/>
      <c r="N598" s="13"/>
      <c r="O598" s="13" t="s">
        <v>2028</v>
      </c>
    </row>
    <row r="599" spans="1:15" ht="19.5" customHeight="1" x14ac:dyDescent="0.25">
      <c r="A599" s="11" t="s">
        <v>7134</v>
      </c>
      <c r="B599" s="11"/>
      <c r="C599" s="11" t="s">
        <v>7136</v>
      </c>
      <c r="D599" s="11" t="s">
        <v>1883</v>
      </c>
      <c r="E599" s="11" t="s">
        <v>7135</v>
      </c>
      <c r="F599" s="11"/>
      <c r="G599" s="11" t="s">
        <v>7134</v>
      </c>
      <c r="H599" s="11" t="s">
        <v>7133</v>
      </c>
      <c r="I599" s="11" t="s">
        <v>7132</v>
      </c>
      <c r="J599" s="11" t="s">
        <v>7131</v>
      </c>
      <c r="K599" s="11" t="s">
        <v>3599</v>
      </c>
      <c r="L599" s="11"/>
      <c r="M599" s="12"/>
      <c r="N599" s="11"/>
      <c r="O599" s="11" t="s">
        <v>2028</v>
      </c>
    </row>
    <row r="600" spans="1:15" ht="19.5" customHeight="1" x14ac:dyDescent="0.25">
      <c r="A600" s="13" t="s">
        <v>1773</v>
      </c>
      <c r="B600" s="13"/>
      <c r="C600" s="13" t="s">
        <v>7130</v>
      </c>
      <c r="D600" s="13" t="s">
        <v>1883</v>
      </c>
      <c r="E600" s="13" t="s">
        <v>7129</v>
      </c>
      <c r="F600" s="13"/>
      <c r="G600" s="13" t="s">
        <v>1773</v>
      </c>
      <c r="H600" s="13"/>
      <c r="I600" s="13" t="s">
        <v>7128</v>
      </c>
      <c r="J600" s="13" t="s">
        <v>7127</v>
      </c>
      <c r="K600" s="13" t="s">
        <v>3599</v>
      </c>
      <c r="L600" s="13"/>
      <c r="M600" s="14"/>
      <c r="N600" s="13"/>
      <c r="O600" s="13" t="s">
        <v>2028</v>
      </c>
    </row>
    <row r="601" spans="1:15" ht="19.5" customHeight="1" x14ac:dyDescent="0.25">
      <c r="A601" s="11" t="s">
        <v>1653</v>
      </c>
      <c r="B601" s="11"/>
      <c r="C601" s="11" t="s">
        <v>7126</v>
      </c>
      <c r="D601" s="11" t="s">
        <v>1883</v>
      </c>
      <c r="E601" s="11" t="s">
        <v>7125</v>
      </c>
      <c r="F601" s="11"/>
      <c r="G601" s="11" t="s">
        <v>1653</v>
      </c>
      <c r="H601" s="11"/>
      <c r="I601" s="11" t="s">
        <v>7124</v>
      </c>
      <c r="J601" s="11" t="s">
        <v>7123</v>
      </c>
      <c r="K601" s="11" t="s">
        <v>3599</v>
      </c>
      <c r="L601" s="11"/>
      <c r="M601" s="12"/>
      <c r="N601" s="11"/>
      <c r="O601" s="11" t="s">
        <v>2028</v>
      </c>
    </row>
    <row r="602" spans="1:15" ht="19.5" customHeight="1" x14ac:dyDescent="0.25">
      <c r="A602" s="13" t="s">
        <v>1144</v>
      </c>
      <c r="B602" s="13"/>
      <c r="C602" s="13" t="s">
        <v>7122</v>
      </c>
      <c r="D602" s="13" t="s">
        <v>1883</v>
      </c>
      <c r="E602" s="13" t="s">
        <v>7121</v>
      </c>
      <c r="F602" s="13"/>
      <c r="G602" s="13" t="s">
        <v>1144</v>
      </c>
      <c r="H602" s="13"/>
      <c r="I602" s="13" t="s">
        <v>7120</v>
      </c>
      <c r="J602" s="13" t="s">
        <v>7119</v>
      </c>
      <c r="K602" s="13" t="s">
        <v>2033</v>
      </c>
      <c r="L602" s="13"/>
      <c r="M602" s="14"/>
      <c r="N602" s="13"/>
      <c r="O602" s="13" t="s">
        <v>2028</v>
      </c>
    </row>
    <row r="603" spans="1:15" ht="19.5" customHeight="1" x14ac:dyDescent="0.25">
      <c r="A603" s="11" t="s">
        <v>7116</v>
      </c>
      <c r="B603" s="11"/>
      <c r="C603" s="11" t="s">
        <v>7118</v>
      </c>
      <c r="D603" s="11" t="s">
        <v>1883</v>
      </c>
      <c r="E603" s="11" t="s">
        <v>7117</v>
      </c>
      <c r="F603" s="11"/>
      <c r="G603" s="11" t="s">
        <v>7116</v>
      </c>
      <c r="H603" s="11"/>
      <c r="I603" s="11" t="s">
        <v>7115</v>
      </c>
      <c r="J603" s="11" t="s">
        <v>7114</v>
      </c>
      <c r="K603" s="11" t="s">
        <v>3599</v>
      </c>
      <c r="L603" s="11"/>
      <c r="M603" s="12"/>
      <c r="N603" s="11"/>
      <c r="O603" s="11" t="s">
        <v>2028</v>
      </c>
    </row>
    <row r="604" spans="1:15" ht="19.5" customHeight="1" x14ac:dyDescent="0.25">
      <c r="A604" s="13" t="s">
        <v>218</v>
      </c>
      <c r="B604" s="13"/>
      <c r="C604" s="13" t="s">
        <v>7113</v>
      </c>
      <c r="D604" s="13" t="s">
        <v>1883</v>
      </c>
      <c r="E604" s="13" t="s">
        <v>7110</v>
      </c>
      <c r="F604" s="13" t="s">
        <v>7109</v>
      </c>
      <c r="G604" s="13" t="s">
        <v>218</v>
      </c>
      <c r="H604" s="13"/>
      <c r="I604" s="13" t="s">
        <v>7108</v>
      </c>
      <c r="J604" s="13" t="s">
        <v>7107</v>
      </c>
      <c r="K604" s="13" t="s">
        <v>1952</v>
      </c>
      <c r="L604" s="13"/>
      <c r="M604" s="14"/>
      <c r="N604" s="13"/>
      <c r="O604" s="13" t="s">
        <v>2028</v>
      </c>
    </row>
    <row r="605" spans="1:15" ht="19.5" customHeight="1" x14ac:dyDescent="0.25">
      <c r="A605" s="11" t="s">
        <v>218</v>
      </c>
      <c r="B605" s="11"/>
      <c r="C605" s="11" t="s">
        <v>7112</v>
      </c>
      <c r="D605" s="11" t="s">
        <v>1883</v>
      </c>
      <c r="E605" s="11" t="s">
        <v>7110</v>
      </c>
      <c r="F605" s="11" t="s">
        <v>7109</v>
      </c>
      <c r="G605" s="11" t="s">
        <v>218</v>
      </c>
      <c r="H605" s="11"/>
      <c r="I605" s="11" t="s">
        <v>7108</v>
      </c>
      <c r="J605" s="11" t="s">
        <v>7107</v>
      </c>
      <c r="K605" s="11" t="s">
        <v>1952</v>
      </c>
      <c r="L605" s="11"/>
      <c r="M605" s="12"/>
      <c r="N605" s="11"/>
      <c r="O605" s="11" t="s">
        <v>2028</v>
      </c>
    </row>
    <row r="606" spans="1:15" ht="19.5" customHeight="1" x14ac:dyDescent="0.25">
      <c r="A606" s="13" t="s">
        <v>218</v>
      </c>
      <c r="B606" s="13"/>
      <c r="C606" s="13" t="s">
        <v>7111</v>
      </c>
      <c r="D606" s="13" t="s">
        <v>1883</v>
      </c>
      <c r="E606" s="13" t="s">
        <v>7110</v>
      </c>
      <c r="F606" s="13" t="s">
        <v>7109</v>
      </c>
      <c r="G606" s="13" t="s">
        <v>218</v>
      </c>
      <c r="H606" s="13"/>
      <c r="I606" s="13" t="s">
        <v>7108</v>
      </c>
      <c r="J606" s="13" t="s">
        <v>7107</v>
      </c>
      <c r="K606" s="13" t="s">
        <v>1952</v>
      </c>
      <c r="L606" s="13"/>
      <c r="M606" s="14"/>
      <c r="N606" s="13"/>
      <c r="O606" s="13" t="s">
        <v>2028</v>
      </c>
    </row>
    <row r="607" spans="1:15" ht="19.5" customHeight="1" x14ac:dyDescent="0.25">
      <c r="A607" s="11" t="s">
        <v>220</v>
      </c>
      <c r="B607" s="11"/>
      <c r="C607" s="11" t="s">
        <v>7106</v>
      </c>
      <c r="D607" s="11" t="s">
        <v>1883</v>
      </c>
      <c r="E607" s="11" t="s">
        <v>7103</v>
      </c>
      <c r="F607" s="11" t="s">
        <v>7102</v>
      </c>
      <c r="G607" s="11" t="s">
        <v>220</v>
      </c>
      <c r="H607" s="11"/>
      <c r="I607" s="11" t="s">
        <v>7101</v>
      </c>
      <c r="J607" s="11" t="s">
        <v>7100</v>
      </c>
      <c r="K607" s="11" t="s">
        <v>1952</v>
      </c>
      <c r="L607" s="11"/>
      <c r="M607" s="12"/>
      <c r="N607" s="11"/>
      <c r="O607" s="11" t="s">
        <v>2028</v>
      </c>
    </row>
    <row r="608" spans="1:15" ht="19.5" customHeight="1" x14ac:dyDescent="0.25">
      <c r="A608" s="13" t="s">
        <v>220</v>
      </c>
      <c r="B608" s="13"/>
      <c r="C608" s="13" t="s">
        <v>7105</v>
      </c>
      <c r="D608" s="13" t="s">
        <v>1883</v>
      </c>
      <c r="E608" s="13" t="s">
        <v>7103</v>
      </c>
      <c r="F608" s="13" t="s">
        <v>7102</v>
      </c>
      <c r="G608" s="13" t="s">
        <v>220</v>
      </c>
      <c r="H608" s="13"/>
      <c r="I608" s="13" t="s">
        <v>7101</v>
      </c>
      <c r="J608" s="13" t="s">
        <v>7100</v>
      </c>
      <c r="K608" s="13" t="s">
        <v>1952</v>
      </c>
      <c r="L608" s="13"/>
      <c r="M608" s="14"/>
      <c r="N608" s="13"/>
      <c r="O608" s="13" t="s">
        <v>2028</v>
      </c>
    </row>
    <row r="609" spans="1:15" ht="19.5" customHeight="1" x14ac:dyDescent="0.25">
      <c r="A609" s="11" t="s">
        <v>220</v>
      </c>
      <c r="B609" s="11"/>
      <c r="C609" s="11" t="s">
        <v>7104</v>
      </c>
      <c r="D609" s="11" t="s">
        <v>1883</v>
      </c>
      <c r="E609" s="11" t="s">
        <v>7103</v>
      </c>
      <c r="F609" s="11" t="s">
        <v>7102</v>
      </c>
      <c r="G609" s="11" t="s">
        <v>220</v>
      </c>
      <c r="H609" s="11"/>
      <c r="I609" s="11" t="s">
        <v>7101</v>
      </c>
      <c r="J609" s="11" t="s">
        <v>7100</v>
      </c>
      <c r="K609" s="11" t="s">
        <v>1952</v>
      </c>
      <c r="L609" s="11"/>
      <c r="M609" s="12"/>
      <c r="N609" s="11"/>
      <c r="O609" s="11" t="s">
        <v>2028</v>
      </c>
    </row>
    <row r="610" spans="1:15" ht="19.5" customHeight="1" x14ac:dyDescent="0.25">
      <c r="A610" s="13" t="s">
        <v>222</v>
      </c>
      <c r="B610" s="13"/>
      <c r="C610" s="13" t="s">
        <v>7099</v>
      </c>
      <c r="D610" s="13" t="s">
        <v>1883</v>
      </c>
      <c r="E610" s="13" t="s">
        <v>7098</v>
      </c>
      <c r="F610" s="13" t="s">
        <v>7097</v>
      </c>
      <c r="G610" s="13" t="s">
        <v>222</v>
      </c>
      <c r="H610" s="13" t="s">
        <v>7096</v>
      </c>
      <c r="I610" s="13" t="s">
        <v>7095</v>
      </c>
      <c r="J610" s="13" t="s">
        <v>7094</v>
      </c>
      <c r="K610" s="13" t="s">
        <v>1952</v>
      </c>
      <c r="L610" s="13"/>
      <c r="M610" s="14"/>
      <c r="N610" s="13"/>
      <c r="O610" s="13" t="s">
        <v>2028</v>
      </c>
    </row>
    <row r="611" spans="1:15" ht="19.5" customHeight="1" x14ac:dyDescent="0.25">
      <c r="A611" s="11" t="s">
        <v>1068</v>
      </c>
      <c r="B611" s="11"/>
      <c r="C611" s="11" t="s">
        <v>7093</v>
      </c>
      <c r="D611" s="11" t="s">
        <v>1883</v>
      </c>
      <c r="E611" s="11" t="s">
        <v>7092</v>
      </c>
      <c r="F611" s="11" t="s">
        <v>7091</v>
      </c>
      <c r="G611" s="11" t="s">
        <v>1068</v>
      </c>
      <c r="H611" s="11"/>
      <c r="I611" s="11" t="s">
        <v>7090</v>
      </c>
      <c r="J611" s="11" t="s">
        <v>7089</v>
      </c>
      <c r="K611" s="11" t="s">
        <v>1952</v>
      </c>
      <c r="L611" s="11"/>
      <c r="M611" s="12"/>
      <c r="N611" s="11"/>
      <c r="O611" s="11" t="s">
        <v>1945</v>
      </c>
    </row>
    <row r="612" spans="1:15" ht="19.5" customHeight="1" x14ac:dyDescent="0.25">
      <c r="A612" s="13" t="s">
        <v>1068</v>
      </c>
      <c r="B612" s="13"/>
      <c r="C612" s="13" t="s">
        <v>1067</v>
      </c>
      <c r="D612" s="13" t="s">
        <v>1883</v>
      </c>
      <c r="E612" s="13" t="s">
        <v>7092</v>
      </c>
      <c r="F612" s="13" t="s">
        <v>7091</v>
      </c>
      <c r="G612" s="13" t="s">
        <v>1068</v>
      </c>
      <c r="H612" s="13"/>
      <c r="I612" s="13" t="s">
        <v>7090</v>
      </c>
      <c r="J612" s="13" t="s">
        <v>7089</v>
      </c>
      <c r="K612" s="13" t="s">
        <v>1952</v>
      </c>
      <c r="L612" s="13"/>
      <c r="M612" s="14"/>
      <c r="N612" s="13"/>
      <c r="O612" s="13" t="s">
        <v>1945</v>
      </c>
    </row>
    <row r="613" spans="1:15" ht="19.5" customHeight="1" x14ac:dyDescent="0.25">
      <c r="A613" s="11" t="s">
        <v>224</v>
      </c>
      <c r="B613" s="11"/>
      <c r="C613" s="11" t="s">
        <v>7088</v>
      </c>
      <c r="D613" s="11" t="s">
        <v>1883</v>
      </c>
      <c r="E613" s="11" t="s">
        <v>7085</v>
      </c>
      <c r="F613" s="11" t="s">
        <v>7084</v>
      </c>
      <c r="G613" s="11" t="s">
        <v>224</v>
      </c>
      <c r="H613" s="11" t="s">
        <v>7083</v>
      </c>
      <c r="I613" s="11" t="s">
        <v>7082</v>
      </c>
      <c r="J613" s="11" t="s">
        <v>7081</v>
      </c>
      <c r="K613" s="11" t="s">
        <v>2033</v>
      </c>
      <c r="L613" s="11"/>
      <c r="M613" s="12"/>
      <c r="N613" s="11"/>
      <c r="O613" s="11" t="s">
        <v>2028</v>
      </c>
    </row>
    <row r="614" spans="1:15" ht="19.5" customHeight="1" x14ac:dyDescent="0.25">
      <c r="A614" s="13" t="s">
        <v>224</v>
      </c>
      <c r="B614" s="13"/>
      <c r="C614" s="13" t="s">
        <v>7087</v>
      </c>
      <c r="D614" s="13" t="s">
        <v>1883</v>
      </c>
      <c r="E614" s="13" t="s">
        <v>7085</v>
      </c>
      <c r="F614" s="13" t="s">
        <v>7084</v>
      </c>
      <c r="G614" s="13" t="s">
        <v>224</v>
      </c>
      <c r="H614" s="13" t="s">
        <v>7083</v>
      </c>
      <c r="I614" s="13" t="s">
        <v>7082</v>
      </c>
      <c r="J614" s="13" t="s">
        <v>7081</v>
      </c>
      <c r="K614" s="13" t="s">
        <v>2033</v>
      </c>
      <c r="L614" s="13"/>
      <c r="M614" s="14"/>
      <c r="N614" s="13"/>
      <c r="O614" s="13" t="s">
        <v>2028</v>
      </c>
    </row>
    <row r="615" spans="1:15" ht="19.5" customHeight="1" x14ac:dyDescent="0.25">
      <c r="A615" s="11" t="s">
        <v>224</v>
      </c>
      <c r="B615" s="11"/>
      <c r="C615" s="11" t="s">
        <v>7086</v>
      </c>
      <c r="D615" s="11" t="s">
        <v>1883</v>
      </c>
      <c r="E615" s="11" t="s">
        <v>7085</v>
      </c>
      <c r="F615" s="11" t="s">
        <v>7084</v>
      </c>
      <c r="G615" s="11" t="s">
        <v>224</v>
      </c>
      <c r="H615" s="11" t="s">
        <v>7083</v>
      </c>
      <c r="I615" s="11" t="s">
        <v>7082</v>
      </c>
      <c r="J615" s="11" t="s">
        <v>7081</v>
      </c>
      <c r="K615" s="11" t="s">
        <v>2033</v>
      </c>
      <c r="L615" s="11"/>
      <c r="M615" s="12"/>
      <c r="N615" s="11"/>
      <c r="O615" s="11" t="s">
        <v>2028</v>
      </c>
    </row>
    <row r="616" spans="1:15" ht="19.5" customHeight="1" x14ac:dyDescent="0.25">
      <c r="A616" s="13" t="s">
        <v>1322</v>
      </c>
      <c r="B616" s="13"/>
      <c r="C616" s="13" t="s">
        <v>7080</v>
      </c>
      <c r="D616" s="13" t="s">
        <v>1883</v>
      </c>
      <c r="E616" s="13" t="s">
        <v>7079</v>
      </c>
      <c r="F616" s="13"/>
      <c r="G616" s="13" t="s">
        <v>1322</v>
      </c>
      <c r="H616" s="13" t="s">
        <v>7078</v>
      </c>
      <c r="I616" s="13" t="s">
        <v>7077</v>
      </c>
      <c r="J616" s="13" t="s">
        <v>7076</v>
      </c>
      <c r="K616" s="13" t="s">
        <v>2033</v>
      </c>
      <c r="L616" s="13"/>
      <c r="M616" s="14"/>
      <c r="N616" s="13"/>
      <c r="O616" s="13" t="s">
        <v>2028</v>
      </c>
    </row>
    <row r="617" spans="1:15" ht="19.5" customHeight="1" x14ac:dyDescent="0.25">
      <c r="A617" s="11" t="s">
        <v>226</v>
      </c>
      <c r="B617" s="11"/>
      <c r="C617" s="11" t="s">
        <v>7075</v>
      </c>
      <c r="D617" s="11" t="s">
        <v>1883</v>
      </c>
      <c r="E617" s="11" t="s">
        <v>7074</v>
      </c>
      <c r="F617" s="11" t="s">
        <v>5499</v>
      </c>
      <c r="G617" s="11" t="s">
        <v>226</v>
      </c>
      <c r="H617" s="11"/>
      <c r="I617" s="11" t="s">
        <v>7073</v>
      </c>
      <c r="J617" s="11" t="s">
        <v>7072</v>
      </c>
      <c r="K617" s="11" t="s">
        <v>1952</v>
      </c>
      <c r="L617" s="11"/>
      <c r="M617" s="12"/>
      <c r="N617" s="11"/>
      <c r="O617" s="11" t="s">
        <v>2028</v>
      </c>
    </row>
    <row r="618" spans="1:15" ht="19.5" customHeight="1" x14ac:dyDescent="0.25">
      <c r="A618" s="13" t="s">
        <v>228</v>
      </c>
      <c r="B618" s="13"/>
      <c r="C618" s="13" t="s">
        <v>7071</v>
      </c>
      <c r="D618" s="13" t="s">
        <v>1883</v>
      </c>
      <c r="E618" s="13" t="s">
        <v>7068</v>
      </c>
      <c r="F618" s="13" t="s">
        <v>7067</v>
      </c>
      <c r="G618" s="13" t="s">
        <v>7066</v>
      </c>
      <c r="H618" s="13" t="s">
        <v>7065</v>
      </c>
      <c r="I618" s="13" t="s">
        <v>7064</v>
      </c>
      <c r="J618" s="13" t="s">
        <v>7063</v>
      </c>
      <c r="K618" s="13" t="s">
        <v>2033</v>
      </c>
      <c r="L618" s="13"/>
      <c r="M618" s="14"/>
      <c r="N618" s="13"/>
      <c r="O618" s="13" t="s">
        <v>2028</v>
      </c>
    </row>
    <row r="619" spans="1:15" ht="19.5" customHeight="1" x14ac:dyDescent="0.25">
      <c r="A619" s="11" t="s">
        <v>228</v>
      </c>
      <c r="B619" s="11"/>
      <c r="C619" s="11" t="s">
        <v>7070</v>
      </c>
      <c r="D619" s="11" t="s">
        <v>1883</v>
      </c>
      <c r="E619" s="11" t="s">
        <v>7068</v>
      </c>
      <c r="F619" s="11" t="s">
        <v>7067</v>
      </c>
      <c r="G619" s="11" t="s">
        <v>7066</v>
      </c>
      <c r="H619" s="11" t="s">
        <v>7065</v>
      </c>
      <c r="I619" s="11" t="s">
        <v>7064</v>
      </c>
      <c r="J619" s="11" t="s">
        <v>7063</v>
      </c>
      <c r="K619" s="11" t="s">
        <v>2033</v>
      </c>
      <c r="L619" s="11"/>
      <c r="M619" s="12"/>
      <c r="N619" s="11"/>
      <c r="O619" s="11" t="s">
        <v>2028</v>
      </c>
    </row>
    <row r="620" spans="1:15" ht="19.5" customHeight="1" x14ac:dyDescent="0.25">
      <c r="A620" s="13" t="s">
        <v>228</v>
      </c>
      <c r="B620" s="13"/>
      <c r="C620" s="13" t="s">
        <v>7069</v>
      </c>
      <c r="D620" s="13" t="s">
        <v>1883</v>
      </c>
      <c r="E620" s="13" t="s">
        <v>7068</v>
      </c>
      <c r="F620" s="13" t="s">
        <v>7067</v>
      </c>
      <c r="G620" s="13" t="s">
        <v>7066</v>
      </c>
      <c r="H620" s="13" t="s">
        <v>7065</v>
      </c>
      <c r="I620" s="13" t="s">
        <v>7064</v>
      </c>
      <c r="J620" s="13" t="s">
        <v>7063</v>
      </c>
      <c r="K620" s="13" t="s">
        <v>2033</v>
      </c>
      <c r="L620" s="13"/>
      <c r="M620" s="14"/>
      <c r="N620" s="13"/>
      <c r="O620" s="13" t="s">
        <v>2028</v>
      </c>
    </row>
    <row r="621" spans="1:15" ht="19.5" customHeight="1" x14ac:dyDescent="0.25">
      <c r="A621" s="11" t="s">
        <v>230</v>
      </c>
      <c r="B621" s="11"/>
      <c r="C621" s="11" t="s">
        <v>7062</v>
      </c>
      <c r="D621" s="11" t="s">
        <v>1883</v>
      </c>
      <c r="E621" s="11" t="s">
        <v>7058</v>
      </c>
      <c r="F621" s="11" t="s">
        <v>7057</v>
      </c>
      <c r="G621" s="11" t="s">
        <v>230</v>
      </c>
      <c r="H621" s="11"/>
      <c r="I621" s="11" t="s">
        <v>7061</v>
      </c>
      <c r="J621" s="11" t="s">
        <v>7055</v>
      </c>
      <c r="K621" s="11" t="s">
        <v>1952</v>
      </c>
      <c r="L621" s="11"/>
      <c r="M621" s="12"/>
      <c r="N621" s="11"/>
      <c r="O621" s="11" t="s">
        <v>2028</v>
      </c>
    </row>
    <row r="622" spans="1:15" ht="19.5" customHeight="1" x14ac:dyDescent="0.25">
      <c r="A622" s="13" t="s">
        <v>230</v>
      </c>
      <c r="B622" s="13"/>
      <c r="C622" s="13" t="s">
        <v>7060</v>
      </c>
      <c r="D622" s="13" t="s">
        <v>1883</v>
      </c>
      <c r="E622" s="13" t="s">
        <v>7058</v>
      </c>
      <c r="F622" s="13" t="s">
        <v>7057</v>
      </c>
      <c r="G622" s="13" t="s">
        <v>230</v>
      </c>
      <c r="H622" s="13"/>
      <c r="I622" s="13" t="s">
        <v>7056</v>
      </c>
      <c r="J622" s="13" t="s">
        <v>7055</v>
      </c>
      <c r="K622" s="13" t="s">
        <v>1952</v>
      </c>
      <c r="L622" s="13"/>
      <c r="M622" s="14"/>
      <c r="N622" s="13"/>
      <c r="O622" s="13" t="s">
        <v>2028</v>
      </c>
    </row>
    <row r="623" spans="1:15" ht="19.5" customHeight="1" x14ac:dyDescent="0.25">
      <c r="A623" s="11" t="s">
        <v>230</v>
      </c>
      <c r="B623" s="11"/>
      <c r="C623" s="11" t="s">
        <v>7059</v>
      </c>
      <c r="D623" s="11" t="s">
        <v>1883</v>
      </c>
      <c r="E623" s="11" t="s">
        <v>7058</v>
      </c>
      <c r="F623" s="11" t="s">
        <v>7057</v>
      </c>
      <c r="G623" s="11" t="s">
        <v>230</v>
      </c>
      <c r="H623" s="11"/>
      <c r="I623" s="11" t="s">
        <v>7056</v>
      </c>
      <c r="J623" s="11" t="s">
        <v>7055</v>
      </c>
      <c r="K623" s="11" t="s">
        <v>1952</v>
      </c>
      <c r="L623" s="11"/>
      <c r="M623" s="12"/>
      <c r="N623" s="11"/>
      <c r="O623" s="11" t="s">
        <v>2028</v>
      </c>
    </row>
    <row r="624" spans="1:15" ht="19.5" customHeight="1" x14ac:dyDescent="0.25">
      <c r="A624" s="13" t="s">
        <v>232</v>
      </c>
      <c r="B624" s="13"/>
      <c r="C624" s="13" t="s">
        <v>7054</v>
      </c>
      <c r="D624" s="13" t="s">
        <v>1883</v>
      </c>
      <c r="E624" s="13" t="s">
        <v>7051</v>
      </c>
      <c r="F624" s="13" t="s">
        <v>7050</v>
      </c>
      <c r="G624" s="13" t="s">
        <v>232</v>
      </c>
      <c r="H624" s="13"/>
      <c r="I624" s="13" t="s">
        <v>7049</v>
      </c>
      <c r="J624" s="13" t="s">
        <v>7048</v>
      </c>
      <c r="K624" s="13" t="s">
        <v>1952</v>
      </c>
      <c r="L624" s="13"/>
      <c r="M624" s="14"/>
      <c r="N624" s="13"/>
      <c r="O624" s="13" t="s">
        <v>2028</v>
      </c>
    </row>
    <row r="625" spans="1:15" ht="19.5" customHeight="1" x14ac:dyDescent="0.25">
      <c r="A625" s="11" t="s">
        <v>232</v>
      </c>
      <c r="B625" s="11"/>
      <c r="C625" s="11" t="s">
        <v>7053</v>
      </c>
      <c r="D625" s="11" t="s">
        <v>1883</v>
      </c>
      <c r="E625" s="11" t="s">
        <v>7051</v>
      </c>
      <c r="F625" s="11" t="s">
        <v>7050</v>
      </c>
      <c r="G625" s="11" t="s">
        <v>232</v>
      </c>
      <c r="H625" s="11"/>
      <c r="I625" s="11" t="s">
        <v>7049</v>
      </c>
      <c r="J625" s="11" t="s">
        <v>7048</v>
      </c>
      <c r="K625" s="11" t="s">
        <v>1952</v>
      </c>
      <c r="L625" s="11"/>
      <c r="M625" s="12"/>
      <c r="N625" s="11"/>
      <c r="O625" s="11" t="s">
        <v>2028</v>
      </c>
    </row>
    <row r="626" spans="1:15" ht="19.5" customHeight="1" x14ac:dyDescent="0.25">
      <c r="A626" s="13" t="s">
        <v>232</v>
      </c>
      <c r="B626" s="13"/>
      <c r="C626" s="13" t="s">
        <v>7052</v>
      </c>
      <c r="D626" s="13" t="s">
        <v>1883</v>
      </c>
      <c r="E626" s="13" t="s">
        <v>7051</v>
      </c>
      <c r="F626" s="13" t="s">
        <v>7050</v>
      </c>
      <c r="G626" s="13" t="s">
        <v>232</v>
      </c>
      <c r="H626" s="13"/>
      <c r="I626" s="13" t="s">
        <v>7049</v>
      </c>
      <c r="J626" s="13" t="s">
        <v>7048</v>
      </c>
      <c r="K626" s="13" t="s">
        <v>1952</v>
      </c>
      <c r="L626" s="13"/>
      <c r="M626" s="14"/>
      <c r="N626" s="13"/>
      <c r="O626" s="13" t="s">
        <v>2028</v>
      </c>
    </row>
    <row r="627" spans="1:15" ht="19.5" customHeight="1" x14ac:dyDescent="0.25">
      <c r="A627" s="11" t="s">
        <v>234</v>
      </c>
      <c r="B627" s="11"/>
      <c r="C627" s="11" t="s">
        <v>7047</v>
      </c>
      <c r="D627" s="11" t="s">
        <v>1883</v>
      </c>
      <c r="E627" s="11" t="s">
        <v>7044</v>
      </c>
      <c r="F627" s="11" t="s">
        <v>7043</v>
      </c>
      <c r="G627" s="11" t="s">
        <v>234</v>
      </c>
      <c r="H627" s="11"/>
      <c r="I627" s="11" t="s">
        <v>8843</v>
      </c>
      <c r="J627" s="11" t="s">
        <v>8844</v>
      </c>
      <c r="K627" s="11" t="s">
        <v>1952</v>
      </c>
      <c r="L627" s="11"/>
      <c r="M627" s="12"/>
      <c r="N627" s="11"/>
      <c r="O627" s="11" t="s">
        <v>2028</v>
      </c>
    </row>
    <row r="628" spans="1:15" ht="19.5" customHeight="1" x14ac:dyDescent="0.25">
      <c r="A628" s="13" t="s">
        <v>234</v>
      </c>
      <c r="B628" s="13"/>
      <c r="C628" s="13" t="s">
        <v>7046</v>
      </c>
      <c r="D628" s="13" t="s">
        <v>1883</v>
      </c>
      <c r="E628" s="13" t="s">
        <v>7044</v>
      </c>
      <c r="F628" s="13" t="s">
        <v>7043</v>
      </c>
      <c r="G628" s="13" t="s">
        <v>234</v>
      </c>
      <c r="H628" s="13"/>
      <c r="I628" s="13" t="s">
        <v>8843</v>
      </c>
      <c r="J628" s="13" t="s">
        <v>8844</v>
      </c>
      <c r="K628" s="13" t="s">
        <v>1952</v>
      </c>
      <c r="L628" s="13"/>
      <c r="M628" s="14"/>
      <c r="N628" s="13"/>
      <c r="O628" s="13" t="s">
        <v>2028</v>
      </c>
    </row>
    <row r="629" spans="1:15" ht="19.5" customHeight="1" x14ac:dyDescent="0.25">
      <c r="A629" s="11" t="s">
        <v>234</v>
      </c>
      <c r="B629" s="11"/>
      <c r="C629" s="11" t="s">
        <v>7045</v>
      </c>
      <c r="D629" s="11" t="s">
        <v>1883</v>
      </c>
      <c r="E629" s="11" t="s">
        <v>7044</v>
      </c>
      <c r="F629" s="11" t="s">
        <v>7043</v>
      </c>
      <c r="G629" s="11" t="s">
        <v>234</v>
      </c>
      <c r="H629" s="11"/>
      <c r="I629" s="11" t="s">
        <v>8843</v>
      </c>
      <c r="J629" s="11" t="s">
        <v>8844</v>
      </c>
      <c r="K629" s="11" t="s">
        <v>1952</v>
      </c>
      <c r="L629" s="11"/>
      <c r="M629" s="12"/>
      <c r="N629" s="11"/>
      <c r="O629" s="11" t="s">
        <v>2028</v>
      </c>
    </row>
    <row r="630" spans="1:15" ht="19.5" customHeight="1" x14ac:dyDescent="0.25">
      <c r="A630" s="13" t="s">
        <v>236</v>
      </c>
      <c r="B630" s="13"/>
      <c r="C630" s="13" t="s">
        <v>7042</v>
      </c>
      <c r="D630" s="13" t="s">
        <v>1883</v>
      </c>
      <c r="E630" s="13" t="s">
        <v>7039</v>
      </c>
      <c r="F630" s="13" t="s">
        <v>7038</v>
      </c>
      <c r="G630" s="13" t="s">
        <v>236</v>
      </c>
      <c r="H630" s="13"/>
      <c r="I630" s="13" t="s">
        <v>7037</v>
      </c>
      <c r="J630" s="13" t="s">
        <v>7036</v>
      </c>
      <c r="K630" s="13" t="s">
        <v>2033</v>
      </c>
      <c r="L630" s="13"/>
      <c r="M630" s="14"/>
      <c r="N630" s="13"/>
      <c r="O630" s="13" t="s">
        <v>2028</v>
      </c>
    </row>
    <row r="631" spans="1:15" ht="19.5" customHeight="1" x14ac:dyDescent="0.25">
      <c r="A631" s="11" t="s">
        <v>236</v>
      </c>
      <c r="B631" s="11"/>
      <c r="C631" s="11" t="s">
        <v>7041</v>
      </c>
      <c r="D631" s="11" t="s">
        <v>1883</v>
      </c>
      <c r="E631" s="11" t="s">
        <v>7039</v>
      </c>
      <c r="F631" s="11" t="s">
        <v>7038</v>
      </c>
      <c r="G631" s="11" t="s">
        <v>236</v>
      </c>
      <c r="H631" s="11"/>
      <c r="I631" s="11" t="s">
        <v>7037</v>
      </c>
      <c r="J631" s="11" t="s">
        <v>7036</v>
      </c>
      <c r="K631" s="11" t="s">
        <v>2033</v>
      </c>
      <c r="L631" s="11"/>
      <c r="M631" s="12"/>
      <c r="N631" s="11"/>
      <c r="O631" s="11" t="s">
        <v>2028</v>
      </c>
    </row>
    <row r="632" spans="1:15" ht="19.5" customHeight="1" x14ac:dyDescent="0.25">
      <c r="A632" s="13" t="s">
        <v>236</v>
      </c>
      <c r="B632" s="13"/>
      <c r="C632" s="13" t="s">
        <v>7040</v>
      </c>
      <c r="D632" s="13" t="s">
        <v>1883</v>
      </c>
      <c r="E632" s="13" t="s">
        <v>7039</v>
      </c>
      <c r="F632" s="13" t="s">
        <v>7038</v>
      </c>
      <c r="G632" s="13" t="s">
        <v>236</v>
      </c>
      <c r="H632" s="13"/>
      <c r="I632" s="13" t="s">
        <v>7037</v>
      </c>
      <c r="J632" s="13" t="s">
        <v>7036</v>
      </c>
      <c r="K632" s="13" t="s">
        <v>2033</v>
      </c>
      <c r="L632" s="13"/>
      <c r="M632" s="14"/>
      <c r="N632" s="13"/>
      <c r="O632" s="13" t="s">
        <v>2028</v>
      </c>
    </row>
    <row r="633" spans="1:15" ht="19.5" customHeight="1" x14ac:dyDescent="0.25">
      <c r="A633" s="11" t="s">
        <v>238</v>
      </c>
      <c r="B633" s="11"/>
      <c r="C633" s="11" t="s">
        <v>7035</v>
      </c>
      <c r="D633" s="11" t="s">
        <v>1883</v>
      </c>
      <c r="E633" s="11" t="s">
        <v>7032</v>
      </c>
      <c r="F633" s="11"/>
      <c r="G633" s="11" t="s">
        <v>238</v>
      </c>
      <c r="H633" s="11" t="s">
        <v>7031</v>
      </c>
      <c r="I633" s="11" t="s">
        <v>7030</v>
      </c>
      <c r="J633" s="11" t="s">
        <v>7029</v>
      </c>
      <c r="K633" s="11" t="s">
        <v>2033</v>
      </c>
      <c r="L633" s="11"/>
      <c r="M633" s="12"/>
      <c r="N633" s="11"/>
      <c r="O633" s="11" t="s">
        <v>2028</v>
      </c>
    </row>
    <row r="634" spans="1:15" ht="19.5" customHeight="1" x14ac:dyDescent="0.25">
      <c r="A634" s="13" t="s">
        <v>238</v>
      </c>
      <c r="B634" s="13"/>
      <c r="C634" s="13" t="s">
        <v>7034</v>
      </c>
      <c r="D634" s="13" t="s">
        <v>1883</v>
      </c>
      <c r="E634" s="13" t="s">
        <v>7032</v>
      </c>
      <c r="F634" s="13"/>
      <c r="G634" s="13" t="s">
        <v>238</v>
      </c>
      <c r="H634" s="13" t="s">
        <v>7031</v>
      </c>
      <c r="I634" s="13" t="s">
        <v>7030</v>
      </c>
      <c r="J634" s="13" t="s">
        <v>7029</v>
      </c>
      <c r="K634" s="13" t="s">
        <v>2033</v>
      </c>
      <c r="L634" s="13"/>
      <c r="M634" s="14"/>
      <c r="N634" s="13"/>
      <c r="O634" s="13" t="s">
        <v>2028</v>
      </c>
    </row>
    <row r="635" spans="1:15" ht="19.5" customHeight="1" x14ac:dyDescent="0.25">
      <c r="A635" s="11" t="s">
        <v>238</v>
      </c>
      <c r="B635" s="11"/>
      <c r="C635" s="11" t="s">
        <v>7033</v>
      </c>
      <c r="D635" s="11" t="s">
        <v>1883</v>
      </c>
      <c r="E635" s="11" t="s">
        <v>7032</v>
      </c>
      <c r="F635" s="11"/>
      <c r="G635" s="11" t="s">
        <v>238</v>
      </c>
      <c r="H635" s="11" t="s">
        <v>7031</v>
      </c>
      <c r="I635" s="11" t="s">
        <v>7030</v>
      </c>
      <c r="J635" s="11" t="s">
        <v>7029</v>
      </c>
      <c r="K635" s="11" t="s">
        <v>2033</v>
      </c>
      <c r="L635" s="11"/>
      <c r="M635" s="12"/>
      <c r="N635" s="11"/>
      <c r="O635" s="11" t="s">
        <v>2028</v>
      </c>
    </row>
    <row r="636" spans="1:15" ht="19.5" customHeight="1" x14ac:dyDescent="0.25">
      <c r="A636" s="13" t="s">
        <v>240</v>
      </c>
      <c r="B636" s="13"/>
      <c r="C636" s="13" t="s">
        <v>7028</v>
      </c>
      <c r="D636" s="13" t="s">
        <v>1883</v>
      </c>
      <c r="E636" s="13" t="s">
        <v>7025</v>
      </c>
      <c r="F636" s="13"/>
      <c r="G636" s="13" t="s">
        <v>240</v>
      </c>
      <c r="H636" s="13" t="s">
        <v>7024</v>
      </c>
      <c r="I636" s="13" t="s">
        <v>7023</v>
      </c>
      <c r="J636" s="13" t="s">
        <v>7022</v>
      </c>
      <c r="K636" s="13" t="s">
        <v>2033</v>
      </c>
      <c r="L636" s="13"/>
      <c r="M636" s="14"/>
      <c r="N636" s="13"/>
      <c r="O636" s="13" t="s">
        <v>2028</v>
      </c>
    </row>
    <row r="637" spans="1:15" ht="19.5" customHeight="1" x14ac:dyDescent="0.25">
      <c r="A637" s="11" t="s">
        <v>240</v>
      </c>
      <c r="B637" s="11"/>
      <c r="C637" s="11" t="s">
        <v>7027</v>
      </c>
      <c r="D637" s="11" t="s">
        <v>1883</v>
      </c>
      <c r="E637" s="11" t="s">
        <v>7025</v>
      </c>
      <c r="F637" s="11"/>
      <c r="G637" s="11" t="s">
        <v>240</v>
      </c>
      <c r="H637" s="11" t="s">
        <v>7024</v>
      </c>
      <c r="I637" s="11" t="s">
        <v>7023</v>
      </c>
      <c r="J637" s="11" t="s">
        <v>7022</v>
      </c>
      <c r="K637" s="11" t="s">
        <v>2033</v>
      </c>
      <c r="L637" s="11"/>
      <c r="M637" s="12"/>
      <c r="N637" s="11"/>
      <c r="O637" s="11" t="s">
        <v>2028</v>
      </c>
    </row>
    <row r="638" spans="1:15" ht="19.5" customHeight="1" x14ac:dyDescent="0.25">
      <c r="A638" s="13" t="s">
        <v>240</v>
      </c>
      <c r="B638" s="13"/>
      <c r="C638" s="13" t="s">
        <v>7026</v>
      </c>
      <c r="D638" s="13" t="s">
        <v>1883</v>
      </c>
      <c r="E638" s="13" t="s">
        <v>7025</v>
      </c>
      <c r="F638" s="13"/>
      <c r="G638" s="13" t="s">
        <v>240</v>
      </c>
      <c r="H638" s="13" t="s">
        <v>7024</v>
      </c>
      <c r="I638" s="13" t="s">
        <v>7023</v>
      </c>
      <c r="J638" s="13" t="s">
        <v>7022</v>
      </c>
      <c r="K638" s="13" t="s">
        <v>2033</v>
      </c>
      <c r="L638" s="13"/>
      <c r="M638" s="14"/>
      <c r="N638" s="13"/>
      <c r="O638" s="13" t="s">
        <v>2028</v>
      </c>
    </row>
    <row r="639" spans="1:15" ht="19.5" customHeight="1" x14ac:dyDescent="0.25">
      <c r="A639" s="11" t="s">
        <v>1508</v>
      </c>
      <c r="B639" s="11"/>
      <c r="C639" s="11" t="s">
        <v>7021</v>
      </c>
      <c r="D639" s="11" t="s">
        <v>1883</v>
      </c>
      <c r="E639" s="11" t="s">
        <v>7020</v>
      </c>
      <c r="F639" s="11"/>
      <c r="G639" s="11" t="s">
        <v>1508</v>
      </c>
      <c r="H639" s="11"/>
      <c r="I639" s="11" t="s">
        <v>7019</v>
      </c>
      <c r="J639" s="11" t="s">
        <v>7018</v>
      </c>
      <c r="K639" s="11" t="s">
        <v>1952</v>
      </c>
      <c r="L639" s="11"/>
      <c r="M639" s="12"/>
      <c r="N639" s="11"/>
      <c r="O639" s="11" t="s">
        <v>2028</v>
      </c>
    </row>
    <row r="640" spans="1:15" ht="19.5" customHeight="1" x14ac:dyDescent="0.25">
      <c r="A640" s="13" t="s">
        <v>7015</v>
      </c>
      <c r="B640" s="13"/>
      <c r="C640" s="13" t="s">
        <v>7017</v>
      </c>
      <c r="D640" s="13" t="s">
        <v>1883</v>
      </c>
      <c r="E640" s="13" t="s">
        <v>7016</v>
      </c>
      <c r="F640" s="13"/>
      <c r="G640" s="13" t="s">
        <v>7015</v>
      </c>
      <c r="H640" s="13" t="s">
        <v>7014</v>
      </c>
      <c r="I640" s="13" t="s">
        <v>7009</v>
      </c>
      <c r="J640" s="13" t="s">
        <v>7008</v>
      </c>
      <c r="K640" s="13" t="s">
        <v>1952</v>
      </c>
      <c r="L640" s="13"/>
      <c r="M640" s="14"/>
      <c r="N640" s="13"/>
      <c r="O640" s="13" t="s">
        <v>2028</v>
      </c>
    </row>
    <row r="641" spans="1:15" ht="19.5" customHeight="1" x14ac:dyDescent="0.25">
      <c r="A641" s="11" t="s">
        <v>242</v>
      </c>
      <c r="B641" s="11"/>
      <c r="C641" s="11" t="s">
        <v>7013</v>
      </c>
      <c r="D641" s="11" t="s">
        <v>1883</v>
      </c>
      <c r="E641" s="11" t="s">
        <v>7012</v>
      </c>
      <c r="F641" s="11" t="s">
        <v>7011</v>
      </c>
      <c r="G641" s="11" t="s">
        <v>242</v>
      </c>
      <c r="H641" s="11" t="s">
        <v>7010</v>
      </c>
      <c r="I641" s="11" t="s">
        <v>7009</v>
      </c>
      <c r="J641" s="11" t="s">
        <v>7008</v>
      </c>
      <c r="K641" s="11" t="s">
        <v>1952</v>
      </c>
      <c r="L641" s="11"/>
      <c r="M641" s="12"/>
      <c r="N641" s="11"/>
      <c r="O641" s="11" t="s">
        <v>2028</v>
      </c>
    </row>
    <row r="642" spans="1:15" ht="19.5" customHeight="1" x14ac:dyDescent="0.25">
      <c r="A642" s="13" t="s">
        <v>7005</v>
      </c>
      <c r="B642" s="13"/>
      <c r="C642" s="13" t="s">
        <v>7007</v>
      </c>
      <c r="D642" s="13" t="s">
        <v>1883</v>
      </c>
      <c r="E642" s="13" t="s">
        <v>7006</v>
      </c>
      <c r="F642" s="13"/>
      <c r="G642" s="13" t="s">
        <v>7005</v>
      </c>
      <c r="H642" s="13"/>
      <c r="I642" s="13" t="s">
        <v>7004</v>
      </c>
      <c r="J642" s="13" t="s">
        <v>7003</v>
      </c>
      <c r="K642" s="13" t="s">
        <v>1952</v>
      </c>
      <c r="L642" s="13"/>
      <c r="M642" s="14"/>
      <c r="N642" s="13"/>
      <c r="O642" s="13" t="s">
        <v>2028</v>
      </c>
    </row>
    <row r="643" spans="1:15" ht="19.5" customHeight="1" x14ac:dyDescent="0.25">
      <c r="A643" s="11" t="s">
        <v>244</v>
      </c>
      <c r="B643" s="11"/>
      <c r="C643" s="11" t="s">
        <v>7002</v>
      </c>
      <c r="D643" s="11" t="s">
        <v>1883</v>
      </c>
      <c r="E643" s="11" t="s">
        <v>6999</v>
      </c>
      <c r="F643" s="11" t="s">
        <v>6998</v>
      </c>
      <c r="G643" s="11" t="s">
        <v>244</v>
      </c>
      <c r="H643" s="11" t="s">
        <v>6997</v>
      </c>
      <c r="I643" s="11" t="s">
        <v>6996</v>
      </c>
      <c r="J643" s="11" t="s">
        <v>6995</v>
      </c>
      <c r="K643" s="11" t="s">
        <v>1952</v>
      </c>
      <c r="L643" s="11"/>
      <c r="M643" s="12"/>
      <c r="N643" s="11"/>
      <c r="O643" s="11" t="s">
        <v>2028</v>
      </c>
    </row>
    <row r="644" spans="1:15" ht="19.5" customHeight="1" x14ac:dyDescent="0.25">
      <c r="A644" s="13" t="s">
        <v>244</v>
      </c>
      <c r="B644" s="13"/>
      <c r="C644" s="13" t="s">
        <v>7001</v>
      </c>
      <c r="D644" s="13" t="s">
        <v>1883</v>
      </c>
      <c r="E644" s="13" t="s">
        <v>6999</v>
      </c>
      <c r="F644" s="13" t="s">
        <v>6998</v>
      </c>
      <c r="G644" s="13" t="s">
        <v>244</v>
      </c>
      <c r="H644" s="13" t="s">
        <v>6997</v>
      </c>
      <c r="I644" s="13" t="s">
        <v>6996</v>
      </c>
      <c r="J644" s="13" t="s">
        <v>6995</v>
      </c>
      <c r="K644" s="13" t="s">
        <v>1952</v>
      </c>
      <c r="L644" s="13"/>
      <c r="M644" s="14"/>
      <c r="N644" s="13"/>
      <c r="O644" s="13" t="s">
        <v>2028</v>
      </c>
    </row>
    <row r="645" spans="1:15" ht="19.5" customHeight="1" x14ac:dyDescent="0.25">
      <c r="A645" s="11" t="s">
        <v>244</v>
      </c>
      <c r="B645" s="11"/>
      <c r="C645" s="11" t="s">
        <v>7000</v>
      </c>
      <c r="D645" s="11" t="s">
        <v>1883</v>
      </c>
      <c r="E645" s="11" t="s">
        <v>6999</v>
      </c>
      <c r="F645" s="11" t="s">
        <v>6998</v>
      </c>
      <c r="G645" s="11" t="s">
        <v>244</v>
      </c>
      <c r="H645" s="11" t="s">
        <v>6997</v>
      </c>
      <c r="I645" s="11" t="s">
        <v>6996</v>
      </c>
      <c r="J645" s="11" t="s">
        <v>6995</v>
      </c>
      <c r="K645" s="11" t="s">
        <v>1952</v>
      </c>
      <c r="L645" s="11"/>
      <c r="M645" s="12"/>
      <c r="N645" s="11"/>
      <c r="O645" s="11" t="s">
        <v>2028</v>
      </c>
    </row>
    <row r="646" spans="1:15" ht="19.5" customHeight="1" x14ac:dyDescent="0.25">
      <c r="A646" s="13" t="s">
        <v>1257</v>
      </c>
      <c r="B646" s="13"/>
      <c r="C646" s="13" t="s">
        <v>6994</v>
      </c>
      <c r="D646" s="13" t="s">
        <v>1883</v>
      </c>
      <c r="E646" s="13" t="s">
        <v>6993</v>
      </c>
      <c r="F646" s="13" t="s">
        <v>6992</v>
      </c>
      <c r="G646" s="13" t="s">
        <v>1257</v>
      </c>
      <c r="H646" s="13"/>
      <c r="I646" s="13" t="s">
        <v>6798</v>
      </c>
      <c r="J646" s="13" t="s">
        <v>6991</v>
      </c>
      <c r="K646" s="13" t="s">
        <v>1952</v>
      </c>
      <c r="L646" s="13"/>
      <c r="M646" s="14"/>
      <c r="N646" s="13"/>
      <c r="O646" s="13" t="s">
        <v>2028</v>
      </c>
    </row>
    <row r="647" spans="1:15" ht="19.5" customHeight="1" x14ac:dyDescent="0.25">
      <c r="A647" s="11" t="s">
        <v>1562</v>
      </c>
      <c r="B647" s="11"/>
      <c r="C647" s="11" t="s">
        <v>6990</v>
      </c>
      <c r="D647" s="11" t="s">
        <v>1883</v>
      </c>
      <c r="E647" s="11" t="s">
        <v>6989</v>
      </c>
      <c r="F647" s="11" t="s">
        <v>6988</v>
      </c>
      <c r="G647" s="11" t="s">
        <v>1562</v>
      </c>
      <c r="H647" s="11" t="s">
        <v>6987</v>
      </c>
      <c r="I647" s="11" t="s">
        <v>6986</v>
      </c>
      <c r="J647" s="11" t="s">
        <v>6985</v>
      </c>
      <c r="K647" s="11" t="s">
        <v>3599</v>
      </c>
      <c r="L647" s="11"/>
      <c r="M647" s="12"/>
      <c r="N647" s="11"/>
      <c r="O647" s="11" t="s">
        <v>1945</v>
      </c>
    </row>
    <row r="648" spans="1:15" ht="19.5" customHeight="1" x14ac:dyDescent="0.25">
      <c r="A648" s="13" t="s">
        <v>246</v>
      </c>
      <c r="B648" s="13"/>
      <c r="C648" s="13" t="s">
        <v>6984</v>
      </c>
      <c r="D648" s="13" t="s">
        <v>1883</v>
      </c>
      <c r="E648" s="13" t="s">
        <v>6981</v>
      </c>
      <c r="F648" s="13" t="s">
        <v>6980</v>
      </c>
      <c r="G648" s="13" t="s">
        <v>246</v>
      </c>
      <c r="H648" s="13" t="s">
        <v>6979</v>
      </c>
      <c r="I648" s="13" t="s">
        <v>6978</v>
      </c>
      <c r="J648" s="13" t="s">
        <v>6977</v>
      </c>
      <c r="K648" s="13" t="s">
        <v>2033</v>
      </c>
      <c r="L648" s="13"/>
      <c r="M648" s="14"/>
      <c r="N648" s="13"/>
      <c r="O648" s="13" t="s">
        <v>2028</v>
      </c>
    </row>
    <row r="649" spans="1:15" ht="19.5" customHeight="1" x14ac:dyDescent="0.25">
      <c r="A649" s="11" t="s">
        <v>246</v>
      </c>
      <c r="B649" s="11"/>
      <c r="C649" s="11" t="s">
        <v>6983</v>
      </c>
      <c r="D649" s="11" t="s">
        <v>1883</v>
      </c>
      <c r="E649" s="11" t="s">
        <v>6981</v>
      </c>
      <c r="F649" s="11" t="s">
        <v>6980</v>
      </c>
      <c r="G649" s="11" t="s">
        <v>246</v>
      </c>
      <c r="H649" s="11" t="s">
        <v>6979</v>
      </c>
      <c r="I649" s="11" t="s">
        <v>6978</v>
      </c>
      <c r="J649" s="11" t="s">
        <v>6977</v>
      </c>
      <c r="K649" s="11" t="s">
        <v>2033</v>
      </c>
      <c r="L649" s="11"/>
      <c r="M649" s="12"/>
      <c r="N649" s="11"/>
      <c r="O649" s="11" t="s">
        <v>2028</v>
      </c>
    </row>
    <row r="650" spans="1:15" ht="19.5" customHeight="1" x14ac:dyDescent="0.25">
      <c r="A650" s="13" t="s">
        <v>246</v>
      </c>
      <c r="B650" s="13"/>
      <c r="C650" s="13" t="s">
        <v>6982</v>
      </c>
      <c r="D650" s="13" t="s">
        <v>1883</v>
      </c>
      <c r="E650" s="13" t="s">
        <v>6981</v>
      </c>
      <c r="F650" s="13" t="s">
        <v>6980</v>
      </c>
      <c r="G650" s="13" t="s">
        <v>246</v>
      </c>
      <c r="H650" s="13" t="s">
        <v>6979</v>
      </c>
      <c r="I650" s="13" t="s">
        <v>6978</v>
      </c>
      <c r="J650" s="13" t="s">
        <v>6977</v>
      </c>
      <c r="K650" s="13" t="s">
        <v>2033</v>
      </c>
      <c r="L650" s="13"/>
      <c r="M650" s="14"/>
      <c r="N650" s="13"/>
      <c r="O650" s="13" t="s">
        <v>2028</v>
      </c>
    </row>
    <row r="651" spans="1:15" ht="19.5" customHeight="1" x14ac:dyDescent="0.25">
      <c r="A651" s="11" t="s">
        <v>1352</v>
      </c>
      <c r="B651" s="11"/>
      <c r="C651" s="11" t="s">
        <v>6976</v>
      </c>
      <c r="D651" s="11" t="s">
        <v>1883</v>
      </c>
      <c r="E651" s="11" t="s">
        <v>6975</v>
      </c>
      <c r="F651" s="11" t="s">
        <v>6974</v>
      </c>
      <c r="G651" s="11" t="s">
        <v>1352</v>
      </c>
      <c r="H651" s="11" t="s">
        <v>6973</v>
      </c>
      <c r="I651" s="11" t="s">
        <v>6972</v>
      </c>
      <c r="J651" s="11" t="s">
        <v>6971</v>
      </c>
      <c r="K651" s="11" t="s">
        <v>6970</v>
      </c>
      <c r="L651" s="11"/>
      <c r="M651" s="12"/>
      <c r="N651" s="11"/>
      <c r="O651" s="11" t="s">
        <v>2028</v>
      </c>
    </row>
    <row r="652" spans="1:15" ht="19.5" customHeight="1" x14ac:dyDescent="0.25">
      <c r="A652" s="13" t="s">
        <v>6965</v>
      </c>
      <c r="B652" s="13"/>
      <c r="C652" s="13" t="s">
        <v>6969</v>
      </c>
      <c r="D652" s="13" t="s">
        <v>1883</v>
      </c>
      <c r="E652" s="13" t="s">
        <v>6968</v>
      </c>
      <c r="F652" s="13"/>
      <c r="G652" s="13" t="s">
        <v>6965</v>
      </c>
      <c r="H652" s="13"/>
      <c r="I652" s="13" t="s">
        <v>6964</v>
      </c>
      <c r="J652" s="13" t="s">
        <v>6963</v>
      </c>
      <c r="K652" s="13" t="s">
        <v>1952</v>
      </c>
      <c r="L652" s="13"/>
      <c r="M652" s="14"/>
      <c r="N652" s="13"/>
      <c r="O652" s="13" t="s">
        <v>1916</v>
      </c>
    </row>
    <row r="653" spans="1:15" ht="19.5" customHeight="1" x14ac:dyDescent="0.25">
      <c r="A653" s="11" t="s">
        <v>6965</v>
      </c>
      <c r="B653" s="11"/>
      <c r="C653" s="11" t="s">
        <v>6967</v>
      </c>
      <c r="D653" s="11" t="s">
        <v>1883</v>
      </c>
      <c r="E653" s="11" t="s">
        <v>6966</v>
      </c>
      <c r="F653" s="11"/>
      <c r="G653" s="11" t="s">
        <v>6965</v>
      </c>
      <c r="H653" s="11"/>
      <c r="I653" s="11" t="s">
        <v>6964</v>
      </c>
      <c r="J653" s="11" t="s">
        <v>6963</v>
      </c>
      <c r="K653" s="11" t="s">
        <v>1952</v>
      </c>
      <c r="L653" s="11"/>
      <c r="M653" s="12"/>
      <c r="N653" s="11"/>
      <c r="O653" s="11" t="s">
        <v>2028</v>
      </c>
    </row>
    <row r="654" spans="1:15" ht="19.5" customHeight="1" x14ac:dyDescent="0.25">
      <c r="A654" s="13" t="s">
        <v>6960</v>
      </c>
      <c r="B654" s="13"/>
      <c r="C654" s="13" t="s">
        <v>6962</v>
      </c>
      <c r="D654" s="13" t="s">
        <v>1883</v>
      </c>
      <c r="E654" s="13" t="s">
        <v>6961</v>
      </c>
      <c r="F654" s="13"/>
      <c r="G654" s="13" t="s">
        <v>6960</v>
      </c>
      <c r="H654" s="13"/>
      <c r="I654" s="13" t="s">
        <v>6959</v>
      </c>
      <c r="J654" s="13" t="s">
        <v>6958</v>
      </c>
      <c r="K654" s="13" t="s">
        <v>1952</v>
      </c>
      <c r="L654" s="13"/>
      <c r="M654" s="14"/>
      <c r="N654" s="13"/>
      <c r="O654" s="13" t="s">
        <v>2028</v>
      </c>
    </row>
    <row r="655" spans="1:15" ht="19.5" customHeight="1" x14ac:dyDescent="0.25">
      <c r="A655" s="11" t="s">
        <v>1873</v>
      </c>
      <c r="B655" s="11"/>
      <c r="C655" s="11" t="s">
        <v>6957</v>
      </c>
      <c r="D655" s="11" t="s">
        <v>1883</v>
      </c>
      <c r="E655" s="11" t="s">
        <v>6956</v>
      </c>
      <c r="F655" s="11" t="s">
        <v>6955</v>
      </c>
      <c r="G655" s="11" t="s">
        <v>1873</v>
      </c>
      <c r="H655" s="11"/>
      <c r="I655" s="11" t="s">
        <v>6954</v>
      </c>
      <c r="J655" s="11" t="s">
        <v>6953</v>
      </c>
      <c r="K655" s="11" t="s">
        <v>3599</v>
      </c>
      <c r="L655" s="11"/>
      <c r="M655" s="12"/>
      <c r="N655" s="11"/>
      <c r="O655" s="11" t="s">
        <v>2028</v>
      </c>
    </row>
    <row r="656" spans="1:15" ht="19.5" customHeight="1" x14ac:dyDescent="0.25">
      <c r="A656" s="13" t="s">
        <v>249</v>
      </c>
      <c r="B656" s="13"/>
      <c r="C656" s="13" t="s">
        <v>6952</v>
      </c>
      <c r="D656" s="13" t="s">
        <v>1883</v>
      </c>
      <c r="E656" s="13" t="s">
        <v>6949</v>
      </c>
      <c r="F656" s="13" t="s">
        <v>6948</v>
      </c>
      <c r="G656" s="13" t="s">
        <v>249</v>
      </c>
      <c r="H656" s="13"/>
      <c r="I656" s="13" t="s">
        <v>6947</v>
      </c>
      <c r="J656" s="13" t="s">
        <v>6946</v>
      </c>
      <c r="K656" s="13" t="s">
        <v>2033</v>
      </c>
      <c r="L656" s="13"/>
      <c r="M656" s="14"/>
      <c r="N656" s="13"/>
      <c r="O656" s="13" t="s">
        <v>2028</v>
      </c>
    </row>
    <row r="657" spans="1:15" ht="19.5" customHeight="1" x14ac:dyDescent="0.25">
      <c r="A657" s="11" t="s">
        <v>249</v>
      </c>
      <c r="B657" s="11"/>
      <c r="C657" s="11" t="s">
        <v>6951</v>
      </c>
      <c r="D657" s="11" t="s">
        <v>1883</v>
      </c>
      <c r="E657" s="11" t="s">
        <v>6949</v>
      </c>
      <c r="F657" s="11" t="s">
        <v>6948</v>
      </c>
      <c r="G657" s="11" t="s">
        <v>249</v>
      </c>
      <c r="H657" s="11"/>
      <c r="I657" s="11" t="s">
        <v>6947</v>
      </c>
      <c r="J657" s="11" t="s">
        <v>6946</v>
      </c>
      <c r="K657" s="11" t="s">
        <v>2033</v>
      </c>
      <c r="L657" s="11"/>
      <c r="M657" s="12"/>
      <c r="N657" s="11"/>
      <c r="O657" s="11" t="s">
        <v>2028</v>
      </c>
    </row>
    <row r="658" spans="1:15" ht="19.5" customHeight="1" x14ac:dyDescent="0.25">
      <c r="A658" s="13" t="s">
        <v>249</v>
      </c>
      <c r="B658" s="13"/>
      <c r="C658" s="13" t="s">
        <v>6950</v>
      </c>
      <c r="D658" s="13" t="s">
        <v>1883</v>
      </c>
      <c r="E658" s="13" t="s">
        <v>6949</v>
      </c>
      <c r="F658" s="13" t="s">
        <v>6948</v>
      </c>
      <c r="G658" s="13" t="s">
        <v>249</v>
      </c>
      <c r="H658" s="13"/>
      <c r="I658" s="13" t="s">
        <v>6947</v>
      </c>
      <c r="J658" s="13" t="s">
        <v>6946</v>
      </c>
      <c r="K658" s="13" t="s">
        <v>2033</v>
      </c>
      <c r="L658" s="13"/>
      <c r="M658" s="14"/>
      <c r="N658" s="13"/>
      <c r="O658" s="13" t="s">
        <v>2028</v>
      </c>
    </row>
    <row r="659" spans="1:15" ht="19.5" customHeight="1" x14ac:dyDescent="0.25">
      <c r="A659" s="11" t="s">
        <v>1342</v>
      </c>
      <c r="B659" s="11"/>
      <c r="C659" s="11" t="s">
        <v>6945</v>
      </c>
      <c r="D659" s="11" t="s">
        <v>1883</v>
      </c>
      <c r="E659" s="11" t="s">
        <v>6944</v>
      </c>
      <c r="F659" s="11" t="s">
        <v>6943</v>
      </c>
      <c r="G659" s="11" t="s">
        <v>1342</v>
      </c>
      <c r="H659" s="11" t="s">
        <v>6942</v>
      </c>
      <c r="I659" s="11" t="s">
        <v>6941</v>
      </c>
      <c r="J659" s="11" t="s">
        <v>6940</v>
      </c>
      <c r="K659" s="11" t="s">
        <v>1952</v>
      </c>
      <c r="L659" s="11"/>
      <c r="M659" s="12"/>
      <c r="N659" s="11"/>
      <c r="O659" s="11" t="s">
        <v>2028</v>
      </c>
    </row>
    <row r="660" spans="1:15" ht="19.5" customHeight="1" x14ac:dyDescent="0.25">
      <c r="A660" s="13" t="s">
        <v>6934</v>
      </c>
      <c r="B660" s="13"/>
      <c r="C660" s="13" t="s">
        <v>6939</v>
      </c>
      <c r="D660" s="13" t="s">
        <v>1883</v>
      </c>
      <c r="E660" s="13" t="s">
        <v>6936</v>
      </c>
      <c r="F660" s="13" t="s">
        <v>6935</v>
      </c>
      <c r="G660" s="13" t="s">
        <v>6934</v>
      </c>
      <c r="H660" s="13"/>
      <c r="I660" s="13" t="s">
        <v>4727</v>
      </c>
      <c r="J660" s="13" t="s">
        <v>6933</v>
      </c>
      <c r="K660" s="13" t="s">
        <v>1952</v>
      </c>
      <c r="L660" s="13"/>
      <c r="M660" s="14"/>
      <c r="N660" s="13"/>
      <c r="O660" s="13" t="s">
        <v>2028</v>
      </c>
    </row>
    <row r="661" spans="1:15" ht="19.5" customHeight="1" x14ac:dyDescent="0.25">
      <c r="A661" s="11" t="s">
        <v>6934</v>
      </c>
      <c r="B661" s="11"/>
      <c r="C661" s="11" t="s">
        <v>6938</v>
      </c>
      <c r="D661" s="11" t="s">
        <v>1883</v>
      </c>
      <c r="E661" s="11" t="s">
        <v>6936</v>
      </c>
      <c r="F661" s="11" t="s">
        <v>6935</v>
      </c>
      <c r="G661" s="11" t="s">
        <v>6934</v>
      </c>
      <c r="H661" s="11"/>
      <c r="I661" s="11" t="s">
        <v>4727</v>
      </c>
      <c r="J661" s="11" t="s">
        <v>6933</v>
      </c>
      <c r="K661" s="11" t="s">
        <v>1952</v>
      </c>
      <c r="L661" s="11"/>
      <c r="M661" s="12"/>
      <c r="N661" s="11"/>
      <c r="O661" s="11" t="s">
        <v>2028</v>
      </c>
    </row>
    <row r="662" spans="1:15" ht="19.5" customHeight="1" x14ac:dyDescent="0.25">
      <c r="A662" s="13" t="s">
        <v>6934</v>
      </c>
      <c r="B662" s="13"/>
      <c r="C662" s="13" t="s">
        <v>6937</v>
      </c>
      <c r="D662" s="13" t="s">
        <v>1883</v>
      </c>
      <c r="E662" s="13" t="s">
        <v>6936</v>
      </c>
      <c r="F662" s="13" t="s">
        <v>6935</v>
      </c>
      <c r="G662" s="13" t="s">
        <v>6934</v>
      </c>
      <c r="H662" s="13"/>
      <c r="I662" s="13" t="s">
        <v>4727</v>
      </c>
      <c r="J662" s="13" t="s">
        <v>6933</v>
      </c>
      <c r="K662" s="13" t="s">
        <v>1952</v>
      </c>
      <c r="L662" s="13"/>
      <c r="M662" s="14"/>
      <c r="N662" s="13"/>
      <c r="O662" s="13" t="s">
        <v>2028</v>
      </c>
    </row>
    <row r="663" spans="1:15" ht="19.5" customHeight="1" x14ac:dyDescent="0.25">
      <c r="A663" s="11" t="s">
        <v>251</v>
      </c>
      <c r="B663" s="11"/>
      <c r="C663" s="11" t="s">
        <v>6932</v>
      </c>
      <c r="D663" s="11" t="s">
        <v>1883</v>
      </c>
      <c r="E663" s="11" t="s">
        <v>6931</v>
      </c>
      <c r="F663" s="11"/>
      <c r="G663" s="11" t="s">
        <v>251</v>
      </c>
      <c r="H663" s="11"/>
      <c r="I663" s="11" t="s">
        <v>6930</v>
      </c>
      <c r="J663" s="11" t="s">
        <v>6929</v>
      </c>
      <c r="K663" s="11" t="s">
        <v>2033</v>
      </c>
      <c r="L663" s="11"/>
      <c r="M663" s="12"/>
      <c r="N663" s="11"/>
      <c r="O663" s="11" t="s">
        <v>2028</v>
      </c>
    </row>
    <row r="664" spans="1:15" ht="19.5" customHeight="1" x14ac:dyDescent="0.25">
      <c r="A664" s="13" t="s">
        <v>1602</v>
      </c>
      <c r="B664" s="13"/>
      <c r="C664" s="13" t="s">
        <v>6928</v>
      </c>
      <c r="D664" s="13" t="s">
        <v>1883</v>
      </c>
      <c r="E664" s="13" t="s">
        <v>6927</v>
      </c>
      <c r="F664" s="13"/>
      <c r="G664" s="13" t="s">
        <v>1602</v>
      </c>
      <c r="H664" s="13"/>
      <c r="I664" s="13" t="s">
        <v>6926</v>
      </c>
      <c r="J664" s="13" t="s">
        <v>6925</v>
      </c>
      <c r="K664" s="13" t="s">
        <v>5114</v>
      </c>
      <c r="L664" s="13"/>
      <c r="M664" s="14"/>
      <c r="N664" s="13"/>
      <c r="O664" s="13" t="s">
        <v>2028</v>
      </c>
    </row>
    <row r="665" spans="1:15" ht="19.5" customHeight="1" x14ac:dyDescent="0.25">
      <c r="A665" s="11" t="s">
        <v>1639</v>
      </c>
      <c r="B665" s="11"/>
      <c r="C665" s="11" t="s">
        <v>6924</v>
      </c>
      <c r="D665" s="11" t="s">
        <v>1883</v>
      </c>
      <c r="E665" s="11" t="s">
        <v>6923</v>
      </c>
      <c r="F665" s="11"/>
      <c r="G665" s="11" t="s">
        <v>1639</v>
      </c>
      <c r="H665" s="11"/>
      <c r="I665" s="11" t="s">
        <v>6922</v>
      </c>
      <c r="J665" s="11" t="s">
        <v>6921</v>
      </c>
      <c r="K665" s="11" t="s">
        <v>2033</v>
      </c>
      <c r="L665" s="11"/>
      <c r="M665" s="12"/>
      <c r="N665" s="11"/>
      <c r="O665" s="11" t="s">
        <v>2028</v>
      </c>
    </row>
    <row r="666" spans="1:15" ht="19.5" customHeight="1" x14ac:dyDescent="0.25">
      <c r="A666" s="13" t="s">
        <v>212</v>
      </c>
      <c r="B666" s="13"/>
      <c r="C666" s="13" t="s">
        <v>6920</v>
      </c>
      <c r="D666" s="13" t="s">
        <v>1883</v>
      </c>
      <c r="E666" s="13" t="s">
        <v>6919</v>
      </c>
      <c r="F666" s="13"/>
      <c r="G666" s="13" t="s">
        <v>212</v>
      </c>
      <c r="H666" s="13"/>
      <c r="I666" s="13" t="s">
        <v>6918</v>
      </c>
      <c r="J666" s="13" t="s">
        <v>6917</v>
      </c>
      <c r="K666" s="13" t="s">
        <v>2175</v>
      </c>
      <c r="L666" s="13"/>
      <c r="M666" s="14"/>
      <c r="N666" s="13"/>
      <c r="O666" s="13" t="s">
        <v>2028</v>
      </c>
    </row>
    <row r="667" spans="1:15" ht="19.5" customHeight="1" x14ac:dyDescent="0.25">
      <c r="A667" s="11" t="s">
        <v>253</v>
      </c>
      <c r="B667" s="11"/>
      <c r="C667" s="11" t="s">
        <v>6916</v>
      </c>
      <c r="D667" s="11" t="s">
        <v>1883</v>
      </c>
      <c r="E667" s="11" t="s">
        <v>6913</v>
      </c>
      <c r="F667" s="11" t="s">
        <v>6912</v>
      </c>
      <c r="G667" s="11" t="s">
        <v>253</v>
      </c>
      <c r="H667" s="11" t="s">
        <v>6911</v>
      </c>
      <c r="I667" s="11" t="s">
        <v>6910</v>
      </c>
      <c r="J667" s="11" t="s">
        <v>6909</v>
      </c>
      <c r="K667" s="11" t="s">
        <v>1952</v>
      </c>
      <c r="L667" s="11"/>
      <c r="M667" s="12"/>
      <c r="N667" s="11"/>
      <c r="O667" s="11" t="s">
        <v>2028</v>
      </c>
    </row>
    <row r="668" spans="1:15" ht="19.5" customHeight="1" x14ac:dyDescent="0.25">
      <c r="A668" s="13" t="s">
        <v>253</v>
      </c>
      <c r="B668" s="13"/>
      <c r="C668" s="13" t="s">
        <v>6915</v>
      </c>
      <c r="D668" s="13" t="s">
        <v>1883</v>
      </c>
      <c r="E668" s="13" t="s">
        <v>6913</v>
      </c>
      <c r="F668" s="13" t="s">
        <v>6912</v>
      </c>
      <c r="G668" s="13" t="s">
        <v>253</v>
      </c>
      <c r="H668" s="13" t="s">
        <v>6911</v>
      </c>
      <c r="I668" s="13" t="s">
        <v>6910</v>
      </c>
      <c r="J668" s="13" t="s">
        <v>6909</v>
      </c>
      <c r="K668" s="13" t="s">
        <v>1952</v>
      </c>
      <c r="L668" s="13"/>
      <c r="M668" s="14"/>
      <c r="N668" s="13"/>
      <c r="O668" s="13" t="s">
        <v>2028</v>
      </c>
    </row>
    <row r="669" spans="1:15" ht="19.5" customHeight="1" x14ac:dyDescent="0.25">
      <c r="A669" s="11" t="s">
        <v>253</v>
      </c>
      <c r="B669" s="11"/>
      <c r="C669" s="11" t="s">
        <v>6914</v>
      </c>
      <c r="D669" s="11" t="s">
        <v>1883</v>
      </c>
      <c r="E669" s="11" t="s">
        <v>6913</v>
      </c>
      <c r="F669" s="11" t="s">
        <v>6912</v>
      </c>
      <c r="G669" s="11" t="s">
        <v>253</v>
      </c>
      <c r="H669" s="11" t="s">
        <v>6911</v>
      </c>
      <c r="I669" s="11" t="s">
        <v>6910</v>
      </c>
      <c r="J669" s="11" t="s">
        <v>6909</v>
      </c>
      <c r="K669" s="11" t="s">
        <v>1952</v>
      </c>
      <c r="L669" s="11"/>
      <c r="M669" s="12"/>
      <c r="N669" s="11"/>
      <c r="O669" s="11" t="s">
        <v>2028</v>
      </c>
    </row>
    <row r="670" spans="1:15" ht="19.5" customHeight="1" x14ac:dyDescent="0.25">
      <c r="A670" s="13" t="s">
        <v>6906</v>
      </c>
      <c r="B670" s="13"/>
      <c r="C670" s="13" t="s">
        <v>6908</v>
      </c>
      <c r="D670" s="13" t="s">
        <v>1883</v>
      </c>
      <c r="E670" s="13" t="s">
        <v>6907</v>
      </c>
      <c r="F670" s="13"/>
      <c r="G670" s="13" t="s">
        <v>6906</v>
      </c>
      <c r="H670" s="13"/>
      <c r="I670" s="13"/>
      <c r="J670" s="13"/>
      <c r="K670" s="13"/>
      <c r="L670" s="13"/>
      <c r="M670" s="14"/>
      <c r="N670" s="13"/>
      <c r="O670" s="13" t="s">
        <v>2028</v>
      </c>
    </row>
    <row r="671" spans="1:15" ht="19.5" customHeight="1" x14ac:dyDescent="0.25">
      <c r="A671" s="11" t="s">
        <v>255</v>
      </c>
      <c r="B671" s="11"/>
      <c r="C671" s="11" t="s">
        <v>6905</v>
      </c>
      <c r="D671" s="11" t="s">
        <v>1883</v>
      </c>
      <c r="E671" s="11" t="s">
        <v>6902</v>
      </c>
      <c r="F671" s="11" t="s">
        <v>6901</v>
      </c>
      <c r="G671" s="11" t="s">
        <v>255</v>
      </c>
      <c r="H671" s="11" t="s">
        <v>6900</v>
      </c>
      <c r="I671" s="11" t="s">
        <v>2156</v>
      </c>
      <c r="J671" s="11" t="s">
        <v>6899</v>
      </c>
      <c r="K671" s="11" t="s">
        <v>1952</v>
      </c>
      <c r="L671" s="11"/>
      <c r="M671" s="12"/>
      <c r="N671" s="11"/>
      <c r="O671" s="11" t="s">
        <v>2028</v>
      </c>
    </row>
    <row r="672" spans="1:15" ht="19.5" customHeight="1" x14ac:dyDescent="0.25">
      <c r="A672" s="13" t="s">
        <v>255</v>
      </c>
      <c r="B672" s="13"/>
      <c r="C672" s="13" t="s">
        <v>6904</v>
      </c>
      <c r="D672" s="13" t="s">
        <v>1883</v>
      </c>
      <c r="E672" s="13" t="s">
        <v>6902</v>
      </c>
      <c r="F672" s="13" t="s">
        <v>6901</v>
      </c>
      <c r="G672" s="13" t="s">
        <v>255</v>
      </c>
      <c r="H672" s="13" t="s">
        <v>6900</v>
      </c>
      <c r="I672" s="13" t="s">
        <v>2156</v>
      </c>
      <c r="J672" s="13" t="s">
        <v>6899</v>
      </c>
      <c r="K672" s="13" t="s">
        <v>1952</v>
      </c>
      <c r="L672" s="13"/>
      <c r="M672" s="14"/>
      <c r="N672" s="13"/>
      <c r="O672" s="13" t="s">
        <v>2028</v>
      </c>
    </row>
    <row r="673" spans="1:15" ht="19.5" customHeight="1" x14ac:dyDescent="0.25">
      <c r="A673" s="11" t="s">
        <v>255</v>
      </c>
      <c r="B673" s="11"/>
      <c r="C673" s="11" t="s">
        <v>6903</v>
      </c>
      <c r="D673" s="11" t="s">
        <v>1883</v>
      </c>
      <c r="E673" s="11" t="s">
        <v>6902</v>
      </c>
      <c r="F673" s="11" t="s">
        <v>6901</v>
      </c>
      <c r="G673" s="11" t="s">
        <v>255</v>
      </c>
      <c r="H673" s="11" t="s">
        <v>6900</v>
      </c>
      <c r="I673" s="11" t="s">
        <v>2156</v>
      </c>
      <c r="J673" s="11" t="s">
        <v>6899</v>
      </c>
      <c r="K673" s="11" t="s">
        <v>1952</v>
      </c>
      <c r="L673" s="11"/>
      <c r="M673" s="12"/>
      <c r="N673" s="11"/>
      <c r="O673" s="11" t="s">
        <v>2028</v>
      </c>
    </row>
    <row r="674" spans="1:15" ht="19.5" customHeight="1" x14ac:dyDescent="0.25">
      <c r="A674" s="13" t="s">
        <v>6894</v>
      </c>
      <c r="B674" s="13"/>
      <c r="C674" s="13" t="s">
        <v>6898</v>
      </c>
      <c r="D674" s="13" t="s">
        <v>1883</v>
      </c>
      <c r="E674" s="13" t="s">
        <v>6896</v>
      </c>
      <c r="F674" s="13"/>
      <c r="G674" s="13" t="s">
        <v>6894</v>
      </c>
      <c r="H674" s="13"/>
      <c r="I674" s="13"/>
      <c r="J674" s="13"/>
      <c r="K674" s="13"/>
      <c r="L674" s="13"/>
      <c r="M674" s="14"/>
      <c r="N674" s="13"/>
      <c r="O674" s="13" t="s">
        <v>1916</v>
      </c>
    </row>
    <row r="675" spans="1:15" ht="19.5" customHeight="1" x14ac:dyDescent="0.25">
      <c r="A675" s="11" t="s">
        <v>6894</v>
      </c>
      <c r="B675" s="11"/>
      <c r="C675" s="11" t="s">
        <v>6897</v>
      </c>
      <c r="D675" s="11" t="s">
        <v>1883</v>
      </c>
      <c r="E675" s="11" t="s">
        <v>6896</v>
      </c>
      <c r="F675" s="11" t="s">
        <v>6895</v>
      </c>
      <c r="G675" s="11" t="s">
        <v>6894</v>
      </c>
      <c r="H675" s="11" t="s">
        <v>6893</v>
      </c>
      <c r="I675" s="11" t="s">
        <v>6892</v>
      </c>
      <c r="J675" s="11" t="s">
        <v>6891</v>
      </c>
      <c r="K675" s="11" t="s">
        <v>1952</v>
      </c>
      <c r="L675" s="11"/>
      <c r="M675" s="12"/>
      <c r="N675" s="11"/>
      <c r="O675" s="11" t="s">
        <v>1945</v>
      </c>
    </row>
    <row r="676" spans="1:15" ht="19.5" customHeight="1" x14ac:dyDescent="0.25">
      <c r="A676" s="13" t="s">
        <v>257</v>
      </c>
      <c r="B676" s="13"/>
      <c r="C676" s="13" t="s">
        <v>6890</v>
      </c>
      <c r="D676" s="13" t="s">
        <v>1883</v>
      </c>
      <c r="E676" s="13" t="s">
        <v>6887</v>
      </c>
      <c r="F676" s="13" t="s">
        <v>6886</v>
      </c>
      <c r="G676" s="13" t="s">
        <v>257</v>
      </c>
      <c r="H676" s="13" t="s">
        <v>6885</v>
      </c>
      <c r="I676" s="13" t="s">
        <v>6884</v>
      </c>
      <c r="J676" s="13" t="s">
        <v>6883</v>
      </c>
      <c r="K676" s="13" t="s">
        <v>2033</v>
      </c>
      <c r="L676" s="13"/>
      <c r="M676" s="14"/>
      <c r="N676" s="13"/>
      <c r="O676" s="13" t="s">
        <v>2028</v>
      </c>
    </row>
    <row r="677" spans="1:15" ht="19.5" customHeight="1" x14ac:dyDescent="0.25">
      <c r="A677" s="11" t="s">
        <v>257</v>
      </c>
      <c r="B677" s="11"/>
      <c r="C677" s="11" t="s">
        <v>6889</v>
      </c>
      <c r="D677" s="11" t="s">
        <v>1883</v>
      </c>
      <c r="E677" s="11" t="s">
        <v>6887</v>
      </c>
      <c r="F677" s="11" t="s">
        <v>6886</v>
      </c>
      <c r="G677" s="11" t="s">
        <v>257</v>
      </c>
      <c r="H677" s="11" t="s">
        <v>6885</v>
      </c>
      <c r="I677" s="11" t="s">
        <v>6884</v>
      </c>
      <c r="J677" s="11" t="s">
        <v>6883</v>
      </c>
      <c r="K677" s="11" t="s">
        <v>2033</v>
      </c>
      <c r="L677" s="11"/>
      <c r="M677" s="12"/>
      <c r="N677" s="11"/>
      <c r="O677" s="11" t="s">
        <v>2028</v>
      </c>
    </row>
    <row r="678" spans="1:15" ht="19.5" customHeight="1" x14ac:dyDescent="0.25">
      <c r="A678" s="13" t="s">
        <v>257</v>
      </c>
      <c r="B678" s="13"/>
      <c r="C678" s="13" t="s">
        <v>6888</v>
      </c>
      <c r="D678" s="13" t="s">
        <v>1883</v>
      </c>
      <c r="E678" s="13" t="s">
        <v>6887</v>
      </c>
      <c r="F678" s="13" t="s">
        <v>6886</v>
      </c>
      <c r="G678" s="13" t="s">
        <v>257</v>
      </c>
      <c r="H678" s="13" t="s">
        <v>6885</v>
      </c>
      <c r="I678" s="13" t="s">
        <v>6884</v>
      </c>
      <c r="J678" s="13" t="s">
        <v>6883</v>
      </c>
      <c r="K678" s="13" t="s">
        <v>2033</v>
      </c>
      <c r="L678" s="13"/>
      <c r="M678" s="14"/>
      <c r="N678" s="13"/>
      <c r="O678" s="13" t="s">
        <v>2028</v>
      </c>
    </row>
    <row r="679" spans="1:15" ht="19.5" customHeight="1" x14ac:dyDescent="0.25">
      <c r="A679" s="11" t="s">
        <v>6878</v>
      </c>
      <c r="B679" s="11"/>
      <c r="C679" s="11" t="s">
        <v>1049</v>
      </c>
      <c r="D679" s="11" t="s">
        <v>1883</v>
      </c>
      <c r="E679" s="11" t="s">
        <v>6879</v>
      </c>
      <c r="F679" s="11" t="s">
        <v>6882</v>
      </c>
      <c r="G679" s="11" t="s">
        <v>6878</v>
      </c>
      <c r="H679" s="11"/>
      <c r="I679" s="11" t="s">
        <v>5034</v>
      </c>
      <c r="J679" s="11" t="s">
        <v>6881</v>
      </c>
      <c r="K679" s="11" t="s">
        <v>1952</v>
      </c>
      <c r="L679" s="11"/>
      <c r="M679" s="12"/>
      <c r="N679" s="11"/>
      <c r="O679" s="11" t="s">
        <v>1945</v>
      </c>
    </row>
    <row r="680" spans="1:15" ht="19.5" customHeight="1" x14ac:dyDescent="0.25">
      <c r="A680" s="13" t="s">
        <v>6878</v>
      </c>
      <c r="B680" s="13"/>
      <c r="C680" s="13" t="s">
        <v>6880</v>
      </c>
      <c r="D680" s="13" t="s">
        <v>1883</v>
      </c>
      <c r="E680" s="13" t="s">
        <v>6879</v>
      </c>
      <c r="F680" s="13"/>
      <c r="G680" s="13" t="s">
        <v>6878</v>
      </c>
      <c r="H680" s="13"/>
      <c r="I680" s="13"/>
      <c r="J680" s="13"/>
      <c r="K680" s="13" t="s">
        <v>1952</v>
      </c>
      <c r="L680" s="13"/>
      <c r="M680" s="14"/>
      <c r="N680" s="13"/>
      <c r="O680" s="13" t="s">
        <v>1916</v>
      </c>
    </row>
    <row r="681" spans="1:15" ht="19.5" customHeight="1" x14ac:dyDescent="0.25">
      <c r="A681" s="11" t="s">
        <v>259</v>
      </c>
      <c r="B681" s="11"/>
      <c r="C681" s="11" t="s">
        <v>6877</v>
      </c>
      <c r="D681" s="11" t="s">
        <v>1883</v>
      </c>
      <c r="E681" s="11" t="s">
        <v>6874</v>
      </c>
      <c r="F681" s="11" t="s">
        <v>6873</v>
      </c>
      <c r="G681" s="11" t="s">
        <v>259</v>
      </c>
      <c r="H681" s="11" t="s">
        <v>6872</v>
      </c>
      <c r="I681" s="11" t="s">
        <v>6871</v>
      </c>
      <c r="J681" s="11" t="s">
        <v>6870</v>
      </c>
      <c r="K681" s="11" t="s">
        <v>1952</v>
      </c>
      <c r="L681" s="11"/>
      <c r="M681" s="12"/>
      <c r="N681" s="11"/>
      <c r="O681" s="11" t="s">
        <v>2028</v>
      </c>
    </row>
    <row r="682" spans="1:15" ht="19.5" customHeight="1" x14ac:dyDescent="0.25">
      <c r="A682" s="13" t="s">
        <v>259</v>
      </c>
      <c r="B682" s="13"/>
      <c r="C682" s="13" t="s">
        <v>6876</v>
      </c>
      <c r="D682" s="13" t="s">
        <v>1883</v>
      </c>
      <c r="E682" s="13" t="s">
        <v>6874</v>
      </c>
      <c r="F682" s="13" t="s">
        <v>6873</v>
      </c>
      <c r="G682" s="13" t="s">
        <v>259</v>
      </c>
      <c r="H682" s="13" t="s">
        <v>6872</v>
      </c>
      <c r="I682" s="13" t="s">
        <v>6871</v>
      </c>
      <c r="J682" s="13" t="s">
        <v>6870</v>
      </c>
      <c r="K682" s="13" t="s">
        <v>1952</v>
      </c>
      <c r="L682" s="13"/>
      <c r="M682" s="14"/>
      <c r="N682" s="13"/>
      <c r="O682" s="13" t="s">
        <v>2028</v>
      </c>
    </row>
    <row r="683" spans="1:15" ht="19.5" customHeight="1" x14ac:dyDescent="0.25">
      <c r="A683" s="11" t="s">
        <v>259</v>
      </c>
      <c r="B683" s="11"/>
      <c r="C683" s="11" t="s">
        <v>6875</v>
      </c>
      <c r="D683" s="11" t="s">
        <v>1883</v>
      </c>
      <c r="E683" s="11" t="s">
        <v>6874</v>
      </c>
      <c r="F683" s="11" t="s">
        <v>6873</v>
      </c>
      <c r="G683" s="11" t="s">
        <v>259</v>
      </c>
      <c r="H683" s="11" t="s">
        <v>6872</v>
      </c>
      <c r="I683" s="11" t="s">
        <v>6871</v>
      </c>
      <c r="J683" s="11" t="s">
        <v>6870</v>
      </c>
      <c r="K683" s="11" t="s">
        <v>1952</v>
      </c>
      <c r="L683" s="11"/>
      <c r="M683" s="12"/>
      <c r="N683" s="11"/>
      <c r="O683" s="11" t="s">
        <v>2028</v>
      </c>
    </row>
    <row r="684" spans="1:15" ht="19.5" customHeight="1" x14ac:dyDescent="0.25">
      <c r="A684" s="13" t="s">
        <v>1472</v>
      </c>
      <c r="B684" s="13"/>
      <c r="C684" s="13" t="s">
        <v>6869</v>
      </c>
      <c r="D684" s="13" t="s">
        <v>1883</v>
      </c>
      <c r="E684" s="13" t="s">
        <v>6867</v>
      </c>
      <c r="F684" s="13"/>
      <c r="G684" s="13" t="s">
        <v>1472</v>
      </c>
      <c r="H684" s="13"/>
      <c r="I684" s="13" t="s">
        <v>6866</v>
      </c>
      <c r="J684" s="13" t="s">
        <v>6865</v>
      </c>
      <c r="K684" s="13" t="s">
        <v>2033</v>
      </c>
      <c r="L684" s="13"/>
      <c r="M684" s="14"/>
      <c r="N684" s="13"/>
      <c r="O684" s="13" t="s">
        <v>2028</v>
      </c>
    </row>
    <row r="685" spans="1:15" ht="19.5" customHeight="1" x14ac:dyDescent="0.25">
      <c r="A685" s="11" t="s">
        <v>1472</v>
      </c>
      <c r="B685" s="11"/>
      <c r="C685" s="11" t="s">
        <v>6868</v>
      </c>
      <c r="D685" s="11" t="s">
        <v>1883</v>
      </c>
      <c r="E685" s="11" t="s">
        <v>6867</v>
      </c>
      <c r="F685" s="11"/>
      <c r="G685" s="11" t="s">
        <v>1472</v>
      </c>
      <c r="H685" s="11"/>
      <c r="I685" s="11" t="s">
        <v>6866</v>
      </c>
      <c r="J685" s="11" t="s">
        <v>6865</v>
      </c>
      <c r="K685" s="11" t="s">
        <v>2033</v>
      </c>
      <c r="L685" s="11"/>
      <c r="M685" s="12"/>
      <c r="N685" s="11"/>
      <c r="O685" s="11" t="s">
        <v>2028</v>
      </c>
    </row>
    <row r="686" spans="1:15" ht="19.5" customHeight="1" x14ac:dyDescent="0.25">
      <c r="A686" s="13" t="s">
        <v>261</v>
      </c>
      <c r="B686" s="13"/>
      <c r="C686" s="13" t="s">
        <v>6864</v>
      </c>
      <c r="D686" s="13" t="s">
        <v>1883</v>
      </c>
      <c r="E686" s="13" t="s">
        <v>6861</v>
      </c>
      <c r="F686" s="13"/>
      <c r="G686" s="13" t="s">
        <v>261</v>
      </c>
      <c r="H686" s="13" t="s">
        <v>6860</v>
      </c>
      <c r="I686" s="13" t="s">
        <v>6859</v>
      </c>
      <c r="J686" s="13" t="s">
        <v>6858</v>
      </c>
      <c r="K686" s="13" t="s">
        <v>1952</v>
      </c>
      <c r="L686" s="13"/>
      <c r="M686" s="14"/>
      <c r="N686" s="13"/>
      <c r="O686" s="13" t="s">
        <v>2028</v>
      </c>
    </row>
    <row r="687" spans="1:15" ht="19.5" customHeight="1" x14ac:dyDescent="0.25">
      <c r="A687" s="11" t="s">
        <v>261</v>
      </c>
      <c r="B687" s="11"/>
      <c r="C687" s="11" t="s">
        <v>6863</v>
      </c>
      <c r="D687" s="11" t="s">
        <v>1883</v>
      </c>
      <c r="E687" s="11" t="s">
        <v>6861</v>
      </c>
      <c r="F687" s="11"/>
      <c r="G687" s="11" t="s">
        <v>261</v>
      </c>
      <c r="H687" s="11" t="s">
        <v>6860</v>
      </c>
      <c r="I687" s="11" t="s">
        <v>6859</v>
      </c>
      <c r="J687" s="11" t="s">
        <v>6858</v>
      </c>
      <c r="K687" s="11" t="s">
        <v>1952</v>
      </c>
      <c r="L687" s="11"/>
      <c r="M687" s="12"/>
      <c r="N687" s="11"/>
      <c r="O687" s="11" t="s">
        <v>2028</v>
      </c>
    </row>
    <row r="688" spans="1:15" ht="19.5" customHeight="1" x14ac:dyDescent="0.25">
      <c r="A688" s="13" t="s">
        <v>261</v>
      </c>
      <c r="B688" s="13"/>
      <c r="C688" s="13" t="s">
        <v>6862</v>
      </c>
      <c r="D688" s="13" t="s">
        <v>1883</v>
      </c>
      <c r="E688" s="13" t="s">
        <v>6861</v>
      </c>
      <c r="F688" s="13"/>
      <c r="G688" s="13" t="s">
        <v>261</v>
      </c>
      <c r="H688" s="13" t="s">
        <v>6860</v>
      </c>
      <c r="I688" s="13" t="s">
        <v>6859</v>
      </c>
      <c r="J688" s="13" t="s">
        <v>6858</v>
      </c>
      <c r="K688" s="13" t="s">
        <v>1952</v>
      </c>
      <c r="L688" s="13"/>
      <c r="M688" s="14"/>
      <c r="N688" s="13"/>
      <c r="O688" s="13" t="s">
        <v>2028</v>
      </c>
    </row>
    <row r="689" spans="1:15" ht="19.5" customHeight="1" x14ac:dyDescent="0.25">
      <c r="A689" s="11" t="s">
        <v>6854</v>
      </c>
      <c r="B689" s="11"/>
      <c r="C689" s="11" t="s">
        <v>6857</v>
      </c>
      <c r="D689" s="11" t="s">
        <v>1883</v>
      </c>
      <c r="E689" s="11" t="s">
        <v>6856</v>
      </c>
      <c r="F689" s="11" t="s">
        <v>6855</v>
      </c>
      <c r="G689" s="11" t="s">
        <v>6854</v>
      </c>
      <c r="H689" s="11" t="s">
        <v>6853</v>
      </c>
      <c r="I689" s="11" t="s">
        <v>6852</v>
      </c>
      <c r="J689" s="11" t="s">
        <v>6851</v>
      </c>
      <c r="K689" s="11" t="s">
        <v>1952</v>
      </c>
      <c r="L689" s="11"/>
      <c r="M689" s="12"/>
      <c r="N689" s="11"/>
      <c r="O689" s="11" t="s">
        <v>1945</v>
      </c>
    </row>
    <row r="690" spans="1:15" ht="19.5" customHeight="1" x14ac:dyDescent="0.25">
      <c r="A690" s="13" t="s">
        <v>6848</v>
      </c>
      <c r="B690" s="13"/>
      <c r="C690" s="13" t="s">
        <v>6850</v>
      </c>
      <c r="D690" s="13" t="s">
        <v>1883</v>
      </c>
      <c r="E690" s="13" t="s">
        <v>6849</v>
      </c>
      <c r="F690" s="13"/>
      <c r="G690" s="13" t="s">
        <v>6848</v>
      </c>
      <c r="H690" s="13"/>
      <c r="I690" s="13"/>
      <c r="J690" s="13"/>
      <c r="K690" s="13"/>
      <c r="L690" s="13"/>
      <c r="M690" s="14"/>
      <c r="N690" s="13"/>
      <c r="O690" s="13" t="s">
        <v>2028</v>
      </c>
    </row>
    <row r="691" spans="1:15" ht="19.5" customHeight="1" x14ac:dyDescent="0.25">
      <c r="A691" s="11" t="s">
        <v>264</v>
      </c>
      <c r="B691" s="11"/>
      <c r="C691" s="11" t="s">
        <v>6847</v>
      </c>
      <c r="D691" s="11" t="s">
        <v>1883</v>
      </c>
      <c r="E691" s="11" t="s">
        <v>6846</v>
      </c>
      <c r="F691" s="11"/>
      <c r="G691" s="11" t="s">
        <v>264</v>
      </c>
      <c r="H691" s="11"/>
      <c r="I691" s="11"/>
      <c r="J691" s="11"/>
      <c r="K691" s="11"/>
      <c r="L691" s="11"/>
      <c r="M691" s="12"/>
      <c r="N691" s="11"/>
      <c r="O691" s="11" t="s">
        <v>1916</v>
      </c>
    </row>
    <row r="692" spans="1:15" ht="19.5" customHeight="1" x14ac:dyDescent="0.25">
      <c r="A692" s="13" t="s">
        <v>264</v>
      </c>
      <c r="B692" s="13"/>
      <c r="C692" s="13" t="s">
        <v>6845</v>
      </c>
      <c r="D692" s="13" t="s">
        <v>1883</v>
      </c>
      <c r="E692" s="13" t="s">
        <v>6842</v>
      </c>
      <c r="F692" s="13" t="s">
        <v>6841</v>
      </c>
      <c r="G692" s="13" t="s">
        <v>264</v>
      </c>
      <c r="H692" s="13" t="s">
        <v>6840</v>
      </c>
      <c r="I692" s="13" t="s">
        <v>6839</v>
      </c>
      <c r="J692" s="13" t="s">
        <v>6838</v>
      </c>
      <c r="K692" s="13" t="s">
        <v>2033</v>
      </c>
      <c r="L692" s="13"/>
      <c r="M692" s="14"/>
      <c r="N692" s="13"/>
      <c r="O692" s="13" t="s">
        <v>2028</v>
      </c>
    </row>
    <row r="693" spans="1:15" ht="19.5" customHeight="1" x14ac:dyDescent="0.25">
      <c r="A693" s="11" t="s">
        <v>264</v>
      </c>
      <c r="B693" s="11"/>
      <c r="C693" s="11" t="s">
        <v>6844</v>
      </c>
      <c r="D693" s="11" t="s">
        <v>1883</v>
      </c>
      <c r="E693" s="11" t="s">
        <v>6842</v>
      </c>
      <c r="F693" s="11" t="s">
        <v>6841</v>
      </c>
      <c r="G693" s="11" t="s">
        <v>264</v>
      </c>
      <c r="H693" s="11" t="s">
        <v>6840</v>
      </c>
      <c r="I693" s="11" t="s">
        <v>6839</v>
      </c>
      <c r="J693" s="11" t="s">
        <v>6838</v>
      </c>
      <c r="K693" s="11" t="s">
        <v>2033</v>
      </c>
      <c r="L693" s="11"/>
      <c r="M693" s="12"/>
      <c r="N693" s="11"/>
      <c r="O693" s="11" t="s">
        <v>2028</v>
      </c>
    </row>
    <row r="694" spans="1:15" ht="19.5" customHeight="1" x14ac:dyDescent="0.25">
      <c r="A694" s="13" t="s">
        <v>264</v>
      </c>
      <c r="B694" s="13"/>
      <c r="C694" s="13" t="s">
        <v>6843</v>
      </c>
      <c r="D694" s="13" t="s">
        <v>1883</v>
      </c>
      <c r="E694" s="13" t="s">
        <v>6842</v>
      </c>
      <c r="F694" s="13" t="s">
        <v>6841</v>
      </c>
      <c r="G694" s="13" t="s">
        <v>264</v>
      </c>
      <c r="H694" s="13" t="s">
        <v>6840</v>
      </c>
      <c r="I694" s="13" t="s">
        <v>6839</v>
      </c>
      <c r="J694" s="13" t="s">
        <v>6838</v>
      </c>
      <c r="K694" s="13" t="s">
        <v>2033</v>
      </c>
      <c r="L694" s="13"/>
      <c r="M694" s="14"/>
      <c r="N694" s="13"/>
      <c r="O694" s="13" t="s">
        <v>2028</v>
      </c>
    </row>
    <row r="695" spans="1:15" ht="19.5" customHeight="1" x14ac:dyDescent="0.25">
      <c r="A695" s="11" t="s">
        <v>6834</v>
      </c>
      <c r="B695" s="11"/>
      <c r="C695" s="11" t="s">
        <v>6837</v>
      </c>
      <c r="D695" s="11" t="s">
        <v>1950</v>
      </c>
      <c r="E695" s="11" t="s">
        <v>6836</v>
      </c>
      <c r="F695" s="11" t="s">
        <v>6835</v>
      </c>
      <c r="G695" s="11" t="s">
        <v>6834</v>
      </c>
      <c r="H695" s="11"/>
      <c r="I695" s="11" t="s">
        <v>6833</v>
      </c>
      <c r="J695" s="11" t="s">
        <v>6832</v>
      </c>
      <c r="K695" s="11" t="s">
        <v>2033</v>
      </c>
      <c r="L695" s="11"/>
      <c r="M695" s="12"/>
      <c r="N695" s="11"/>
      <c r="O695" s="11"/>
    </row>
    <row r="696" spans="1:15" ht="19.5" customHeight="1" x14ac:dyDescent="0.25">
      <c r="A696" s="13" t="s">
        <v>266</v>
      </c>
      <c r="B696" s="13"/>
      <c r="C696" s="13" t="s">
        <v>6831</v>
      </c>
      <c r="D696" s="13" t="s">
        <v>1883</v>
      </c>
      <c r="E696" s="13" t="s">
        <v>6828</v>
      </c>
      <c r="F696" s="13" t="s">
        <v>6827</v>
      </c>
      <c r="G696" s="13" t="s">
        <v>6826</v>
      </c>
      <c r="H696" s="13"/>
      <c r="I696" s="13" t="s">
        <v>6825</v>
      </c>
      <c r="J696" s="13" t="s">
        <v>6824</v>
      </c>
      <c r="K696" s="13" t="s">
        <v>1952</v>
      </c>
      <c r="L696" s="13"/>
      <c r="M696" s="14"/>
      <c r="N696" s="13"/>
      <c r="O696" s="13" t="s">
        <v>2028</v>
      </c>
    </row>
    <row r="697" spans="1:15" ht="19.5" customHeight="1" x14ac:dyDescent="0.25">
      <c r="A697" s="11" t="s">
        <v>266</v>
      </c>
      <c r="B697" s="11"/>
      <c r="C697" s="11" t="s">
        <v>6830</v>
      </c>
      <c r="D697" s="11" t="s">
        <v>1883</v>
      </c>
      <c r="E697" s="11" t="s">
        <v>6828</v>
      </c>
      <c r="F697" s="11" t="s">
        <v>6827</v>
      </c>
      <c r="G697" s="11" t="s">
        <v>6826</v>
      </c>
      <c r="H697" s="11"/>
      <c r="I697" s="11" t="s">
        <v>6825</v>
      </c>
      <c r="J697" s="11" t="s">
        <v>6824</v>
      </c>
      <c r="K697" s="11" t="s">
        <v>1952</v>
      </c>
      <c r="L697" s="11"/>
      <c r="M697" s="12"/>
      <c r="N697" s="11"/>
      <c r="O697" s="11" t="s">
        <v>2028</v>
      </c>
    </row>
    <row r="698" spans="1:15" ht="19.5" customHeight="1" x14ac:dyDescent="0.25">
      <c r="A698" s="13" t="s">
        <v>266</v>
      </c>
      <c r="B698" s="13"/>
      <c r="C698" s="13" t="s">
        <v>6829</v>
      </c>
      <c r="D698" s="13" t="s">
        <v>1883</v>
      </c>
      <c r="E698" s="13" t="s">
        <v>6828</v>
      </c>
      <c r="F698" s="13" t="s">
        <v>6827</v>
      </c>
      <c r="G698" s="13" t="s">
        <v>6826</v>
      </c>
      <c r="H698" s="13"/>
      <c r="I698" s="13" t="s">
        <v>6825</v>
      </c>
      <c r="J698" s="13" t="s">
        <v>6824</v>
      </c>
      <c r="K698" s="13" t="s">
        <v>1952</v>
      </c>
      <c r="L698" s="13"/>
      <c r="M698" s="14"/>
      <c r="N698" s="13"/>
      <c r="O698" s="13" t="s">
        <v>2028</v>
      </c>
    </row>
    <row r="699" spans="1:15" ht="19.5" customHeight="1" x14ac:dyDescent="0.25">
      <c r="A699" s="11" t="s">
        <v>6819</v>
      </c>
      <c r="B699" s="11"/>
      <c r="C699" s="11" t="s">
        <v>6823</v>
      </c>
      <c r="D699" s="11" t="s">
        <v>1883</v>
      </c>
      <c r="E699" s="11" t="s">
        <v>6821</v>
      </c>
      <c r="F699" s="11"/>
      <c r="G699" s="11" t="s">
        <v>6819</v>
      </c>
      <c r="H699" s="11"/>
      <c r="I699" s="11"/>
      <c r="J699" s="11"/>
      <c r="K699" s="11"/>
      <c r="L699" s="11"/>
      <c r="M699" s="12"/>
      <c r="N699" s="11"/>
      <c r="O699" s="11" t="s">
        <v>1916</v>
      </c>
    </row>
    <row r="700" spans="1:15" ht="19.5" customHeight="1" x14ac:dyDescent="0.25">
      <c r="A700" s="13" t="s">
        <v>6819</v>
      </c>
      <c r="B700" s="13"/>
      <c r="C700" s="13" t="s">
        <v>6822</v>
      </c>
      <c r="D700" s="13" t="s">
        <v>1883</v>
      </c>
      <c r="E700" s="13" t="s">
        <v>6821</v>
      </c>
      <c r="F700" s="13" t="s">
        <v>6820</v>
      </c>
      <c r="G700" s="13" t="s">
        <v>6819</v>
      </c>
      <c r="H700" s="13"/>
      <c r="I700" s="13" t="s">
        <v>6818</v>
      </c>
      <c r="J700" s="13" t="s">
        <v>6817</v>
      </c>
      <c r="K700" s="13" t="s">
        <v>1952</v>
      </c>
      <c r="L700" s="13"/>
      <c r="M700" s="14"/>
      <c r="N700" s="13"/>
      <c r="O700" s="13" t="s">
        <v>1945</v>
      </c>
    </row>
    <row r="701" spans="1:15" ht="19.5" customHeight="1" x14ac:dyDescent="0.25">
      <c r="A701" s="11" t="s">
        <v>268</v>
      </c>
      <c r="B701" s="11"/>
      <c r="C701" s="11" t="s">
        <v>6816</v>
      </c>
      <c r="D701" s="11" t="s">
        <v>1883</v>
      </c>
      <c r="E701" s="11" t="s">
        <v>6813</v>
      </c>
      <c r="F701" s="11" t="s">
        <v>6812</v>
      </c>
      <c r="G701" s="11" t="s">
        <v>268</v>
      </c>
      <c r="H701" s="11" t="s">
        <v>6811</v>
      </c>
      <c r="I701" s="11" t="s">
        <v>5738</v>
      </c>
      <c r="J701" s="11" t="s">
        <v>6810</v>
      </c>
      <c r="K701" s="11" t="s">
        <v>2033</v>
      </c>
      <c r="L701" s="11"/>
      <c r="M701" s="12"/>
      <c r="N701" s="11"/>
      <c r="O701" s="11" t="s">
        <v>2028</v>
      </c>
    </row>
    <row r="702" spans="1:15" ht="19.5" customHeight="1" x14ac:dyDescent="0.25">
      <c r="A702" s="13" t="s">
        <v>268</v>
      </c>
      <c r="B702" s="13"/>
      <c r="C702" s="13" t="s">
        <v>6815</v>
      </c>
      <c r="D702" s="13" t="s">
        <v>1883</v>
      </c>
      <c r="E702" s="13" t="s">
        <v>6813</v>
      </c>
      <c r="F702" s="13" t="s">
        <v>6812</v>
      </c>
      <c r="G702" s="13" t="s">
        <v>268</v>
      </c>
      <c r="H702" s="13" t="s">
        <v>6811</v>
      </c>
      <c r="I702" s="13" t="s">
        <v>5738</v>
      </c>
      <c r="J702" s="13" t="s">
        <v>6810</v>
      </c>
      <c r="K702" s="13" t="s">
        <v>2033</v>
      </c>
      <c r="L702" s="13"/>
      <c r="M702" s="14"/>
      <c r="N702" s="13"/>
      <c r="O702" s="13" t="s">
        <v>2028</v>
      </c>
    </row>
    <row r="703" spans="1:15" ht="19.5" customHeight="1" x14ac:dyDescent="0.25">
      <c r="A703" s="11" t="s">
        <v>268</v>
      </c>
      <c r="B703" s="11"/>
      <c r="C703" s="11" t="s">
        <v>6814</v>
      </c>
      <c r="D703" s="11" t="s">
        <v>1883</v>
      </c>
      <c r="E703" s="11" t="s">
        <v>6813</v>
      </c>
      <c r="F703" s="11" t="s">
        <v>6812</v>
      </c>
      <c r="G703" s="11" t="s">
        <v>268</v>
      </c>
      <c r="H703" s="11" t="s">
        <v>6811</v>
      </c>
      <c r="I703" s="11" t="s">
        <v>5738</v>
      </c>
      <c r="J703" s="11" t="s">
        <v>6810</v>
      </c>
      <c r="K703" s="11" t="s">
        <v>2033</v>
      </c>
      <c r="L703" s="11"/>
      <c r="M703" s="12"/>
      <c r="N703" s="11"/>
      <c r="O703" s="11" t="s">
        <v>2028</v>
      </c>
    </row>
    <row r="704" spans="1:15" ht="19.5" customHeight="1" x14ac:dyDescent="0.25">
      <c r="A704" s="13" t="s">
        <v>270</v>
      </c>
      <c r="B704" s="13"/>
      <c r="C704" s="13" t="s">
        <v>6809</v>
      </c>
      <c r="D704" s="13" t="s">
        <v>1883</v>
      </c>
      <c r="E704" s="13" t="s">
        <v>6808</v>
      </c>
      <c r="F704" s="13" t="s">
        <v>6807</v>
      </c>
      <c r="G704" s="13" t="s">
        <v>6806</v>
      </c>
      <c r="H704" s="13"/>
      <c r="I704" s="13" t="s">
        <v>6805</v>
      </c>
      <c r="J704" s="13" t="s">
        <v>6804</v>
      </c>
      <c r="K704" s="13" t="s">
        <v>2175</v>
      </c>
      <c r="L704" s="13"/>
      <c r="M704" s="14"/>
      <c r="N704" s="13"/>
      <c r="O704" s="13" t="s">
        <v>2028</v>
      </c>
    </row>
    <row r="705" spans="1:15" ht="19.5" customHeight="1" x14ac:dyDescent="0.25">
      <c r="A705" s="11" t="s">
        <v>6800</v>
      </c>
      <c r="B705" s="11"/>
      <c r="C705" s="11" t="s">
        <v>6803</v>
      </c>
      <c r="D705" s="11" t="s">
        <v>1883</v>
      </c>
      <c r="E705" s="11" t="s">
        <v>6802</v>
      </c>
      <c r="F705" s="11" t="s">
        <v>6801</v>
      </c>
      <c r="G705" s="11" t="s">
        <v>6800</v>
      </c>
      <c r="H705" s="11" t="s">
        <v>6799</v>
      </c>
      <c r="I705" s="11" t="s">
        <v>6798</v>
      </c>
      <c r="J705" s="11" t="s">
        <v>6797</v>
      </c>
      <c r="K705" s="11" t="s">
        <v>1952</v>
      </c>
      <c r="L705" s="11"/>
      <c r="M705" s="12"/>
      <c r="N705" s="11"/>
      <c r="O705" s="11" t="s">
        <v>1945</v>
      </c>
    </row>
    <row r="706" spans="1:15" ht="19.5" customHeight="1" x14ac:dyDescent="0.25">
      <c r="A706" s="13" t="s">
        <v>276</v>
      </c>
      <c r="B706" s="13"/>
      <c r="C706" s="13" t="s">
        <v>6796</v>
      </c>
      <c r="D706" s="13" t="s">
        <v>1883</v>
      </c>
      <c r="E706" s="13" t="s">
        <v>6793</v>
      </c>
      <c r="F706" s="13" t="s">
        <v>6792</v>
      </c>
      <c r="G706" s="13" t="s">
        <v>6791</v>
      </c>
      <c r="H706" s="13" t="s">
        <v>6790</v>
      </c>
      <c r="I706" s="13" t="s">
        <v>6789</v>
      </c>
      <c r="J706" s="13" t="s">
        <v>6788</v>
      </c>
      <c r="K706" s="13" t="s">
        <v>1952</v>
      </c>
      <c r="L706" s="13"/>
      <c r="M706" s="14"/>
      <c r="N706" s="13"/>
      <c r="O706" s="13" t="s">
        <v>2028</v>
      </c>
    </row>
    <row r="707" spans="1:15" ht="19.5" customHeight="1" x14ac:dyDescent="0.25">
      <c r="A707" s="11" t="s">
        <v>276</v>
      </c>
      <c r="B707" s="11"/>
      <c r="C707" s="11" t="s">
        <v>6795</v>
      </c>
      <c r="D707" s="11" t="s">
        <v>1883</v>
      </c>
      <c r="E707" s="11" t="s">
        <v>6793</v>
      </c>
      <c r="F707" s="11" t="s">
        <v>6792</v>
      </c>
      <c r="G707" s="11" t="s">
        <v>6791</v>
      </c>
      <c r="H707" s="11" t="s">
        <v>6790</v>
      </c>
      <c r="I707" s="11" t="s">
        <v>6789</v>
      </c>
      <c r="J707" s="11" t="s">
        <v>6788</v>
      </c>
      <c r="K707" s="11" t="s">
        <v>1952</v>
      </c>
      <c r="L707" s="11"/>
      <c r="M707" s="12"/>
      <c r="N707" s="11"/>
      <c r="O707" s="11" t="s">
        <v>2028</v>
      </c>
    </row>
    <row r="708" spans="1:15" ht="19.5" customHeight="1" x14ac:dyDescent="0.25">
      <c r="A708" s="13" t="s">
        <v>276</v>
      </c>
      <c r="B708" s="13"/>
      <c r="C708" s="13" t="s">
        <v>6794</v>
      </c>
      <c r="D708" s="13" t="s">
        <v>1883</v>
      </c>
      <c r="E708" s="13" t="s">
        <v>6793</v>
      </c>
      <c r="F708" s="13" t="s">
        <v>6792</v>
      </c>
      <c r="G708" s="13" t="s">
        <v>6791</v>
      </c>
      <c r="H708" s="13" t="s">
        <v>6790</v>
      </c>
      <c r="I708" s="13" t="s">
        <v>6789</v>
      </c>
      <c r="J708" s="13" t="s">
        <v>6788</v>
      </c>
      <c r="K708" s="13" t="s">
        <v>1952</v>
      </c>
      <c r="L708" s="13"/>
      <c r="M708" s="14"/>
      <c r="N708" s="13"/>
      <c r="O708" s="13" t="s">
        <v>2028</v>
      </c>
    </row>
    <row r="709" spans="1:15" ht="19.5" customHeight="1" x14ac:dyDescent="0.25">
      <c r="A709" s="11" t="s">
        <v>280</v>
      </c>
      <c r="B709" s="11"/>
      <c r="C709" s="11" t="s">
        <v>6787</v>
      </c>
      <c r="D709" s="11" t="s">
        <v>1883</v>
      </c>
      <c r="E709" s="11" t="s">
        <v>6784</v>
      </c>
      <c r="F709" s="11" t="s">
        <v>6783</v>
      </c>
      <c r="G709" s="11" t="s">
        <v>280</v>
      </c>
      <c r="H709" s="11"/>
      <c r="I709" s="11" t="s">
        <v>6782</v>
      </c>
      <c r="J709" s="11" t="s">
        <v>6781</v>
      </c>
      <c r="K709" s="11" t="s">
        <v>1952</v>
      </c>
      <c r="L709" s="11"/>
      <c r="M709" s="12"/>
      <c r="N709" s="11"/>
      <c r="O709" s="11" t="s">
        <v>2028</v>
      </c>
    </row>
    <row r="710" spans="1:15" ht="19.5" customHeight="1" x14ac:dyDescent="0.25">
      <c r="A710" s="13" t="s">
        <v>280</v>
      </c>
      <c r="B710" s="13"/>
      <c r="C710" s="13" t="s">
        <v>6786</v>
      </c>
      <c r="D710" s="13" t="s">
        <v>1883</v>
      </c>
      <c r="E710" s="13" t="s">
        <v>6784</v>
      </c>
      <c r="F710" s="13" t="s">
        <v>6783</v>
      </c>
      <c r="G710" s="13" t="s">
        <v>280</v>
      </c>
      <c r="H710" s="13"/>
      <c r="I710" s="13" t="s">
        <v>6782</v>
      </c>
      <c r="J710" s="13" t="s">
        <v>6781</v>
      </c>
      <c r="K710" s="13" t="s">
        <v>1952</v>
      </c>
      <c r="L710" s="13"/>
      <c r="M710" s="14"/>
      <c r="N710" s="13"/>
      <c r="O710" s="13" t="s">
        <v>2028</v>
      </c>
    </row>
    <row r="711" spans="1:15" ht="19.5" customHeight="1" x14ac:dyDescent="0.25">
      <c r="A711" s="11" t="s">
        <v>280</v>
      </c>
      <c r="B711" s="11"/>
      <c r="C711" s="11" t="s">
        <v>6785</v>
      </c>
      <c r="D711" s="11" t="s">
        <v>1883</v>
      </c>
      <c r="E711" s="11" t="s">
        <v>6784</v>
      </c>
      <c r="F711" s="11" t="s">
        <v>6783</v>
      </c>
      <c r="G711" s="11" t="s">
        <v>280</v>
      </c>
      <c r="H711" s="11"/>
      <c r="I711" s="11" t="s">
        <v>6782</v>
      </c>
      <c r="J711" s="11" t="s">
        <v>6781</v>
      </c>
      <c r="K711" s="11" t="s">
        <v>1952</v>
      </c>
      <c r="L711" s="11"/>
      <c r="M711" s="12"/>
      <c r="N711" s="11"/>
      <c r="O711" s="11" t="s">
        <v>2028</v>
      </c>
    </row>
    <row r="712" spans="1:15" ht="19.5" customHeight="1" x14ac:dyDescent="0.25">
      <c r="A712" s="13" t="s">
        <v>282</v>
      </c>
      <c r="B712" s="13"/>
      <c r="C712" s="13" t="s">
        <v>6780</v>
      </c>
      <c r="D712" s="13" t="s">
        <v>1883</v>
      </c>
      <c r="E712" s="13"/>
      <c r="F712" s="13"/>
      <c r="G712" s="13" t="s">
        <v>282</v>
      </c>
      <c r="H712" s="13"/>
      <c r="I712" s="13" t="s">
        <v>6777</v>
      </c>
      <c r="J712" s="13" t="s">
        <v>6776</v>
      </c>
      <c r="K712" s="13" t="s">
        <v>2033</v>
      </c>
      <c r="L712" s="13"/>
      <c r="M712" s="14"/>
      <c r="N712" s="13"/>
      <c r="O712" s="13" t="s">
        <v>2028</v>
      </c>
    </row>
    <row r="713" spans="1:15" ht="19.5" customHeight="1" x14ac:dyDescent="0.25">
      <c r="A713" s="11" t="s">
        <v>282</v>
      </c>
      <c r="B713" s="11"/>
      <c r="C713" s="11" t="s">
        <v>6779</v>
      </c>
      <c r="D713" s="11" t="s">
        <v>1883</v>
      </c>
      <c r="E713" s="11"/>
      <c r="F713" s="11"/>
      <c r="G713" s="11" t="s">
        <v>282</v>
      </c>
      <c r="H713" s="11"/>
      <c r="I713" s="11" t="s">
        <v>6777</v>
      </c>
      <c r="J713" s="11" t="s">
        <v>6776</v>
      </c>
      <c r="K713" s="11" t="s">
        <v>2033</v>
      </c>
      <c r="L713" s="11"/>
      <c r="M713" s="12"/>
      <c r="N713" s="11"/>
      <c r="O713" s="11" t="s">
        <v>2028</v>
      </c>
    </row>
    <row r="714" spans="1:15" ht="19.5" customHeight="1" x14ac:dyDescent="0.25">
      <c r="A714" s="13" t="s">
        <v>282</v>
      </c>
      <c r="B714" s="13"/>
      <c r="C714" s="13" t="s">
        <v>6778</v>
      </c>
      <c r="D714" s="13" t="s">
        <v>1883</v>
      </c>
      <c r="E714" s="13"/>
      <c r="F714" s="13"/>
      <c r="G714" s="13" t="s">
        <v>282</v>
      </c>
      <c r="H714" s="13"/>
      <c r="I714" s="13" t="s">
        <v>6777</v>
      </c>
      <c r="J714" s="13" t="s">
        <v>6776</v>
      </c>
      <c r="K714" s="13" t="s">
        <v>2033</v>
      </c>
      <c r="L714" s="13"/>
      <c r="M714" s="14"/>
      <c r="N714" s="13"/>
      <c r="O714" s="13" t="s">
        <v>2028</v>
      </c>
    </row>
    <row r="715" spans="1:15" ht="19.5" customHeight="1" x14ac:dyDescent="0.25">
      <c r="A715" s="11" t="s">
        <v>284</v>
      </c>
      <c r="B715" s="11"/>
      <c r="C715" s="11" t="s">
        <v>6775</v>
      </c>
      <c r="D715" s="11" t="s">
        <v>1883</v>
      </c>
      <c r="E715" s="11" t="s">
        <v>6772</v>
      </c>
      <c r="F715" s="11" t="s">
        <v>6767</v>
      </c>
      <c r="G715" s="11" t="s">
        <v>6771</v>
      </c>
      <c r="H715" s="11" t="s">
        <v>6770</v>
      </c>
      <c r="I715" s="11" t="s">
        <v>6766</v>
      </c>
      <c r="J715" s="11" t="s">
        <v>6765</v>
      </c>
      <c r="K715" s="11" t="s">
        <v>1952</v>
      </c>
      <c r="L715" s="11"/>
      <c r="M715" s="12"/>
      <c r="N715" s="11"/>
      <c r="O715" s="11" t="s">
        <v>2028</v>
      </c>
    </row>
    <row r="716" spans="1:15" ht="19.5" customHeight="1" x14ac:dyDescent="0.25">
      <c r="A716" s="13" t="s">
        <v>284</v>
      </c>
      <c r="B716" s="13"/>
      <c r="C716" s="13" t="s">
        <v>6774</v>
      </c>
      <c r="D716" s="13" t="s">
        <v>1883</v>
      </c>
      <c r="E716" s="13" t="s">
        <v>6772</v>
      </c>
      <c r="F716" s="13" t="s">
        <v>6767</v>
      </c>
      <c r="G716" s="13" t="s">
        <v>6771</v>
      </c>
      <c r="H716" s="13" t="s">
        <v>6770</v>
      </c>
      <c r="I716" s="13" t="s">
        <v>6766</v>
      </c>
      <c r="J716" s="13" t="s">
        <v>6765</v>
      </c>
      <c r="K716" s="13" t="s">
        <v>1952</v>
      </c>
      <c r="L716" s="13"/>
      <c r="M716" s="14"/>
      <c r="N716" s="13"/>
      <c r="O716" s="13" t="s">
        <v>2028</v>
      </c>
    </row>
    <row r="717" spans="1:15" ht="19.5" customHeight="1" x14ac:dyDescent="0.25">
      <c r="A717" s="11" t="s">
        <v>284</v>
      </c>
      <c r="B717" s="11"/>
      <c r="C717" s="11" t="s">
        <v>6773</v>
      </c>
      <c r="D717" s="11" t="s">
        <v>1883</v>
      </c>
      <c r="E717" s="11" t="s">
        <v>6772</v>
      </c>
      <c r="F717" s="11" t="s">
        <v>6767</v>
      </c>
      <c r="G717" s="11" t="s">
        <v>6771</v>
      </c>
      <c r="H717" s="11" t="s">
        <v>6770</v>
      </c>
      <c r="I717" s="11" t="s">
        <v>6766</v>
      </c>
      <c r="J717" s="11" t="s">
        <v>6765</v>
      </c>
      <c r="K717" s="11" t="s">
        <v>1952</v>
      </c>
      <c r="L717" s="11"/>
      <c r="M717" s="12"/>
      <c r="N717" s="11"/>
      <c r="O717" s="11" t="s">
        <v>2028</v>
      </c>
    </row>
    <row r="718" spans="1:15" ht="19.5" customHeight="1" x14ac:dyDescent="0.25">
      <c r="A718" s="13" t="s">
        <v>284</v>
      </c>
      <c r="B718" s="13"/>
      <c r="C718" s="13" t="s">
        <v>6769</v>
      </c>
      <c r="D718" s="13" t="s">
        <v>1883</v>
      </c>
      <c r="E718" s="13" t="s">
        <v>6768</v>
      </c>
      <c r="F718" s="13" t="s">
        <v>6767</v>
      </c>
      <c r="G718" s="13" t="s">
        <v>284</v>
      </c>
      <c r="H718" s="13"/>
      <c r="I718" s="13" t="s">
        <v>6766</v>
      </c>
      <c r="J718" s="13" t="s">
        <v>6765</v>
      </c>
      <c r="K718" s="13" t="s">
        <v>1952</v>
      </c>
      <c r="L718" s="13"/>
      <c r="M718" s="14"/>
      <c r="N718" s="13"/>
      <c r="O718" s="13" t="s">
        <v>1916</v>
      </c>
    </row>
    <row r="719" spans="1:15" ht="19.5" customHeight="1" x14ac:dyDescent="0.25">
      <c r="A719" s="11" t="s">
        <v>286</v>
      </c>
      <c r="B719" s="11"/>
      <c r="C719" s="11" t="s">
        <v>6764</v>
      </c>
      <c r="D719" s="11" t="s">
        <v>1883</v>
      </c>
      <c r="E719" s="11" t="s">
        <v>6761</v>
      </c>
      <c r="F719" s="11"/>
      <c r="G719" s="11" t="s">
        <v>286</v>
      </c>
      <c r="H719" s="11" t="s">
        <v>6760</v>
      </c>
      <c r="I719" s="11" t="s">
        <v>6759</v>
      </c>
      <c r="J719" s="11" t="s">
        <v>6758</v>
      </c>
      <c r="K719" s="11" t="s">
        <v>1952</v>
      </c>
      <c r="L719" s="11"/>
      <c r="M719" s="12"/>
      <c r="N719" s="11"/>
      <c r="O719" s="11" t="s">
        <v>2028</v>
      </c>
    </row>
    <row r="720" spans="1:15" ht="19.5" customHeight="1" x14ac:dyDescent="0.25">
      <c r="A720" s="13" t="s">
        <v>286</v>
      </c>
      <c r="B720" s="13"/>
      <c r="C720" s="13" t="s">
        <v>6763</v>
      </c>
      <c r="D720" s="13" t="s">
        <v>1883</v>
      </c>
      <c r="E720" s="13" t="s">
        <v>6761</v>
      </c>
      <c r="F720" s="13"/>
      <c r="G720" s="13" t="s">
        <v>286</v>
      </c>
      <c r="H720" s="13" t="s">
        <v>6760</v>
      </c>
      <c r="I720" s="13" t="s">
        <v>6759</v>
      </c>
      <c r="J720" s="13" t="s">
        <v>6758</v>
      </c>
      <c r="K720" s="13" t="s">
        <v>1952</v>
      </c>
      <c r="L720" s="13"/>
      <c r="M720" s="14"/>
      <c r="N720" s="13"/>
      <c r="O720" s="13" t="s">
        <v>2028</v>
      </c>
    </row>
    <row r="721" spans="1:15" ht="19.5" customHeight="1" x14ac:dyDescent="0.25">
      <c r="A721" s="11" t="s">
        <v>286</v>
      </c>
      <c r="B721" s="11"/>
      <c r="C721" s="11" t="s">
        <v>6762</v>
      </c>
      <c r="D721" s="11" t="s">
        <v>1883</v>
      </c>
      <c r="E721" s="11" t="s">
        <v>6761</v>
      </c>
      <c r="F721" s="11"/>
      <c r="G721" s="11" t="s">
        <v>286</v>
      </c>
      <c r="H721" s="11" t="s">
        <v>6760</v>
      </c>
      <c r="I721" s="11" t="s">
        <v>6759</v>
      </c>
      <c r="J721" s="11" t="s">
        <v>6758</v>
      </c>
      <c r="K721" s="11" t="s">
        <v>1952</v>
      </c>
      <c r="L721" s="11"/>
      <c r="M721" s="12"/>
      <c r="N721" s="11"/>
      <c r="O721" s="11" t="s">
        <v>2028</v>
      </c>
    </row>
    <row r="722" spans="1:15" ht="19.5" customHeight="1" x14ac:dyDescent="0.25">
      <c r="A722" s="13" t="s">
        <v>6755</v>
      </c>
      <c r="B722" s="13"/>
      <c r="C722" s="13" t="s">
        <v>1167</v>
      </c>
      <c r="D722" s="13" t="s">
        <v>1883</v>
      </c>
      <c r="E722" s="13" t="s">
        <v>6757</v>
      </c>
      <c r="F722" s="13" t="s">
        <v>6756</v>
      </c>
      <c r="G722" s="13" t="s">
        <v>6755</v>
      </c>
      <c r="H722" s="13"/>
      <c r="I722" s="13" t="s">
        <v>6754</v>
      </c>
      <c r="J722" s="13" t="s">
        <v>6753</v>
      </c>
      <c r="K722" s="13" t="s">
        <v>1952</v>
      </c>
      <c r="L722" s="13"/>
      <c r="M722" s="14"/>
      <c r="N722" s="13"/>
      <c r="O722" s="13" t="s">
        <v>1945</v>
      </c>
    </row>
    <row r="723" spans="1:15" ht="19.5" customHeight="1" x14ac:dyDescent="0.25">
      <c r="A723" s="11" t="s">
        <v>288</v>
      </c>
      <c r="B723" s="11"/>
      <c r="C723" s="11" t="s">
        <v>6752</v>
      </c>
      <c r="D723" s="11" t="s">
        <v>1883</v>
      </c>
      <c r="E723" s="11" t="s">
        <v>6751</v>
      </c>
      <c r="F723" s="11"/>
      <c r="G723" s="11" t="s">
        <v>6746</v>
      </c>
      <c r="H723" s="11" t="s">
        <v>6745</v>
      </c>
      <c r="I723" s="11" t="s">
        <v>6744</v>
      </c>
      <c r="J723" s="11" t="s">
        <v>6743</v>
      </c>
      <c r="K723" s="11" t="s">
        <v>2033</v>
      </c>
      <c r="L723" s="11"/>
      <c r="M723" s="12"/>
      <c r="N723" s="11"/>
      <c r="O723" s="11" t="s">
        <v>2028</v>
      </c>
    </row>
    <row r="724" spans="1:15" ht="19.5" customHeight="1" x14ac:dyDescent="0.25">
      <c r="A724" s="13" t="s">
        <v>288</v>
      </c>
      <c r="B724" s="13"/>
      <c r="C724" s="13" t="s">
        <v>6750</v>
      </c>
      <c r="D724" s="13" t="s">
        <v>1883</v>
      </c>
      <c r="E724" s="13" t="s">
        <v>6749</v>
      </c>
      <c r="F724" s="13"/>
      <c r="G724" s="13" t="s">
        <v>6746</v>
      </c>
      <c r="H724" s="13" t="s">
        <v>6745</v>
      </c>
      <c r="I724" s="13" t="s">
        <v>6744</v>
      </c>
      <c r="J724" s="13" t="s">
        <v>6743</v>
      </c>
      <c r="K724" s="13" t="s">
        <v>2033</v>
      </c>
      <c r="L724" s="13"/>
      <c r="M724" s="14"/>
      <c r="N724" s="13"/>
      <c r="O724" s="13" t="s">
        <v>2028</v>
      </c>
    </row>
    <row r="725" spans="1:15" ht="19.5" customHeight="1" x14ac:dyDescent="0.25">
      <c r="A725" s="11" t="s">
        <v>288</v>
      </c>
      <c r="B725" s="11"/>
      <c r="C725" s="11" t="s">
        <v>6748</v>
      </c>
      <c r="D725" s="11" t="s">
        <v>1883</v>
      </c>
      <c r="E725" s="11" t="s">
        <v>6747</v>
      </c>
      <c r="F725" s="11"/>
      <c r="G725" s="11" t="s">
        <v>6746</v>
      </c>
      <c r="H725" s="11" t="s">
        <v>6745</v>
      </c>
      <c r="I725" s="11" t="s">
        <v>6744</v>
      </c>
      <c r="J725" s="11" t="s">
        <v>6743</v>
      </c>
      <c r="K725" s="11" t="s">
        <v>2033</v>
      </c>
      <c r="L725" s="11"/>
      <c r="M725" s="12"/>
      <c r="N725" s="11"/>
      <c r="O725" s="11" t="s">
        <v>2028</v>
      </c>
    </row>
    <row r="726" spans="1:15" ht="19.5" customHeight="1" x14ac:dyDescent="0.25">
      <c r="A726" s="13" t="s">
        <v>290</v>
      </c>
      <c r="B726" s="13"/>
      <c r="C726" s="13" t="s">
        <v>6742</v>
      </c>
      <c r="D726" s="13" t="s">
        <v>1883</v>
      </c>
      <c r="E726" s="13" t="s">
        <v>6738</v>
      </c>
      <c r="F726" s="13" t="s">
        <v>6733</v>
      </c>
      <c r="G726" s="13" t="s">
        <v>290</v>
      </c>
      <c r="H726" s="13"/>
      <c r="I726" s="13" t="s">
        <v>6737</v>
      </c>
      <c r="J726" s="13" t="s">
        <v>6736</v>
      </c>
      <c r="K726" s="13" t="s">
        <v>2175</v>
      </c>
      <c r="L726" s="13"/>
      <c r="M726" s="14"/>
      <c r="N726" s="13"/>
      <c r="O726" s="13" t="s">
        <v>1916</v>
      </c>
    </row>
    <row r="727" spans="1:15" ht="19.5" customHeight="1" x14ac:dyDescent="0.25">
      <c r="A727" s="11" t="s">
        <v>290</v>
      </c>
      <c r="B727" s="11"/>
      <c r="C727" s="11" t="s">
        <v>6741</v>
      </c>
      <c r="D727" s="11" t="s">
        <v>1883</v>
      </c>
      <c r="E727" s="11" t="s">
        <v>6738</v>
      </c>
      <c r="F727" s="11" t="s">
        <v>6733</v>
      </c>
      <c r="G727" s="11" t="s">
        <v>290</v>
      </c>
      <c r="H727" s="11" t="s">
        <v>6732</v>
      </c>
      <c r="I727" s="11" t="s">
        <v>6737</v>
      </c>
      <c r="J727" s="11" t="s">
        <v>6736</v>
      </c>
      <c r="K727" s="11" t="s">
        <v>2033</v>
      </c>
      <c r="L727" s="11"/>
      <c r="M727" s="12"/>
      <c r="N727" s="11"/>
      <c r="O727" s="11" t="s">
        <v>2028</v>
      </c>
    </row>
    <row r="728" spans="1:15" ht="19.5" customHeight="1" x14ac:dyDescent="0.25">
      <c r="A728" s="13" t="s">
        <v>290</v>
      </c>
      <c r="B728" s="13"/>
      <c r="C728" s="13" t="s">
        <v>6740</v>
      </c>
      <c r="D728" s="13" t="s">
        <v>1883</v>
      </c>
      <c r="E728" s="13" t="s">
        <v>6738</v>
      </c>
      <c r="F728" s="13" t="s">
        <v>6733</v>
      </c>
      <c r="G728" s="13" t="s">
        <v>290</v>
      </c>
      <c r="H728" s="13" t="s">
        <v>6732</v>
      </c>
      <c r="I728" s="13" t="s">
        <v>6737</v>
      </c>
      <c r="J728" s="13" t="s">
        <v>6736</v>
      </c>
      <c r="K728" s="13" t="s">
        <v>2033</v>
      </c>
      <c r="L728" s="13"/>
      <c r="M728" s="14"/>
      <c r="N728" s="13"/>
      <c r="O728" s="13" t="s">
        <v>2028</v>
      </c>
    </row>
    <row r="729" spans="1:15" ht="19.5" customHeight="1" x14ac:dyDescent="0.25">
      <c r="A729" s="11" t="s">
        <v>290</v>
      </c>
      <c r="B729" s="11"/>
      <c r="C729" s="11" t="s">
        <v>6739</v>
      </c>
      <c r="D729" s="11" t="s">
        <v>1883</v>
      </c>
      <c r="E729" s="11" t="s">
        <v>6738</v>
      </c>
      <c r="F729" s="11" t="s">
        <v>6733</v>
      </c>
      <c r="G729" s="11" t="s">
        <v>290</v>
      </c>
      <c r="H729" s="11" t="s">
        <v>6732</v>
      </c>
      <c r="I729" s="11" t="s">
        <v>6737</v>
      </c>
      <c r="J729" s="11" t="s">
        <v>6736</v>
      </c>
      <c r="K729" s="11" t="s">
        <v>2033</v>
      </c>
      <c r="L729" s="11"/>
      <c r="M729" s="12"/>
      <c r="N729" s="11"/>
      <c r="O729" s="11" t="s">
        <v>2028</v>
      </c>
    </row>
    <row r="730" spans="1:15" ht="19.5" customHeight="1" x14ac:dyDescent="0.25">
      <c r="A730" s="13" t="s">
        <v>290</v>
      </c>
      <c r="B730" s="13"/>
      <c r="C730" s="13" t="s">
        <v>6735</v>
      </c>
      <c r="D730" s="13" t="s">
        <v>1883</v>
      </c>
      <c r="E730" s="13" t="s">
        <v>6734</v>
      </c>
      <c r="F730" s="13" t="s">
        <v>6733</v>
      </c>
      <c r="G730" s="13" t="s">
        <v>290</v>
      </c>
      <c r="H730" s="13" t="s">
        <v>6732</v>
      </c>
      <c r="I730" s="13" t="s">
        <v>6731</v>
      </c>
      <c r="J730" s="13" t="s">
        <v>6730</v>
      </c>
      <c r="K730" s="13" t="s">
        <v>2033</v>
      </c>
      <c r="L730" s="13"/>
      <c r="M730" s="14"/>
      <c r="N730" s="13"/>
      <c r="O730" s="13" t="s">
        <v>1945</v>
      </c>
    </row>
    <row r="731" spans="1:15" ht="19.5" customHeight="1" x14ac:dyDescent="0.25">
      <c r="A731" s="11" t="s">
        <v>292</v>
      </c>
      <c r="B731" s="11"/>
      <c r="C731" s="11" t="s">
        <v>6729</v>
      </c>
      <c r="D731" s="11" t="s">
        <v>1883</v>
      </c>
      <c r="E731" s="11" t="s">
        <v>6728</v>
      </c>
      <c r="F731" s="11"/>
      <c r="G731" s="11" t="s">
        <v>292</v>
      </c>
      <c r="H731" s="11" t="s">
        <v>6727</v>
      </c>
      <c r="I731" s="11" t="s">
        <v>6726</v>
      </c>
      <c r="J731" s="11" t="s">
        <v>6725</v>
      </c>
      <c r="K731" s="11" t="s">
        <v>1952</v>
      </c>
      <c r="L731" s="11"/>
      <c r="M731" s="12"/>
      <c r="N731" s="11"/>
      <c r="O731" s="11" t="s">
        <v>2028</v>
      </c>
    </row>
    <row r="732" spans="1:15" ht="19.5" customHeight="1" x14ac:dyDescent="0.25">
      <c r="A732" s="13" t="s">
        <v>294</v>
      </c>
      <c r="B732" s="13"/>
      <c r="C732" s="13" t="s">
        <v>6724</v>
      </c>
      <c r="D732" s="13" t="s">
        <v>1883</v>
      </c>
      <c r="E732" s="13" t="s">
        <v>6721</v>
      </c>
      <c r="F732" s="13"/>
      <c r="G732" s="13" t="s">
        <v>294</v>
      </c>
      <c r="H732" s="13" t="s">
        <v>6720</v>
      </c>
      <c r="I732" s="13" t="s">
        <v>6719</v>
      </c>
      <c r="J732" s="13" t="s">
        <v>6718</v>
      </c>
      <c r="K732" s="13" t="s">
        <v>1952</v>
      </c>
      <c r="L732" s="13"/>
      <c r="M732" s="14"/>
      <c r="N732" s="13"/>
      <c r="O732" s="13" t="s">
        <v>2028</v>
      </c>
    </row>
    <row r="733" spans="1:15" ht="19.5" customHeight="1" x14ac:dyDescent="0.25">
      <c r="A733" s="11" t="s">
        <v>294</v>
      </c>
      <c r="B733" s="11"/>
      <c r="C733" s="11" t="s">
        <v>6723</v>
      </c>
      <c r="D733" s="11" t="s">
        <v>1883</v>
      </c>
      <c r="E733" s="11" t="s">
        <v>6721</v>
      </c>
      <c r="F733" s="11"/>
      <c r="G733" s="11" t="s">
        <v>294</v>
      </c>
      <c r="H733" s="11" t="s">
        <v>6720</v>
      </c>
      <c r="I733" s="11" t="s">
        <v>6719</v>
      </c>
      <c r="J733" s="11" t="s">
        <v>6718</v>
      </c>
      <c r="K733" s="11" t="s">
        <v>1952</v>
      </c>
      <c r="L733" s="11"/>
      <c r="M733" s="12"/>
      <c r="N733" s="11"/>
      <c r="O733" s="11" t="s">
        <v>2028</v>
      </c>
    </row>
    <row r="734" spans="1:15" ht="19.5" customHeight="1" x14ac:dyDescent="0.25">
      <c r="A734" s="13" t="s">
        <v>294</v>
      </c>
      <c r="B734" s="13"/>
      <c r="C734" s="13" t="s">
        <v>6722</v>
      </c>
      <c r="D734" s="13" t="s">
        <v>1883</v>
      </c>
      <c r="E734" s="13" t="s">
        <v>6721</v>
      </c>
      <c r="F734" s="13"/>
      <c r="G734" s="13" t="s">
        <v>294</v>
      </c>
      <c r="H734" s="13" t="s">
        <v>6720</v>
      </c>
      <c r="I734" s="13" t="s">
        <v>6719</v>
      </c>
      <c r="J734" s="13" t="s">
        <v>6718</v>
      </c>
      <c r="K734" s="13" t="s">
        <v>1952</v>
      </c>
      <c r="L734" s="13"/>
      <c r="M734" s="14"/>
      <c r="N734" s="13"/>
      <c r="O734" s="13" t="s">
        <v>2028</v>
      </c>
    </row>
    <row r="735" spans="1:15" ht="19.5" customHeight="1" x14ac:dyDescent="0.25">
      <c r="A735" s="11" t="s">
        <v>297</v>
      </c>
      <c r="B735" s="11"/>
      <c r="C735" s="11" t="s">
        <v>6717</v>
      </c>
      <c r="D735" s="11" t="s">
        <v>1883</v>
      </c>
      <c r="E735" s="11" t="s">
        <v>6714</v>
      </c>
      <c r="F735" s="11" t="s">
        <v>6713</v>
      </c>
      <c r="G735" s="11" t="s">
        <v>297</v>
      </c>
      <c r="H735" s="11" t="s">
        <v>6712</v>
      </c>
      <c r="I735" s="11" t="s">
        <v>6711</v>
      </c>
      <c r="J735" s="11" t="s">
        <v>6710</v>
      </c>
      <c r="K735" s="11" t="s">
        <v>1952</v>
      </c>
      <c r="L735" s="11"/>
      <c r="M735" s="12"/>
      <c r="N735" s="11"/>
      <c r="O735" s="11" t="s">
        <v>2028</v>
      </c>
    </row>
    <row r="736" spans="1:15" ht="19.5" customHeight="1" x14ac:dyDescent="0.25">
      <c r="A736" s="13" t="s">
        <v>297</v>
      </c>
      <c r="B736" s="13"/>
      <c r="C736" s="13" t="s">
        <v>6716</v>
      </c>
      <c r="D736" s="13" t="s">
        <v>1883</v>
      </c>
      <c r="E736" s="13" t="s">
        <v>6714</v>
      </c>
      <c r="F736" s="13" t="s">
        <v>6713</v>
      </c>
      <c r="G736" s="13" t="s">
        <v>297</v>
      </c>
      <c r="H736" s="13" t="s">
        <v>6712</v>
      </c>
      <c r="I736" s="13" t="s">
        <v>6711</v>
      </c>
      <c r="J736" s="13" t="s">
        <v>6710</v>
      </c>
      <c r="K736" s="13" t="s">
        <v>1952</v>
      </c>
      <c r="L736" s="13"/>
      <c r="M736" s="14"/>
      <c r="N736" s="13"/>
      <c r="O736" s="13" t="s">
        <v>2028</v>
      </c>
    </row>
    <row r="737" spans="1:15" ht="19.5" customHeight="1" x14ac:dyDescent="0.25">
      <c r="A737" s="11" t="s">
        <v>297</v>
      </c>
      <c r="B737" s="11"/>
      <c r="C737" s="11" t="s">
        <v>6715</v>
      </c>
      <c r="D737" s="11" t="s">
        <v>1883</v>
      </c>
      <c r="E737" s="11" t="s">
        <v>6714</v>
      </c>
      <c r="F737" s="11" t="s">
        <v>6713</v>
      </c>
      <c r="G737" s="11" t="s">
        <v>297</v>
      </c>
      <c r="H737" s="11" t="s">
        <v>6712</v>
      </c>
      <c r="I737" s="11" t="s">
        <v>6711</v>
      </c>
      <c r="J737" s="11" t="s">
        <v>6710</v>
      </c>
      <c r="K737" s="11" t="s">
        <v>1952</v>
      </c>
      <c r="L737" s="11"/>
      <c r="M737" s="12"/>
      <c r="N737" s="11"/>
      <c r="O737" s="11" t="s">
        <v>2028</v>
      </c>
    </row>
    <row r="738" spans="1:15" ht="19.5" customHeight="1" x14ac:dyDescent="0.25">
      <c r="A738" s="13" t="s">
        <v>299</v>
      </c>
      <c r="B738" s="13"/>
      <c r="C738" s="13" t="s">
        <v>6709</v>
      </c>
      <c r="D738" s="13" t="s">
        <v>1883</v>
      </c>
      <c r="E738" s="13" t="s">
        <v>6706</v>
      </c>
      <c r="F738" s="13" t="s">
        <v>6705</v>
      </c>
      <c r="G738" s="13" t="s">
        <v>299</v>
      </c>
      <c r="H738" s="13"/>
      <c r="I738" s="13"/>
      <c r="J738" s="13"/>
      <c r="K738" s="13" t="s">
        <v>1952</v>
      </c>
      <c r="L738" s="13"/>
      <c r="M738" s="14"/>
      <c r="N738" s="13"/>
      <c r="O738" s="13" t="s">
        <v>2028</v>
      </c>
    </row>
    <row r="739" spans="1:15" ht="19.5" customHeight="1" x14ac:dyDescent="0.25">
      <c r="A739" s="11" t="s">
        <v>299</v>
      </c>
      <c r="B739" s="11"/>
      <c r="C739" s="11" t="s">
        <v>6708</v>
      </c>
      <c r="D739" s="11" t="s">
        <v>1883</v>
      </c>
      <c r="E739" s="11" t="s">
        <v>6706</v>
      </c>
      <c r="F739" s="11" t="s">
        <v>6705</v>
      </c>
      <c r="G739" s="11" t="s">
        <v>299</v>
      </c>
      <c r="H739" s="11"/>
      <c r="I739" s="11"/>
      <c r="J739" s="11"/>
      <c r="K739" s="11" t="s">
        <v>1952</v>
      </c>
      <c r="L739" s="11"/>
      <c r="M739" s="12"/>
      <c r="N739" s="11"/>
      <c r="O739" s="11" t="s">
        <v>2028</v>
      </c>
    </row>
    <row r="740" spans="1:15" ht="19.5" customHeight="1" x14ac:dyDescent="0.25">
      <c r="A740" s="13" t="s">
        <v>299</v>
      </c>
      <c r="B740" s="13"/>
      <c r="C740" s="13" t="s">
        <v>6707</v>
      </c>
      <c r="D740" s="13" t="s">
        <v>1883</v>
      </c>
      <c r="E740" s="13" t="s">
        <v>6706</v>
      </c>
      <c r="F740" s="13" t="s">
        <v>6705</v>
      </c>
      <c r="G740" s="13" t="s">
        <v>299</v>
      </c>
      <c r="H740" s="13"/>
      <c r="I740" s="13"/>
      <c r="J740" s="13"/>
      <c r="K740" s="13" t="s">
        <v>1952</v>
      </c>
      <c r="L740" s="13"/>
      <c r="M740" s="14"/>
      <c r="N740" s="13"/>
      <c r="O740" s="13" t="s">
        <v>2028</v>
      </c>
    </row>
    <row r="741" spans="1:15" ht="19.5" customHeight="1" x14ac:dyDescent="0.25">
      <c r="A741" s="11" t="s">
        <v>1051</v>
      </c>
      <c r="B741" s="11"/>
      <c r="C741" s="11" t="s">
        <v>6704</v>
      </c>
      <c r="D741" s="11" t="s">
        <v>1883</v>
      </c>
      <c r="E741" s="11" t="s">
        <v>6703</v>
      </c>
      <c r="F741" s="11"/>
      <c r="G741" s="11" t="s">
        <v>1051</v>
      </c>
      <c r="H741" s="11"/>
      <c r="I741" s="11"/>
      <c r="J741" s="11"/>
      <c r="K741" s="11"/>
      <c r="L741" s="11"/>
      <c r="M741" s="12"/>
      <c r="N741" s="11"/>
      <c r="O741" s="11" t="s">
        <v>1916</v>
      </c>
    </row>
    <row r="742" spans="1:15" ht="19.5" customHeight="1" x14ac:dyDescent="0.25">
      <c r="A742" s="13" t="s">
        <v>1051</v>
      </c>
      <c r="B742" s="13"/>
      <c r="C742" s="13" t="s">
        <v>1050</v>
      </c>
      <c r="D742" s="13" t="s">
        <v>1883</v>
      </c>
      <c r="E742" s="13" t="s">
        <v>6703</v>
      </c>
      <c r="F742" s="13" t="s">
        <v>6702</v>
      </c>
      <c r="G742" s="13" t="s">
        <v>1051</v>
      </c>
      <c r="H742" s="13"/>
      <c r="I742" s="13" t="s">
        <v>6147</v>
      </c>
      <c r="J742" s="13" t="s">
        <v>6701</v>
      </c>
      <c r="K742" s="13" t="s">
        <v>1952</v>
      </c>
      <c r="L742" s="13"/>
      <c r="M742" s="14"/>
      <c r="N742" s="13"/>
      <c r="O742" s="13" t="s">
        <v>1945</v>
      </c>
    </row>
    <row r="743" spans="1:15" ht="19.5" customHeight="1" x14ac:dyDescent="0.25">
      <c r="A743" s="11" t="s">
        <v>1038</v>
      </c>
      <c r="B743" s="11"/>
      <c r="C743" s="11" t="s">
        <v>1037</v>
      </c>
      <c r="D743" s="11" t="s">
        <v>1883</v>
      </c>
      <c r="E743" s="11" t="s">
        <v>6700</v>
      </c>
      <c r="F743" s="11" t="s">
        <v>6699</v>
      </c>
      <c r="G743" s="11" t="s">
        <v>1038</v>
      </c>
      <c r="H743" s="11" t="s">
        <v>6698</v>
      </c>
      <c r="I743" s="11" t="s">
        <v>6304</v>
      </c>
      <c r="J743" s="11" t="s">
        <v>6697</v>
      </c>
      <c r="K743" s="11" t="s">
        <v>2033</v>
      </c>
      <c r="L743" s="11"/>
      <c r="M743" s="12"/>
      <c r="N743" s="11"/>
      <c r="O743" s="11" t="s">
        <v>1945</v>
      </c>
    </row>
    <row r="744" spans="1:15" ht="19.5" customHeight="1" x14ac:dyDescent="0.25">
      <c r="A744" s="13" t="s">
        <v>60</v>
      </c>
      <c r="B744" s="13"/>
      <c r="C744" s="13" t="s">
        <v>6696</v>
      </c>
      <c r="D744" s="13" t="s">
        <v>1883</v>
      </c>
      <c r="E744" s="13" t="s">
        <v>6693</v>
      </c>
      <c r="F744" s="13" t="s">
        <v>6688</v>
      </c>
      <c r="G744" s="13" t="s">
        <v>60</v>
      </c>
      <c r="H744" s="13" t="s">
        <v>6692</v>
      </c>
      <c r="I744" s="13" t="s">
        <v>4936</v>
      </c>
      <c r="J744" s="13" t="s">
        <v>6691</v>
      </c>
      <c r="K744" s="13" t="s">
        <v>2033</v>
      </c>
      <c r="L744" s="13"/>
      <c r="M744" s="14"/>
      <c r="N744" s="13"/>
      <c r="O744" s="13" t="s">
        <v>2028</v>
      </c>
    </row>
    <row r="745" spans="1:15" ht="19.5" customHeight="1" x14ac:dyDescent="0.25">
      <c r="A745" s="11" t="s">
        <v>60</v>
      </c>
      <c r="B745" s="11"/>
      <c r="C745" s="11" t="s">
        <v>6695</v>
      </c>
      <c r="D745" s="11" t="s">
        <v>1883</v>
      </c>
      <c r="E745" s="11" t="s">
        <v>6693</v>
      </c>
      <c r="F745" s="11" t="s">
        <v>6688</v>
      </c>
      <c r="G745" s="11" t="s">
        <v>60</v>
      </c>
      <c r="H745" s="11" t="s">
        <v>6692</v>
      </c>
      <c r="I745" s="11" t="s">
        <v>4936</v>
      </c>
      <c r="J745" s="11" t="s">
        <v>6691</v>
      </c>
      <c r="K745" s="11" t="s">
        <v>2033</v>
      </c>
      <c r="L745" s="11"/>
      <c r="M745" s="12"/>
      <c r="N745" s="11"/>
      <c r="O745" s="11" t="s">
        <v>2028</v>
      </c>
    </row>
    <row r="746" spans="1:15" ht="19.5" customHeight="1" x14ac:dyDescent="0.25">
      <c r="A746" s="13" t="s">
        <v>60</v>
      </c>
      <c r="B746" s="13"/>
      <c r="C746" s="13" t="s">
        <v>6694</v>
      </c>
      <c r="D746" s="13" t="s">
        <v>1883</v>
      </c>
      <c r="E746" s="13" t="s">
        <v>6693</v>
      </c>
      <c r="F746" s="13" t="s">
        <v>6688</v>
      </c>
      <c r="G746" s="13" t="s">
        <v>60</v>
      </c>
      <c r="H746" s="13" t="s">
        <v>6692</v>
      </c>
      <c r="I746" s="13" t="s">
        <v>4936</v>
      </c>
      <c r="J746" s="13" t="s">
        <v>6691</v>
      </c>
      <c r="K746" s="13" t="s">
        <v>2033</v>
      </c>
      <c r="L746" s="13"/>
      <c r="M746" s="14"/>
      <c r="N746" s="13"/>
      <c r="O746" s="13" t="s">
        <v>2028</v>
      </c>
    </row>
    <row r="747" spans="1:15" ht="19.5" customHeight="1" x14ac:dyDescent="0.25">
      <c r="A747" s="11" t="s">
        <v>60</v>
      </c>
      <c r="B747" s="11"/>
      <c r="C747" s="11" t="s">
        <v>6690</v>
      </c>
      <c r="D747" s="11" t="s">
        <v>1883</v>
      </c>
      <c r="E747" s="11" t="s">
        <v>6689</v>
      </c>
      <c r="F747" s="11" t="s">
        <v>6688</v>
      </c>
      <c r="G747" s="11" t="s">
        <v>60</v>
      </c>
      <c r="H747" s="11"/>
      <c r="I747" s="11"/>
      <c r="J747" s="11"/>
      <c r="K747" s="11"/>
      <c r="L747" s="11"/>
      <c r="M747" s="12"/>
      <c r="N747" s="11"/>
      <c r="O747" s="11" t="s">
        <v>1916</v>
      </c>
    </row>
    <row r="748" spans="1:15" ht="19.5" customHeight="1" x14ac:dyDescent="0.25">
      <c r="A748" s="13" t="s">
        <v>1162</v>
      </c>
      <c r="B748" s="13"/>
      <c r="C748" s="13" t="s">
        <v>6687</v>
      </c>
      <c r="D748" s="13" t="s">
        <v>1883</v>
      </c>
      <c r="E748" s="13" t="s">
        <v>6686</v>
      </c>
      <c r="F748" s="13"/>
      <c r="G748" s="13" t="s">
        <v>1162</v>
      </c>
      <c r="H748" s="13" t="s">
        <v>4501</v>
      </c>
      <c r="I748" s="13" t="s">
        <v>6685</v>
      </c>
      <c r="J748" s="13" t="s">
        <v>6684</v>
      </c>
      <c r="K748" s="13" t="s">
        <v>3599</v>
      </c>
      <c r="L748" s="13"/>
      <c r="M748" s="14"/>
      <c r="N748" s="13"/>
      <c r="O748" s="13" t="s">
        <v>2028</v>
      </c>
    </row>
    <row r="749" spans="1:15" ht="19.5" customHeight="1" x14ac:dyDescent="0.25">
      <c r="A749" s="11" t="s">
        <v>1801</v>
      </c>
      <c r="B749" s="11"/>
      <c r="C749" s="11" t="s">
        <v>6683</v>
      </c>
      <c r="D749" s="11" t="s">
        <v>1883</v>
      </c>
      <c r="E749" s="11" t="s">
        <v>6681</v>
      </c>
      <c r="F749" s="11" t="s">
        <v>6680</v>
      </c>
      <c r="G749" s="11" t="s">
        <v>1801</v>
      </c>
      <c r="H749" s="11"/>
      <c r="I749" s="11" t="s">
        <v>8834</v>
      </c>
      <c r="J749" s="11" t="s">
        <v>8835</v>
      </c>
      <c r="K749" s="11" t="s">
        <v>2033</v>
      </c>
      <c r="L749" s="11"/>
      <c r="M749" s="12"/>
      <c r="N749" s="11"/>
      <c r="O749" s="11" t="s">
        <v>2028</v>
      </c>
    </row>
    <row r="750" spans="1:15" ht="19.5" customHeight="1" x14ac:dyDescent="0.25">
      <c r="A750" s="13" t="s">
        <v>1801</v>
      </c>
      <c r="B750" s="13"/>
      <c r="C750" s="13" t="s">
        <v>6682</v>
      </c>
      <c r="D750" s="13" t="s">
        <v>1883</v>
      </c>
      <c r="E750" s="13" t="s">
        <v>6681</v>
      </c>
      <c r="F750" s="13" t="s">
        <v>6680</v>
      </c>
      <c r="G750" s="13" t="s">
        <v>1801</v>
      </c>
      <c r="H750" s="13"/>
      <c r="I750" s="13" t="s">
        <v>6679</v>
      </c>
      <c r="J750" s="13" t="s">
        <v>6678</v>
      </c>
      <c r="K750" s="13" t="s">
        <v>2033</v>
      </c>
      <c r="L750" s="13"/>
      <c r="M750" s="14"/>
      <c r="N750" s="13"/>
      <c r="O750" s="13" t="s">
        <v>2028</v>
      </c>
    </row>
    <row r="751" spans="1:15" ht="19.5" customHeight="1" x14ac:dyDescent="0.25">
      <c r="A751" s="11" t="s">
        <v>1843</v>
      </c>
      <c r="B751" s="11"/>
      <c r="C751" s="11" t="s">
        <v>1842</v>
      </c>
      <c r="D751" s="11" t="s">
        <v>1883</v>
      </c>
      <c r="E751" s="11" t="s">
        <v>6677</v>
      </c>
      <c r="F751" s="11" t="s">
        <v>6676</v>
      </c>
      <c r="G751" s="11" t="s">
        <v>1843</v>
      </c>
      <c r="H751" s="11"/>
      <c r="I751" s="11" t="s">
        <v>6675</v>
      </c>
      <c r="J751" s="11" t="s">
        <v>6674</v>
      </c>
      <c r="K751" s="11" t="s">
        <v>1952</v>
      </c>
      <c r="L751" s="11"/>
      <c r="M751" s="12"/>
      <c r="N751" s="11"/>
      <c r="O751" s="11" t="s">
        <v>1877</v>
      </c>
    </row>
    <row r="752" spans="1:15" ht="19.5" customHeight="1" x14ac:dyDescent="0.25">
      <c r="A752" s="13" t="s">
        <v>303</v>
      </c>
      <c r="B752" s="13"/>
      <c r="C752" s="13" t="s">
        <v>6673</v>
      </c>
      <c r="D752" s="13" t="s">
        <v>1883</v>
      </c>
      <c r="E752" s="13" t="s">
        <v>6672</v>
      </c>
      <c r="F752" s="13"/>
      <c r="G752" s="13" t="s">
        <v>303</v>
      </c>
      <c r="H752" s="13"/>
      <c r="I752" s="13" t="s">
        <v>6671</v>
      </c>
      <c r="J752" s="13" t="s">
        <v>6670</v>
      </c>
      <c r="K752" s="13" t="s">
        <v>3599</v>
      </c>
      <c r="L752" s="13"/>
      <c r="M752" s="14"/>
      <c r="N752" s="13"/>
      <c r="O752" s="13" t="s">
        <v>2028</v>
      </c>
    </row>
    <row r="753" spans="1:15" ht="19.5" customHeight="1" x14ac:dyDescent="0.25">
      <c r="A753" s="11" t="s">
        <v>8805</v>
      </c>
      <c r="B753" s="11"/>
      <c r="C753" s="11" t="s">
        <v>8806</v>
      </c>
      <c r="D753" s="11" t="s">
        <v>1883</v>
      </c>
      <c r="E753" s="11" t="s">
        <v>8807</v>
      </c>
      <c r="F753" s="11" t="s">
        <v>8808</v>
      </c>
      <c r="G753" s="11" t="s">
        <v>8805</v>
      </c>
      <c r="H753" s="11"/>
      <c r="I753" s="11" t="s">
        <v>8809</v>
      </c>
      <c r="J753" s="11" t="s">
        <v>8810</v>
      </c>
      <c r="K753" s="11" t="s">
        <v>2033</v>
      </c>
      <c r="L753" s="11"/>
      <c r="M753" s="12"/>
      <c r="N753" s="11"/>
      <c r="O753" s="11" t="s">
        <v>2028</v>
      </c>
    </row>
    <row r="754" spans="1:15" ht="19.5" customHeight="1" x14ac:dyDescent="0.25">
      <c r="A754" s="13" t="s">
        <v>305</v>
      </c>
      <c r="B754" s="13"/>
      <c r="C754" s="13" t="s">
        <v>6669</v>
      </c>
      <c r="D754" s="13" t="s">
        <v>1883</v>
      </c>
      <c r="E754" s="13" t="s">
        <v>6668</v>
      </c>
      <c r="F754" s="13"/>
      <c r="G754" s="13" t="s">
        <v>305</v>
      </c>
      <c r="H754" s="13"/>
      <c r="I754" s="13" t="s">
        <v>6667</v>
      </c>
      <c r="J754" s="13" t="s">
        <v>6666</v>
      </c>
      <c r="K754" s="13" t="s">
        <v>2175</v>
      </c>
      <c r="L754" s="13"/>
      <c r="M754" s="14"/>
      <c r="N754" s="13"/>
      <c r="O754" s="13" t="s">
        <v>2028</v>
      </c>
    </row>
    <row r="755" spans="1:15" ht="19.5" customHeight="1" x14ac:dyDescent="0.25">
      <c r="A755" s="11" t="s">
        <v>6663</v>
      </c>
      <c r="B755" s="11"/>
      <c r="C755" s="11" t="s">
        <v>6665</v>
      </c>
      <c r="D755" s="11" t="s">
        <v>1883</v>
      </c>
      <c r="E755" s="11" t="s">
        <v>6664</v>
      </c>
      <c r="F755" s="11" t="s">
        <v>4920</v>
      </c>
      <c r="G755" s="11" t="s">
        <v>6663</v>
      </c>
      <c r="H755" s="11"/>
      <c r="I755" s="11"/>
      <c r="J755" s="11"/>
      <c r="K755" s="11"/>
      <c r="L755" s="11"/>
      <c r="M755" s="12"/>
      <c r="N755" s="11"/>
      <c r="O755" s="11" t="s">
        <v>1945</v>
      </c>
    </row>
    <row r="756" spans="1:15" ht="19.5" customHeight="1" x14ac:dyDescent="0.25">
      <c r="A756" s="13" t="s">
        <v>6661</v>
      </c>
      <c r="B756" s="13"/>
      <c r="C756" s="13" t="s">
        <v>6662</v>
      </c>
      <c r="D756" s="13" t="s">
        <v>1883</v>
      </c>
      <c r="E756" s="13" t="s">
        <v>6659</v>
      </c>
      <c r="F756" s="13"/>
      <c r="G756" s="13" t="s">
        <v>6661</v>
      </c>
      <c r="H756" s="13"/>
      <c r="I756" s="13" t="s">
        <v>6658</v>
      </c>
      <c r="J756" s="13" t="s">
        <v>6657</v>
      </c>
      <c r="K756" s="13" t="s">
        <v>3599</v>
      </c>
      <c r="L756" s="13"/>
      <c r="M756" s="14"/>
      <c r="N756" s="13"/>
      <c r="O756" s="13" t="s">
        <v>2028</v>
      </c>
    </row>
    <row r="757" spans="1:15" ht="19.5" customHeight="1" x14ac:dyDescent="0.25">
      <c r="A757" s="11" t="s">
        <v>1649</v>
      </c>
      <c r="B757" s="11"/>
      <c r="C757" s="11" t="s">
        <v>6660</v>
      </c>
      <c r="D757" s="11" t="s">
        <v>1883</v>
      </c>
      <c r="E757" s="11" t="s">
        <v>6659</v>
      </c>
      <c r="F757" s="11"/>
      <c r="G757" s="11" t="s">
        <v>1649</v>
      </c>
      <c r="H757" s="11"/>
      <c r="I757" s="11" t="s">
        <v>6658</v>
      </c>
      <c r="J757" s="11" t="s">
        <v>6657</v>
      </c>
      <c r="K757" s="11" t="s">
        <v>3599</v>
      </c>
      <c r="L757" s="11"/>
      <c r="M757" s="12"/>
      <c r="N757" s="11"/>
      <c r="O757" s="11" t="s">
        <v>2028</v>
      </c>
    </row>
    <row r="758" spans="1:15" ht="19.5" customHeight="1" x14ac:dyDescent="0.25">
      <c r="A758" s="13" t="s">
        <v>1263</v>
      </c>
      <c r="B758" s="13"/>
      <c r="C758" s="13" t="s">
        <v>6656</v>
      </c>
      <c r="D758" s="13" t="s">
        <v>1883</v>
      </c>
      <c r="E758" s="13" t="s">
        <v>8947</v>
      </c>
      <c r="F758" s="13" t="s">
        <v>6655</v>
      </c>
      <c r="G758" s="13" t="s">
        <v>1263</v>
      </c>
      <c r="H758" s="13"/>
      <c r="I758" s="13" t="s">
        <v>6652</v>
      </c>
      <c r="J758" s="13" t="s">
        <v>6651</v>
      </c>
      <c r="K758" s="13" t="s">
        <v>3599</v>
      </c>
      <c r="L758" s="13"/>
      <c r="M758" s="14"/>
      <c r="N758" s="13"/>
      <c r="O758" s="13" t="s">
        <v>2028</v>
      </c>
    </row>
    <row r="759" spans="1:15" ht="19.5" customHeight="1" x14ac:dyDescent="0.25">
      <c r="A759" s="11" t="s">
        <v>6653</v>
      </c>
      <c r="B759" s="11"/>
      <c r="C759" s="11" t="s">
        <v>6654</v>
      </c>
      <c r="D759" s="11" t="s">
        <v>1883</v>
      </c>
      <c r="E759" s="11" t="s">
        <v>8947</v>
      </c>
      <c r="F759" s="11"/>
      <c r="G759" s="11" t="s">
        <v>6653</v>
      </c>
      <c r="H759" s="11"/>
      <c r="I759" s="11" t="s">
        <v>6652</v>
      </c>
      <c r="J759" s="11" t="s">
        <v>6651</v>
      </c>
      <c r="K759" s="11" t="s">
        <v>3599</v>
      </c>
      <c r="L759" s="11"/>
      <c r="M759" s="12"/>
      <c r="N759" s="11"/>
      <c r="O759" s="11" t="s">
        <v>2028</v>
      </c>
    </row>
    <row r="760" spans="1:15" ht="19.5" customHeight="1" x14ac:dyDescent="0.25">
      <c r="A760" s="13" t="s">
        <v>1536</v>
      </c>
      <c r="B760" s="13"/>
      <c r="C760" s="13" t="s">
        <v>6650</v>
      </c>
      <c r="D760" s="13" t="s">
        <v>1883</v>
      </c>
      <c r="E760" s="13" t="s">
        <v>6649</v>
      </c>
      <c r="F760" s="13"/>
      <c r="G760" s="13" t="s">
        <v>1536</v>
      </c>
      <c r="H760" s="13"/>
      <c r="I760" s="13" t="s">
        <v>6648</v>
      </c>
      <c r="J760" s="13" t="s">
        <v>6647</v>
      </c>
      <c r="K760" s="13" t="s">
        <v>2033</v>
      </c>
      <c r="L760" s="13"/>
      <c r="M760" s="14"/>
      <c r="N760" s="13"/>
      <c r="O760" s="13" t="s">
        <v>2028</v>
      </c>
    </row>
    <row r="761" spans="1:15" ht="19.5" customHeight="1" x14ac:dyDescent="0.25">
      <c r="A761" s="11" t="s">
        <v>1556</v>
      </c>
      <c r="B761" s="11"/>
      <c r="C761" s="11" t="s">
        <v>6646</v>
      </c>
      <c r="D761" s="11" t="s">
        <v>1883</v>
      </c>
      <c r="E761" s="11" t="s">
        <v>6645</v>
      </c>
      <c r="F761" s="11"/>
      <c r="G761" s="11" t="s">
        <v>1556</v>
      </c>
      <c r="H761" s="11"/>
      <c r="I761" s="11" t="s">
        <v>8836</v>
      </c>
      <c r="J761" s="11" t="s">
        <v>6642</v>
      </c>
      <c r="K761" s="11" t="s">
        <v>2033</v>
      </c>
      <c r="L761" s="11"/>
      <c r="M761" s="12"/>
      <c r="N761" s="11"/>
      <c r="O761" s="11" t="s">
        <v>2028</v>
      </c>
    </row>
    <row r="762" spans="1:15" ht="19.5" customHeight="1" x14ac:dyDescent="0.25">
      <c r="A762" s="13" t="s">
        <v>1556</v>
      </c>
      <c r="B762" s="13"/>
      <c r="C762" s="13" t="s">
        <v>6644</v>
      </c>
      <c r="D762" s="13" t="s">
        <v>1883</v>
      </c>
      <c r="E762" s="13" t="s">
        <v>6643</v>
      </c>
      <c r="F762" s="13"/>
      <c r="G762" s="13" t="s">
        <v>1556</v>
      </c>
      <c r="H762" s="13"/>
      <c r="I762" s="13" t="s">
        <v>8836</v>
      </c>
      <c r="J762" s="13" t="s">
        <v>6642</v>
      </c>
      <c r="K762" s="13" t="s">
        <v>2033</v>
      </c>
      <c r="L762" s="13"/>
      <c r="M762" s="14"/>
      <c r="N762" s="13"/>
      <c r="O762" s="13" t="s">
        <v>2028</v>
      </c>
    </row>
    <row r="763" spans="1:15" ht="19.5" customHeight="1" x14ac:dyDescent="0.25">
      <c r="A763" s="11" t="s">
        <v>6636</v>
      </c>
      <c r="B763" s="11"/>
      <c r="C763" s="11" t="s">
        <v>6641</v>
      </c>
      <c r="D763" s="11" t="s">
        <v>1883</v>
      </c>
      <c r="E763" s="11" t="s">
        <v>6638</v>
      </c>
      <c r="F763" s="11" t="s">
        <v>6637</v>
      </c>
      <c r="G763" s="11" t="s">
        <v>6636</v>
      </c>
      <c r="H763" s="11"/>
      <c r="I763" s="11" t="s">
        <v>6635</v>
      </c>
      <c r="J763" s="11" t="s">
        <v>6634</v>
      </c>
      <c r="K763" s="11" t="s">
        <v>1952</v>
      </c>
      <c r="L763" s="11"/>
      <c r="M763" s="12"/>
      <c r="N763" s="11"/>
      <c r="O763" s="11" t="s">
        <v>2028</v>
      </c>
    </row>
    <row r="764" spans="1:15" ht="19.5" customHeight="1" x14ac:dyDescent="0.25">
      <c r="A764" s="13" t="s">
        <v>6636</v>
      </c>
      <c r="B764" s="13"/>
      <c r="C764" s="13" t="s">
        <v>6640</v>
      </c>
      <c r="D764" s="13" t="s">
        <v>1883</v>
      </c>
      <c r="E764" s="13" t="s">
        <v>6638</v>
      </c>
      <c r="F764" s="13" t="s">
        <v>6637</v>
      </c>
      <c r="G764" s="13" t="s">
        <v>6636</v>
      </c>
      <c r="H764" s="13"/>
      <c r="I764" s="13" t="s">
        <v>6635</v>
      </c>
      <c r="J764" s="13" t="s">
        <v>6634</v>
      </c>
      <c r="K764" s="13" t="s">
        <v>1952</v>
      </c>
      <c r="L764" s="13"/>
      <c r="M764" s="14"/>
      <c r="N764" s="13"/>
      <c r="O764" s="13" t="s">
        <v>2028</v>
      </c>
    </row>
    <row r="765" spans="1:15" ht="19.5" customHeight="1" x14ac:dyDescent="0.25">
      <c r="A765" s="11" t="s">
        <v>6636</v>
      </c>
      <c r="B765" s="11"/>
      <c r="C765" s="11" t="s">
        <v>6639</v>
      </c>
      <c r="D765" s="11" t="s">
        <v>1883</v>
      </c>
      <c r="E765" s="11" t="s">
        <v>6638</v>
      </c>
      <c r="F765" s="11" t="s">
        <v>6637</v>
      </c>
      <c r="G765" s="11" t="s">
        <v>6636</v>
      </c>
      <c r="H765" s="11"/>
      <c r="I765" s="11" t="s">
        <v>6635</v>
      </c>
      <c r="J765" s="11" t="s">
        <v>6634</v>
      </c>
      <c r="K765" s="11" t="s">
        <v>1952</v>
      </c>
      <c r="L765" s="11"/>
      <c r="M765" s="12"/>
      <c r="N765" s="11"/>
      <c r="O765" s="11" t="s">
        <v>2028</v>
      </c>
    </row>
    <row r="766" spans="1:15" ht="19.5" customHeight="1" x14ac:dyDescent="0.25">
      <c r="A766" s="13" t="s">
        <v>1205</v>
      </c>
      <c r="B766" s="13"/>
      <c r="C766" s="13" t="s">
        <v>1204</v>
      </c>
      <c r="D766" s="13" t="s">
        <v>1883</v>
      </c>
      <c r="E766" s="13" t="s">
        <v>6633</v>
      </c>
      <c r="F766" s="13" t="s">
        <v>6632</v>
      </c>
      <c r="G766" s="13" t="s">
        <v>1205</v>
      </c>
      <c r="H766" s="13"/>
      <c r="I766" s="13" t="s">
        <v>6631</v>
      </c>
      <c r="J766" s="13" t="s">
        <v>6630</v>
      </c>
      <c r="K766" s="13" t="s">
        <v>3599</v>
      </c>
      <c r="L766" s="13"/>
      <c r="M766" s="14"/>
      <c r="N766" s="13"/>
      <c r="O766" s="13" t="s">
        <v>1945</v>
      </c>
    </row>
    <row r="767" spans="1:15" ht="19.5" customHeight="1" x14ac:dyDescent="0.25">
      <c r="A767" s="11" t="s">
        <v>307</v>
      </c>
      <c r="B767" s="11"/>
      <c r="C767" s="11" t="s">
        <v>6629</v>
      </c>
      <c r="D767" s="11" t="s">
        <v>1883</v>
      </c>
      <c r="E767" s="11" t="s">
        <v>6626</v>
      </c>
      <c r="F767" s="11"/>
      <c r="G767" s="11" t="s">
        <v>307</v>
      </c>
      <c r="H767" s="11"/>
      <c r="I767" s="11" t="s">
        <v>6625</v>
      </c>
      <c r="J767" s="11" t="s">
        <v>6624</v>
      </c>
      <c r="K767" s="11" t="s">
        <v>3599</v>
      </c>
      <c r="L767" s="11"/>
      <c r="M767" s="12"/>
      <c r="N767" s="11"/>
      <c r="O767" s="11" t="s">
        <v>2028</v>
      </c>
    </row>
    <row r="768" spans="1:15" ht="19.5" customHeight="1" x14ac:dyDescent="0.25">
      <c r="A768" s="13" t="s">
        <v>307</v>
      </c>
      <c r="B768" s="13"/>
      <c r="C768" s="13" t="s">
        <v>6628</v>
      </c>
      <c r="D768" s="13" t="s">
        <v>1883</v>
      </c>
      <c r="E768" s="13" t="s">
        <v>6626</v>
      </c>
      <c r="F768" s="13"/>
      <c r="G768" s="13" t="s">
        <v>307</v>
      </c>
      <c r="H768" s="13"/>
      <c r="I768" s="13" t="s">
        <v>6625</v>
      </c>
      <c r="J768" s="13" t="s">
        <v>6624</v>
      </c>
      <c r="K768" s="13" t="s">
        <v>3599</v>
      </c>
      <c r="L768" s="13"/>
      <c r="M768" s="14"/>
      <c r="N768" s="13"/>
      <c r="O768" s="13" t="s">
        <v>2028</v>
      </c>
    </row>
    <row r="769" spans="1:15" ht="19.5" customHeight="1" x14ac:dyDescent="0.25">
      <c r="A769" s="11" t="s">
        <v>307</v>
      </c>
      <c r="B769" s="11"/>
      <c r="C769" s="11" t="s">
        <v>6627</v>
      </c>
      <c r="D769" s="11" t="s">
        <v>1883</v>
      </c>
      <c r="E769" s="11" t="s">
        <v>6626</v>
      </c>
      <c r="F769" s="11"/>
      <c r="G769" s="11" t="s">
        <v>307</v>
      </c>
      <c r="H769" s="11"/>
      <c r="I769" s="11" t="s">
        <v>6625</v>
      </c>
      <c r="J769" s="11" t="s">
        <v>6624</v>
      </c>
      <c r="K769" s="11" t="s">
        <v>3599</v>
      </c>
      <c r="L769" s="11"/>
      <c r="M769" s="12"/>
      <c r="N769" s="11"/>
      <c r="O769" s="11" t="s">
        <v>2028</v>
      </c>
    </row>
    <row r="770" spans="1:15" ht="19.5" customHeight="1" x14ac:dyDescent="0.25">
      <c r="A770" s="13" t="s">
        <v>1484</v>
      </c>
      <c r="B770" s="13"/>
      <c r="C770" s="13" t="s">
        <v>6623</v>
      </c>
      <c r="D770" s="13" t="s">
        <v>1883</v>
      </c>
      <c r="E770" s="13" t="s">
        <v>6620</v>
      </c>
      <c r="F770" s="13"/>
      <c r="G770" s="13" t="s">
        <v>1484</v>
      </c>
      <c r="H770" s="13"/>
      <c r="I770" s="13" t="s">
        <v>6622</v>
      </c>
      <c r="J770" s="13" t="s">
        <v>6617</v>
      </c>
      <c r="K770" s="13" t="s">
        <v>1952</v>
      </c>
      <c r="L770" s="13"/>
      <c r="M770" s="14"/>
      <c r="N770" s="13"/>
      <c r="O770" s="13" t="s">
        <v>2028</v>
      </c>
    </row>
    <row r="771" spans="1:15" ht="19.5" customHeight="1" x14ac:dyDescent="0.25">
      <c r="A771" s="11" t="s">
        <v>1484</v>
      </c>
      <c r="B771" s="11"/>
      <c r="C771" s="11" t="s">
        <v>6621</v>
      </c>
      <c r="D771" s="11" t="s">
        <v>1883</v>
      </c>
      <c r="E771" s="11" t="s">
        <v>6620</v>
      </c>
      <c r="F771" s="11" t="s">
        <v>6619</v>
      </c>
      <c r="G771" s="11" t="s">
        <v>1484</v>
      </c>
      <c r="H771" s="11"/>
      <c r="I771" s="11" t="s">
        <v>6618</v>
      </c>
      <c r="J771" s="11" t="s">
        <v>6617</v>
      </c>
      <c r="K771" s="11" t="s">
        <v>1952</v>
      </c>
      <c r="L771" s="11"/>
      <c r="M771" s="12"/>
      <c r="N771" s="11"/>
      <c r="O771" s="11" t="s">
        <v>2028</v>
      </c>
    </row>
    <row r="772" spans="1:15" ht="19.5" customHeight="1" x14ac:dyDescent="0.25">
      <c r="A772" s="13" t="s">
        <v>309</v>
      </c>
      <c r="B772" s="13"/>
      <c r="C772" s="13" t="s">
        <v>6616</v>
      </c>
      <c r="D772" s="13" t="s">
        <v>1883</v>
      </c>
      <c r="E772" s="13" t="s">
        <v>6615</v>
      </c>
      <c r="F772" s="13"/>
      <c r="G772" s="13" t="s">
        <v>309</v>
      </c>
      <c r="H772" s="13" t="s">
        <v>6614</v>
      </c>
      <c r="I772" s="13" t="s">
        <v>6611</v>
      </c>
      <c r="J772" s="13" t="s">
        <v>6610</v>
      </c>
      <c r="K772" s="13" t="s">
        <v>2033</v>
      </c>
      <c r="L772" s="13"/>
      <c r="M772" s="14"/>
      <c r="N772" s="13"/>
      <c r="O772" s="13" t="s">
        <v>2028</v>
      </c>
    </row>
    <row r="773" spans="1:15" ht="19.5" customHeight="1" x14ac:dyDescent="0.25">
      <c r="A773" s="11" t="s">
        <v>309</v>
      </c>
      <c r="B773" s="11"/>
      <c r="C773" s="11" t="s">
        <v>6613</v>
      </c>
      <c r="D773" s="11" t="s">
        <v>1883</v>
      </c>
      <c r="E773" s="11" t="s">
        <v>6612</v>
      </c>
      <c r="F773" s="11"/>
      <c r="G773" s="11" t="s">
        <v>309</v>
      </c>
      <c r="H773" s="11"/>
      <c r="I773" s="11" t="s">
        <v>6611</v>
      </c>
      <c r="J773" s="11" t="s">
        <v>6610</v>
      </c>
      <c r="K773" s="11" t="s">
        <v>2175</v>
      </c>
      <c r="L773" s="11"/>
      <c r="M773" s="12"/>
      <c r="N773" s="11"/>
      <c r="O773" s="11" t="s">
        <v>2028</v>
      </c>
    </row>
    <row r="774" spans="1:15" ht="19.5" customHeight="1" x14ac:dyDescent="0.25">
      <c r="A774" s="13" t="s">
        <v>311</v>
      </c>
      <c r="B774" s="13"/>
      <c r="C774" s="13" t="s">
        <v>6609</v>
      </c>
      <c r="D774" s="13" t="s">
        <v>1883</v>
      </c>
      <c r="E774" s="13" t="s">
        <v>6608</v>
      </c>
      <c r="F774" s="13"/>
      <c r="G774" s="13" t="s">
        <v>311</v>
      </c>
      <c r="H774" s="13" t="s">
        <v>6607</v>
      </c>
      <c r="I774" s="13" t="s">
        <v>6606</v>
      </c>
      <c r="J774" s="13" t="s">
        <v>6605</v>
      </c>
      <c r="K774" s="13" t="s">
        <v>2033</v>
      </c>
      <c r="L774" s="13"/>
      <c r="M774" s="14"/>
      <c r="N774" s="13"/>
      <c r="O774" s="13" t="s">
        <v>2028</v>
      </c>
    </row>
    <row r="775" spans="1:15" ht="19.5" customHeight="1" x14ac:dyDescent="0.25">
      <c r="A775" s="11" t="s">
        <v>6601</v>
      </c>
      <c r="B775" s="11"/>
      <c r="C775" s="11" t="s">
        <v>6604</v>
      </c>
      <c r="D775" s="11" t="s">
        <v>1883</v>
      </c>
      <c r="E775" s="11" t="s">
        <v>6603</v>
      </c>
      <c r="F775" s="11" t="s">
        <v>6602</v>
      </c>
      <c r="G775" s="11" t="s">
        <v>6601</v>
      </c>
      <c r="H775" s="11" t="s">
        <v>6600</v>
      </c>
      <c r="I775" s="11" t="s">
        <v>6599</v>
      </c>
      <c r="J775" s="11" t="s">
        <v>6598</v>
      </c>
      <c r="K775" s="11" t="s">
        <v>2033</v>
      </c>
      <c r="L775" s="11"/>
      <c r="M775" s="12"/>
      <c r="N775" s="11"/>
      <c r="O775" s="11" t="s">
        <v>2028</v>
      </c>
    </row>
    <row r="776" spans="1:15" ht="19.5" customHeight="1" x14ac:dyDescent="0.25">
      <c r="A776" s="13" t="s">
        <v>1399</v>
      </c>
      <c r="B776" s="13"/>
      <c r="C776" s="13" t="s">
        <v>1398</v>
      </c>
      <c r="D776" s="13" t="s">
        <v>1883</v>
      </c>
      <c r="E776" s="13" t="s">
        <v>6597</v>
      </c>
      <c r="F776" s="13"/>
      <c r="G776" s="13" t="s">
        <v>1399</v>
      </c>
      <c r="H776" s="13"/>
      <c r="I776" s="13" t="s">
        <v>6596</v>
      </c>
      <c r="J776" s="13" t="s">
        <v>6595</v>
      </c>
      <c r="K776" s="13" t="s">
        <v>4943</v>
      </c>
      <c r="L776" s="13"/>
      <c r="M776" s="14"/>
      <c r="N776" s="13"/>
      <c r="O776" s="13" t="s">
        <v>1945</v>
      </c>
    </row>
    <row r="777" spans="1:15" ht="19.5" customHeight="1" x14ac:dyDescent="0.25">
      <c r="A777" s="11" t="s">
        <v>6586</v>
      </c>
      <c r="B777" s="11"/>
      <c r="C777" s="11" t="s">
        <v>6594</v>
      </c>
      <c r="D777" s="11" t="s">
        <v>1883</v>
      </c>
      <c r="E777" s="11" t="s">
        <v>6587</v>
      </c>
      <c r="F777" s="11" t="s">
        <v>6591</v>
      </c>
      <c r="G777" s="11" t="s">
        <v>6586</v>
      </c>
      <c r="H777" s="11" t="s">
        <v>6590</v>
      </c>
      <c r="I777" s="11" t="s">
        <v>4936</v>
      </c>
      <c r="J777" s="11" t="s">
        <v>6589</v>
      </c>
      <c r="K777" s="11" t="s">
        <v>2033</v>
      </c>
      <c r="L777" s="11"/>
      <c r="M777" s="12"/>
      <c r="N777" s="11"/>
      <c r="O777" s="11" t="s">
        <v>2028</v>
      </c>
    </row>
    <row r="778" spans="1:15" ht="19.5" customHeight="1" x14ac:dyDescent="0.25">
      <c r="A778" s="13" t="s">
        <v>6586</v>
      </c>
      <c r="B778" s="13"/>
      <c r="C778" s="13" t="s">
        <v>6593</v>
      </c>
      <c r="D778" s="13" t="s">
        <v>1883</v>
      </c>
      <c r="E778" s="13" t="s">
        <v>6587</v>
      </c>
      <c r="F778" s="13" t="s">
        <v>6591</v>
      </c>
      <c r="G778" s="13" t="s">
        <v>6586</v>
      </c>
      <c r="H778" s="13" t="s">
        <v>6590</v>
      </c>
      <c r="I778" s="13" t="s">
        <v>4936</v>
      </c>
      <c r="J778" s="13" t="s">
        <v>6589</v>
      </c>
      <c r="K778" s="13" t="s">
        <v>2033</v>
      </c>
      <c r="L778" s="13"/>
      <c r="M778" s="14"/>
      <c r="N778" s="13"/>
      <c r="O778" s="13" t="s">
        <v>2028</v>
      </c>
    </row>
    <row r="779" spans="1:15" ht="19.5" customHeight="1" x14ac:dyDescent="0.25">
      <c r="A779" s="11" t="s">
        <v>6586</v>
      </c>
      <c r="B779" s="11"/>
      <c r="C779" s="11" t="s">
        <v>6592</v>
      </c>
      <c r="D779" s="11" t="s">
        <v>1883</v>
      </c>
      <c r="E779" s="11" t="s">
        <v>6587</v>
      </c>
      <c r="F779" s="11" t="s">
        <v>6591</v>
      </c>
      <c r="G779" s="11" t="s">
        <v>6586</v>
      </c>
      <c r="H779" s="11" t="s">
        <v>6590</v>
      </c>
      <c r="I779" s="11" t="s">
        <v>4936</v>
      </c>
      <c r="J779" s="11" t="s">
        <v>6589</v>
      </c>
      <c r="K779" s="11" t="s">
        <v>2033</v>
      </c>
      <c r="L779" s="11"/>
      <c r="M779" s="12"/>
      <c r="N779" s="11"/>
      <c r="O779" s="11" t="s">
        <v>2028</v>
      </c>
    </row>
    <row r="780" spans="1:15" ht="19.5" customHeight="1" x14ac:dyDescent="0.25">
      <c r="A780" s="13" t="s">
        <v>6586</v>
      </c>
      <c r="B780" s="13"/>
      <c r="C780" s="13" t="s">
        <v>6588</v>
      </c>
      <c r="D780" s="13" t="s">
        <v>1883</v>
      </c>
      <c r="E780" s="13" t="s">
        <v>6587</v>
      </c>
      <c r="F780" s="13"/>
      <c r="G780" s="13" t="s">
        <v>6586</v>
      </c>
      <c r="H780" s="13"/>
      <c r="I780" s="13"/>
      <c r="J780" s="13"/>
      <c r="K780" s="13"/>
      <c r="L780" s="13"/>
      <c r="M780" s="14"/>
      <c r="N780" s="13"/>
      <c r="O780" s="13" t="s">
        <v>1916</v>
      </c>
    </row>
    <row r="781" spans="1:15" ht="19.5" customHeight="1" x14ac:dyDescent="0.25">
      <c r="A781" s="11" t="s">
        <v>6580</v>
      </c>
      <c r="B781" s="11"/>
      <c r="C781" s="11" t="s">
        <v>6585</v>
      </c>
      <c r="D781" s="11" t="s">
        <v>1883</v>
      </c>
      <c r="E781" s="11" t="s">
        <v>6584</v>
      </c>
      <c r="F781" s="11"/>
      <c r="G781" s="11" t="s">
        <v>6580</v>
      </c>
      <c r="H781" s="11"/>
      <c r="I781" s="11"/>
      <c r="J781" s="11"/>
      <c r="K781" s="11"/>
      <c r="L781" s="11"/>
      <c r="M781" s="12"/>
      <c r="N781" s="11"/>
      <c r="O781" s="11" t="s">
        <v>1916</v>
      </c>
    </row>
    <row r="782" spans="1:15" ht="19.5" customHeight="1" x14ac:dyDescent="0.25">
      <c r="A782" s="13" t="s">
        <v>6580</v>
      </c>
      <c r="B782" s="13"/>
      <c r="C782" s="13" t="s">
        <v>6583</v>
      </c>
      <c r="D782" s="13" t="s">
        <v>1883</v>
      </c>
      <c r="E782" s="13" t="s">
        <v>6582</v>
      </c>
      <c r="F782" s="13" t="s">
        <v>6581</v>
      </c>
      <c r="G782" s="13" t="s">
        <v>6580</v>
      </c>
      <c r="H782" s="13"/>
      <c r="I782" s="13" t="s">
        <v>6579</v>
      </c>
      <c r="J782" s="13" t="s">
        <v>6578</v>
      </c>
      <c r="K782" s="13" t="s">
        <v>3599</v>
      </c>
      <c r="L782" s="13"/>
      <c r="M782" s="14"/>
      <c r="N782" s="13"/>
      <c r="O782" s="13" t="s">
        <v>1945</v>
      </c>
    </row>
    <row r="783" spans="1:15" ht="19.5" customHeight="1" x14ac:dyDescent="0.25">
      <c r="A783" s="11" t="s">
        <v>1554</v>
      </c>
      <c r="B783" s="11"/>
      <c r="C783" s="11" t="s">
        <v>6577</v>
      </c>
      <c r="D783" s="11" t="s">
        <v>1883</v>
      </c>
      <c r="E783" s="11" t="s">
        <v>6576</v>
      </c>
      <c r="F783" s="11"/>
      <c r="G783" s="11" t="s">
        <v>1554</v>
      </c>
      <c r="H783" s="11"/>
      <c r="I783" s="11" t="s">
        <v>6575</v>
      </c>
      <c r="J783" s="11" t="s">
        <v>6574</v>
      </c>
      <c r="K783" s="11" t="s">
        <v>2033</v>
      </c>
      <c r="L783" s="11"/>
      <c r="M783" s="12"/>
      <c r="N783" s="11"/>
      <c r="O783" s="11" t="s">
        <v>2028</v>
      </c>
    </row>
    <row r="784" spans="1:15" ht="19.5" customHeight="1" x14ac:dyDescent="0.25">
      <c r="A784" s="13" t="s">
        <v>314</v>
      </c>
      <c r="B784" s="13"/>
      <c r="C784" s="13" t="s">
        <v>6573</v>
      </c>
      <c r="D784" s="13" t="s">
        <v>1883</v>
      </c>
      <c r="E784" s="13" t="s">
        <v>6572</v>
      </c>
      <c r="F784" s="13" t="s">
        <v>6571</v>
      </c>
      <c r="G784" s="13" t="s">
        <v>314</v>
      </c>
      <c r="H784" s="13"/>
      <c r="I784" s="13" t="s">
        <v>6570</v>
      </c>
      <c r="J784" s="13" t="s">
        <v>6569</v>
      </c>
      <c r="K784" s="13" t="s">
        <v>3599</v>
      </c>
      <c r="L784" s="13"/>
      <c r="M784" s="14"/>
      <c r="N784" s="13"/>
      <c r="O784" s="13" t="s">
        <v>2028</v>
      </c>
    </row>
    <row r="785" spans="1:15" ht="19.5" customHeight="1" x14ac:dyDescent="0.25">
      <c r="A785" s="11" t="s">
        <v>1628</v>
      </c>
      <c r="B785" s="11"/>
      <c r="C785" s="11" t="s">
        <v>6568</v>
      </c>
      <c r="D785" s="11" t="s">
        <v>1883</v>
      </c>
      <c r="E785" s="11" t="s">
        <v>6567</v>
      </c>
      <c r="F785" s="11"/>
      <c r="G785" s="11" t="s">
        <v>1628</v>
      </c>
      <c r="H785" s="11"/>
      <c r="I785" s="11" t="s">
        <v>5462</v>
      </c>
      <c r="J785" s="11" t="s">
        <v>6566</v>
      </c>
      <c r="K785" s="11" t="s">
        <v>3599</v>
      </c>
      <c r="L785" s="11"/>
      <c r="M785" s="12"/>
      <c r="N785" s="11"/>
      <c r="O785" s="11" t="s">
        <v>2028</v>
      </c>
    </row>
    <row r="786" spans="1:15" ht="19.5" customHeight="1" x14ac:dyDescent="0.25">
      <c r="A786" s="13" t="s">
        <v>1763</v>
      </c>
      <c r="B786" s="13"/>
      <c r="C786" s="13" t="s">
        <v>6565</v>
      </c>
      <c r="D786" s="13" t="s">
        <v>1883</v>
      </c>
      <c r="E786" s="13" t="s">
        <v>6564</v>
      </c>
      <c r="F786" s="13"/>
      <c r="G786" s="13" t="s">
        <v>1763</v>
      </c>
      <c r="H786" s="13"/>
      <c r="I786" s="13" t="s">
        <v>6563</v>
      </c>
      <c r="J786" s="13" t="s">
        <v>6562</v>
      </c>
      <c r="K786" s="13" t="s">
        <v>3599</v>
      </c>
      <c r="L786" s="13"/>
      <c r="M786" s="14"/>
      <c r="N786" s="13"/>
      <c r="O786" s="13" t="s">
        <v>2028</v>
      </c>
    </row>
    <row r="787" spans="1:15" ht="19.5" customHeight="1" x14ac:dyDescent="0.25">
      <c r="A787" s="11" t="s">
        <v>316</v>
      </c>
      <c r="B787" s="11"/>
      <c r="C787" s="11" t="s">
        <v>6561</v>
      </c>
      <c r="D787" s="11" t="s">
        <v>1883</v>
      </c>
      <c r="E787" s="11" t="s">
        <v>6558</v>
      </c>
      <c r="F787" s="11" t="s">
        <v>6557</v>
      </c>
      <c r="G787" s="11" t="s">
        <v>316</v>
      </c>
      <c r="H787" s="11" t="s">
        <v>6556</v>
      </c>
      <c r="I787" s="11" t="s">
        <v>6555</v>
      </c>
      <c r="J787" s="11" t="s">
        <v>6554</v>
      </c>
      <c r="K787" s="11" t="s">
        <v>5555</v>
      </c>
      <c r="L787" s="11"/>
      <c r="M787" s="12"/>
      <c r="N787" s="11"/>
      <c r="O787" s="11" t="s">
        <v>2028</v>
      </c>
    </row>
    <row r="788" spans="1:15" ht="19.5" customHeight="1" x14ac:dyDescent="0.25">
      <c r="A788" s="13" t="s">
        <v>316</v>
      </c>
      <c r="B788" s="13"/>
      <c r="C788" s="13" t="s">
        <v>6560</v>
      </c>
      <c r="D788" s="13" t="s">
        <v>1883</v>
      </c>
      <c r="E788" s="13" t="s">
        <v>6558</v>
      </c>
      <c r="F788" s="13" t="s">
        <v>6557</v>
      </c>
      <c r="G788" s="13" t="s">
        <v>316</v>
      </c>
      <c r="H788" s="13" t="s">
        <v>6556</v>
      </c>
      <c r="I788" s="13" t="s">
        <v>6555</v>
      </c>
      <c r="J788" s="13" t="s">
        <v>6554</v>
      </c>
      <c r="K788" s="13" t="s">
        <v>5555</v>
      </c>
      <c r="L788" s="13"/>
      <c r="M788" s="14"/>
      <c r="N788" s="13"/>
      <c r="O788" s="13" t="s">
        <v>2028</v>
      </c>
    </row>
    <row r="789" spans="1:15" ht="19.5" customHeight="1" x14ac:dyDescent="0.25">
      <c r="A789" s="11" t="s">
        <v>316</v>
      </c>
      <c r="B789" s="11"/>
      <c r="C789" s="11" t="s">
        <v>6559</v>
      </c>
      <c r="D789" s="11" t="s">
        <v>1883</v>
      </c>
      <c r="E789" s="11" t="s">
        <v>6558</v>
      </c>
      <c r="F789" s="11" t="s">
        <v>6557</v>
      </c>
      <c r="G789" s="11" t="s">
        <v>316</v>
      </c>
      <c r="H789" s="11" t="s">
        <v>6556</v>
      </c>
      <c r="I789" s="11" t="s">
        <v>6555</v>
      </c>
      <c r="J789" s="11" t="s">
        <v>6554</v>
      </c>
      <c r="K789" s="11" t="s">
        <v>5555</v>
      </c>
      <c r="L789" s="11"/>
      <c r="M789" s="12"/>
      <c r="N789" s="11"/>
      <c r="O789" s="11" t="s">
        <v>2028</v>
      </c>
    </row>
    <row r="790" spans="1:15" ht="19.5" customHeight="1" x14ac:dyDescent="0.25">
      <c r="A790" s="13" t="s">
        <v>1791</v>
      </c>
      <c r="B790" s="13"/>
      <c r="C790" s="13" t="s">
        <v>6553</v>
      </c>
      <c r="D790" s="13" t="s">
        <v>1883</v>
      </c>
      <c r="E790" s="13" t="s">
        <v>6552</v>
      </c>
      <c r="F790" s="13"/>
      <c r="G790" s="13" t="s">
        <v>1791</v>
      </c>
      <c r="H790" s="13"/>
      <c r="I790" s="13" t="s">
        <v>6551</v>
      </c>
      <c r="J790" s="13" t="s">
        <v>6550</v>
      </c>
      <c r="K790" s="13" t="s">
        <v>1952</v>
      </c>
      <c r="L790" s="13"/>
      <c r="M790" s="14"/>
      <c r="N790" s="13"/>
      <c r="O790" s="13" t="s">
        <v>2028</v>
      </c>
    </row>
    <row r="791" spans="1:15" ht="19.5" customHeight="1" x14ac:dyDescent="0.25">
      <c r="A791" s="11" t="s">
        <v>318</v>
      </c>
      <c r="B791" s="11"/>
      <c r="C791" s="11" t="s">
        <v>6549</v>
      </c>
      <c r="D791" s="11" t="s">
        <v>1883</v>
      </c>
      <c r="E791" s="11" t="s">
        <v>6546</v>
      </c>
      <c r="F791" s="11" t="s">
        <v>6545</v>
      </c>
      <c r="G791" s="11" t="s">
        <v>318</v>
      </c>
      <c r="H791" s="11" t="s">
        <v>6544</v>
      </c>
      <c r="I791" s="11" t="s">
        <v>6548</v>
      </c>
      <c r="J791" s="11" t="s">
        <v>6542</v>
      </c>
      <c r="K791" s="11" t="s">
        <v>3599</v>
      </c>
      <c r="L791" s="11"/>
      <c r="M791" s="12"/>
      <c r="N791" s="11"/>
      <c r="O791" s="11" t="s">
        <v>1945</v>
      </c>
    </row>
    <row r="792" spans="1:15" ht="19.5" customHeight="1" x14ac:dyDescent="0.25">
      <c r="A792" s="13" t="s">
        <v>318</v>
      </c>
      <c r="B792" s="13"/>
      <c r="C792" s="13" t="s">
        <v>6547</v>
      </c>
      <c r="D792" s="13" t="s">
        <v>1883</v>
      </c>
      <c r="E792" s="13" t="s">
        <v>6546</v>
      </c>
      <c r="F792" s="13" t="s">
        <v>6545</v>
      </c>
      <c r="G792" s="13" t="s">
        <v>318</v>
      </c>
      <c r="H792" s="13" t="s">
        <v>6544</v>
      </c>
      <c r="I792" s="13" t="s">
        <v>6543</v>
      </c>
      <c r="J792" s="13" t="s">
        <v>6542</v>
      </c>
      <c r="K792" s="13" t="s">
        <v>3599</v>
      </c>
      <c r="L792" s="13"/>
      <c r="M792" s="14"/>
      <c r="N792" s="13"/>
      <c r="O792" s="13" t="s">
        <v>2028</v>
      </c>
    </row>
    <row r="793" spans="1:15" ht="19.5" customHeight="1" x14ac:dyDescent="0.25">
      <c r="A793" s="11" t="s">
        <v>1805</v>
      </c>
      <c r="B793" s="11"/>
      <c r="C793" s="11" t="s">
        <v>6541</v>
      </c>
      <c r="D793" s="11" t="s">
        <v>1883</v>
      </c>
      <c r="E793" s="11" t="s">
        <v>6540</v>
      </c>
      <c r="F793" s="11" t="s">
        <v>6539</v>
      </c>
      <c r="G793" s="11" t="s">
        <v>1805</v>
      </c>
      <c r="H793" s="11"/>
      <c r="I793" s="11" t="s">
        <v>5832</v>
      </c>
      <c r="J793" s="11" t="s">
        <v>6538</v>
      </c>
      <c r="K793" s="11" t="s">
        <v>3641</v>
      </c>
      <c r="L793" s="11"/>
      <c r="M793" s="12"/>
      <c r="N793" s="11"/>
      <c r="O793" s="11" t="s">
        <v>2028</v>
      </c>
    </row>
    <row r="794" spans="1:15" ht="19.5" customHeight="1" x14ac:dyDescent="0.25">
      <c r="A794" s="13" t="s">
        <v>6534</v>
      </c>
      <c r="B794" s="13"/>
      <c r="C794" s="13" t="s">
        <v>6537</v>
      </c>
      <c r="D794" s="13" t="s">
        <v>1883</v>
      </c>
      <c r="E794" s="13" t="s">
        <v>6535</v>
      </c>
      <c r="F794" s="13"/>
      <c r="G794" s="13" t="s">
        <v>6534</v>
      </c>
      <c r="H794" s="13"/>
      <c r="I794" s="13" t="s">
        <v>6533</v>
      </c>
      <c r="J794" s="13" t="s">
        <v>6532</v>
      </c>
      <c r="K794" s="13" t="s">
        <v>1952</v>
      </c>
      <c r="L794" s="13"/>
      <c r="M794" s="14"/>
      <c r="N794" s="13"/>
      <c r="O794" s="13" t="s">
        <v>2028</v>
      </c>
    </row>
    <row r="795" spans="1:15" ht="19.5" customHeight="1" x14ac:dyDescent="0.25">
      <c r="A795" s="11" t="s">
        <v>6534</v>
      </c>
      <c r="B795" s="11"/>
      <c r="C795" s="11" t="s">
        <v>6536</v>
      </c>
      <c r="D795" s="11" t="s">
        <v>1883</v>
      </c>
      <c r="E795" s="11" t="s">
        <v>6535</v>
      </c>
      <c r="F795" s="11"/>
      <c r="G795" s="11" t="s">
        <v>6534</v>
      </c>
      <c r="H795" s="11"/>
      <c r="I795" s="11" t="s">
        <v>6533</v>
      </c>
      <c r="J795" s="11" t="s">
        <v>6532</v>
      </c>
      <c r="K795" s="11" t="s">
        <v>1952</v>
      </c>
      <c r="L795" s="11"/>
      <c r="M795" s="12"/>
      <c r="N795" s="11"/>
      <c r="O795" s="11" t="s">
        <v>2028</v>
      </c>
    </row>
    <row r="796" spans="1:15" ht="19.5" customHeight="1" x14ac:dyDescent="0.25">
      <c r="A796" s="13" t="s">
        <v>1600</v>
      </c>
      <c r="B796" s="13"/>
      <c r="C796" s="13" t="s">
        <v>6531</v>
      </c>
      <c r="D796" s="13" t="s">
        <v>1883</v>
      </c>
      <c r="E796" s="13" t="s">
        <v>6530</v>
      </c>
      <c r="F796" s="13"/>
      <c r="G796" s="13" t="s">
        <v>1600</v>
      </c>
      <c r="H796" s="13"/>
      <c r="I796" s="13" t="s">
        <v>1997</v>
      </c>
      <c r="J796" s="13" t="s">
        <v>6529</v>
      </c>
      <c r="K796" s="13" t="s">
        <v>1952</v>
      </c>
      <c r="L796" s="13"/>
      <c r="M796" s="14"/>
      <c r="N796" s="13"/>
      <c r="O796" s="13" t="s">
        <v>2028</v>
      </c>
    </row>
    <row r="797" spans="1:15" ht="19.5" customHeight="1" x14ac:dyDescent="0.25">
      <c r="A797" s="11" t="s">
        <v>320</v>
      </c>
      <c r="B797" s="11"/>
      <c r="C797" s="11" t="s">
        <v>6528</v>
      </c>
      <c r="D797" s="11" t="s">
        <v>1883</v>
      </c>
      <c r="E797" s="11" t="s">
        <v>6525</v>
      </c>
      <c r="F797" s="11" t="s">
        <v>6524</v>
      </c>
      <c r="G797" s="11" t="s">
        <v>320</v>
      </c>
      <c r="H797" s="11"/>
      <c r="I797" s="11" t="s">
        <v>6522</v>
      </c>
      <c r="J797" s="11" t="s">
        <v>6521</v>
      </c>
      <c r="K797" s="11" t="s">
        <v>3599</v>
      </c>
      <c r="L797" s="11"/>
      <c r="M797" s="12"/>
      <c r="N797" s="11"/>
      <c r="O797" s="11" t="s">
        <v>2028</v>
      </c>
    </row>
    <row r="798" spans="1:15" ht="19.5" customHeight="1" x14ac:dyDescent="0.25">
      <c r="A798" s="13" t="s">
        <v>320</v>
      </c>
      <c r="B798" s="13"/>
      <c r="C798" s="13" t="s">
        <v>6527</v>
      </c>
      <c r="D798" s="13" t="s">
        <v>1883</v>
      </c>
      <c r="E798" s="13" t="s">
        <v>6525</v>
      </c>
      <c r="F798" s="13" t="s">
        <v>6524</v>
      </c>
      <c r="G798" s="13" t="s">
        <v>320</v>
      </c>
      <c r="H798" s="13"/>
      <c r="I798" s="13" t="s">
        <v>6522</v>
      </c>
      <c r="J798" s="13" t="s">
        <v>6521</v>
      </c>
      <c r="K798" s="13" t="s">
        <v>3599</v>
      </c>
      <c r="L798" s="13"/>
      <c r="M798" s="14"/>
      <c r="N798" s="13"/>
      <c r="O798" s="13" t="s">
        <v>2028</v>
      </c>
    </row>
    <row r="799" spans="1:15" ht="19.5" customHeight="1" x14ac:dyDescent="0.25">
      <c r="A799" s="11" t="s">
        <v>320</v>
      </c>
      <c r="B799" s="11"/>
      <c r="C799" s="11" t="s">
        <v>6526</v>
      </c>
      <c r="D799" s="11" t="s">
        <v>1883</v>
      </c>
      <c r="E799" s="11" t="s">
        <v>6525</v>
      </c>
      <c r="F799" s="11" t="s">
        <v>6524</v>
      </c>
      <c r="G799" s="11" t="s">
        <v>320</v>
      </c>
      <c r="H799" s="11" t="s">
        <v>6523</v>
      </c>
      <c r="I799" s="11" t="s">
        <v>6522</v>
      </c>
      <c r="J799" s="11" t="s">
        <v>6521</v>
      </c>
      <c r="K799" s="11" t="s">
        <v>3599</v>
      </c>
      <c r="L799" s="11"/>
      <c r="M799" s="12"/>
      <c r="N799" s="11"/>
      <c r="O799" s="11" t="s">
        <v>2028</v>
      </c>
    </row>
    <row r="800" spans="1:15" ht="19.5" customHeight="1" x14ac:dyDescent="0.25">
      <c r="A800" s="13" t="s">
        <v>8811</v>
      </c>
      <c r="B800" s="13"/>
      <c r="C800" s="13" t="s">
        <v>8812</v>
      </c>
      <c r="D800" s="13" t="s">
        <v>1883</v>
      </c>
      <c r="E800" s="13" t="s">
        <v>8813</v>
      </c>
      <c r="F800" s="13" t="s">
        <v>8814</v>
      </c>
      <c r="G800" s="13" t="s">
        <v>8811</v>
      </c>
      <c r="H800" s="13"/>
      <c r="I800" s="13" t="s">
        <v>8815</v>
      </c>
      <c r="J800" s="15" t="s">
        <v>8816</v>
      </c>
      <c r="K800" s="13" t="s">
        <v>3641</v>
      </c>
      <c r="L800" s="13"/>
      <c r="M800" s="14"/>
      <c r="N800" s="13"/>
      <c r="O800" s="13" t="s">
        <v>2028</v>
      </c>
    </row>
    <row r="801" spans="1:15" ht="19.5" customHeight="1" x14ac:dyDescent="0.25">
      <c r="A801" s="11" t="s">
        <v>6516</v>
      </c>
      <c r="B801" s="11"/>
      <c r="C801" s="11" t="s">
        <v>6520</v>
      </c>
      <c r="D801" s="11" t="s">
        <v>1883</v>
      </c>
      <c r="E801" s="11" t="s">
        <v>6518</v>
      </c>
      <c r="F801" s="11" t="s">
        <v>6517</v>
      </c>
      <c r="G801" s="11" t="s">
        <v>6516</v>
      </c>
      <c r="H801" s="11"/>
      <c r="I801" s="11" t="s">
        <v>6515</v>
      </c>
      <c r="J801" s="11" t="s">
        <v>6514</v>
      </c>
      <c r="K801" s="11" t="s">
        <v>1952</v>
      </c>
      <c r="L801" s="11"/>
      <c r="M801" s="12"/>
      <c r="N801" s="11"/>
      <c r="O801" s="11"/>
    </row>
    <row r="802" spans="1:15" ht="19.5" customHeight="1" x14ac:dyDescent="0.25">
      <c r="A802" s="13" t="s">
        <v>6516</v>
      </c>
      <c r="B802" s="13"/>
      <c r="C802" s="13" t="s">
        <v>6519</v>
      </c>
      <c r="D802" s="13" t="s">
        <v>1883</v>
      </c>
      <c r="E802" s="13" t="s">
        <v>6518</v>
      </c>
      <c r="F802" s="13" t="s">
        <v>6517</v>
      </c>
      <c r="G802" s="13" t="s">
        <v>6516</v>
      </c>
      <c r="H802" s="13"/>
      <c r="I802" s="13" t="s">
        <v>6515</v>
      </c>
      <c r="J802" s="13" t="s">
        <v>6514</v>
      </c>
      <c r="K802" s="13" t="s">
        <v>1952</v>
      </c>
      <c r="L802" s="13"/>
      <c r="M802" s="14"/>
      <c r="N802" s="13"/>
      <c r="O802" s="13"/>
    </row>
    <row r="803" spans="1:15" ht="19.5" customHeight="1" x14ac:dyDescent="0.25">
      <c r="A803" s="11" t="s">
        <v>322</v>
      </c>
      <c r="B803" s="11"/>
      <c r="C803" s="11" t="s">
        <v>6513</v>
      </c>
      <c r="D803" s="11" t="s">
        <v>1883</v>
      </c>
      <c r="E803" s="11" t="s">
        <v>6510</v>
      </c>
      <c r="F803" s="11" t="s">
        <v>6509</v>
      </c>
      <c r="G803" s="11" t="s">
        <v>322</v>
      </c>
      <c r="H803" s="11"/>
      <c r="I803" s="11" t="s">
        <v>6171</v>
      </c>
      <c r="J803" s="11" t="s">
        <v>6508</v>
      </c>
      <c r="K803" s="11" t="s">
        <v>1952</v>
      </c>
      <c r="L803" s="11"/>
      <c r="M803" s="12"/>
      <c r="N803" s="11"/>
      <c r="O803" s="11" t="s">
        <v>2028</v>
      </c>
    </row>
    <row r="804" spans="1:15" ht="19.5" customHeight="1" x14ac:dyDescent="0.25">
      <c r="A804" s="13" t="s">
        <v>322</v>
      </c>
      <c r="B804" s="13"/>
      <c r="C804" s="13" t="s">
        <v>6512</v>
      </c>
      <c r="D804" s="13" t="s">
        <v>1883</v>
      </c>
      <c r="E804" s="13" t="s">
        <v>6510</v>
      </c>
      <c r="F804" s="13" t="s">
        <v>6509</v>
      </c>
      <c r="G804" s="13" t="s">
        <v>322</v>
      </c>
      <c r="H804" s="13"/>
      <c r="I804" s="13" t="s">
        <v>6171</v>
      </c>
      <c r="J804" s="13" t="s">
        <v>6508</v>
      </c>
      <c r="K804" s="13" t="s">
        <v>1952</v>
      </c>
      <c r="L804" s="13"/>
      <c r="M804" s="14"/>
      <c r="N804" s="13"/>
      <c r="O804" s="13" t="s">
        <v>2028</v>
      </c>
    </row>
    <row r="805" spans="1:15" ht="19.5" customHeight="1" x14ac:dyDescent="0.25">
      <c r="A805" s="11" t="s">
        <v>322</v>
      </c>
      <c r="B805" s="11"/>
      <c r="C805" s="11" t="s">
        <v>6511</v>
      </c>
      <c r="D805" s="11" t="s">
        <v>1883</v>
      </c>
      <c r="E805" s="11" t="s">
        <v>6510</v>
      </c>
      <c r="F805" s="11" t="s">
        <v>6509</v>
      </c>
      <c r="G805" s="11" t="s">
        <v>322</v>
      </c>
      <c r="H805" s="11"/>
      <c r="I805" s="11" t="s">
        <v>6171</v>
      </c>
      <c r="J805" s="11" t="s">
        <v>6508</v>
      </c>
      <c r="K805" s="11" t="s">
        <v>1952</v>
      </c>
      <c r="L805" s="11"/>
      <c r="M805" s="12"/>
      <c r="N805" s="11"/>
      <c r="O805" s="11" t="s">
        <v>2028</v>
      </c>
    </row>
    <row r="806" spans="1:15" ht="19.5" customHeight="1" x14ac:dyDescent="0.25">
      <c r="A806" s="13" t="s">
        <v>324</v>
      </c>
      <c r="B806" s="13"/>
      <c r="C806" s="13" t="s">
        <v>6507</v>
      </c>
      <c r="D806" s="13" t="s">
        <v>1883</v>
      </c>
      <c r="E806" s="13" t="s">
        <v>6506</v>
      </c>
      <c r="F806" s="13"/>
      <c r="G806" s="13" t="s">
        <v>324</v>
      </c>
      <c r="H806" s="13"/>
      <c r="I806" s="13"/>
      <c r="J806" s="13"/>
      <c r="K806" s="13"/>
      <c r="L806" s="13"/>
      <c r="M806" s="14"/>
      <c r="N806" s="13"/>
      <c r="O806" s="13" t="s">
        <v>2028</v>
      </c>
    </row>
    <row r="807" spans="1:15" ht="19.5" customHeight="1" x14ac:dyDescent="0.25">
      <c r="A807" s="11" t="s">
        <v>326</v>
      </c>
      <c r="B807" s="11"/>
      <c r="C807" s="11" t="s">
        <v>6505</v>
      </c>
      <c r="D807" s="11" t="s">
        <v>1883</v>
      </c>
      <c r="E807" s="11" t="s">
        <v>6501</v>
      </c>
      <c r="F807" s="11" t="s">
        <v>6500</v>
      </c>
      <c r="G807" s="11" t="s">
        <v>326</v>
      </c>
      <c r="H807" s="11"/>
      <c r="I807" s="11" t="s">
        <v>6499</v>
      </c>
      <c r="J807" s="11" t="s">
        <v>6498</v>
      </c>
      <c r="K807" s="11" t="s">
        <v>1952</v>
      </c>
      <c r="L807" s="11"/>
      <c r="M807" s="12"/>
      <c r="N807" s="11"/>
      <c r="O807" s="11" t="s">
        <v>2028</v>
      </c>
    </row>
    <row r="808" spans="1:15" ht="19.5" customHeight="1" x14ac:dyDescent="0.25">
      <c r="A808" s="13" t="s">
        <v>326</v>
      </c>
      <c r="B808" s="13"/>
      <c r="C808" s="13" t="s">
        <v>6504</v>
      </c>
      <c r="D808" s="13" t="s">
        <v>1883</v>
      </c>
      <c r="E808" s="13" t="s">
        <v>6501</v>
      </c>
      <c r="F808" s="13" t="s">
        <v>6500</v>
      </c>
      <c r="G808" s="13" t="s">
        <v>326</v>
      </c>
      <c r="H808" s="13"/>
      <c r="I808" s="13" t="s">
        <v>6503</v>
      </c>
      <c r="J808" s="13" t="s">
        <v>6498</v>
      </c>
      <c r="K808" s="13" t="s">
        <v>1952</v>
      </c>
      <c r="L808" s="13"/>
      <c r="M808" s="14"/>
      <c r="N808" s="13"/>
      <c r="O808" s="13" t="s">
        <v>2028</v>
      </c>
    </row>
    <row r="809" spans="1:15" ht="19.5" customHeight="1" x14ac:dyDescent="0.25">
      <c r="A809" s="11" t="s">
        <v>326</v>
      </c>
      <c r="B809" s="11"/>
      <c r="C809" s="11" t="s">
        <v>6502</v>
      </c>
      <c r="D809" s="11" t="s">
        <v>1883</v>
      </c>
      <c r="E809" s="11" t="s">
        <v>6501</v>
      </c>
      <c r="F809" s="11" t="s">
        <v>6500</v>
      </c>
      <c r="G809" s="11" t="s">
        <v>326</v>
      </c>
      <c r="H809" s="11"/>
      <c r="I809" s="11" t="s">
        <v>6499</v>
      </c>
      <c r="J809" s="11" t="s">
        <v>6498</v>
      </c>
      <c r="K809" s="11" t="s">
        <v>1952</v>
      </c>
      <c r="L809" s="11"/>
      <c r="M809" s="12"/>
      <c r="N809" s="11"/>
      <c r="O809" s="11" t="s">
        <v>2028</v>
      </c>
    </row>
    <row r="810" spans="1:15" ht="19.5" customHeight="1" x14ac:dyDescent="0.25">
      <c r="A810" s="13" t="s">
        <v>328</v>
      </c>
      <c r="B810" s="13"/>
      <c r="C810" s="13" t="s">
        <v>6497</v>
      </c>
      <c r="D810" s="13" t="s">
        <v>1883</v>
      </c>
      <c r="E810" s="13" t="s">
        <v>6494</v>
      </c>
      <c r="F810" s="13" t="s">
        <v>6493</v>
      </c>
      <c r="G810" s="13" t="s">
        <v>328</v>
      </c>
      <c r="H810" s="13" t="s">
        <v>6492</v>
      </c>
      <c r="I810" s="13" t="s">
        <v>6491</v>
      </c>
      <c r="J810" s="13" t="s">
        <v>6490</v>
      </c>
      <c r="K810" s="13" t="s">
        <v>2033</v>
      </c>
      <c r="L810" s="13"/>
      <c r="M810" s="14"/>
      <c r="N810" s="13"/>
      <c r="O810" s="13" t="s">
        <v>2028</v>
      </c>
    </row>
    <row r="811" spans="1:15" ht="19.5" customHeight="1" x14ac:dyDescent="0.25">
      <c r="A811" s="11" t="s">
        <v>328</v>
      </c>
      <c r="B811" s="11"/>
      <c r="C811" s="11" t="s">
        <v>6496</v>
      </c>
      <c r="D811" s="11" t="s">
        <v>1883</v>
      </c>
      <c r="E811" s="11" t="s">
        <v>6494</v>
      </c>
      <c r="F811" s="11" t="s">
        <v>6493</v>
      </c>
      <c r="G811" s="11" t="s">
        <v>328</v>
      </c>
      <c r="H811" s="11" t="s">
        <v>6492</v>
      </c>
      <c r="I811" s="11" t="s">
        <v>6491</v>
      </c>
      <c r="J811" s="11" t="s">
        <v>6490</v>
      </c>
      <c r="K811" s="11" t="s">
        <v>2033</v>
      </c>
      <c r="L811" s="11"/>
      <c r="M811" s="12"/>
      <c r="N811" s="11"/>
      <c r="O811" s="11" t="s">
        <v>2028</v>
      </c>
    </row>
    <row r="812" spans="1:15" ht="19.5" customHeight="1" x14ac:dyDescent="0.25">
      <c r="A812" s="13" t="s">
        <v>328</v>
      </c>
      <c r="B812" s="13"/>
      <c r="C812" s="13" t="s">
        <v>6495</v>
      </c>
      <c r="D812" s="13" t="s">
        <v>1883</v>
      </c>
      <c r="E812" s="13" t="s">
        <v>6494</v>
      </c>
      <c r="F812" s="13" t="s">
        <v>6493</v>
      </c>
      <c r="G812" s="13" t="s">
        <v>328</v>
      </c>
      <c r="H812" s="13" t="s">
        <v>6492</v>
      </c>
      <c r="I812" s="13" t="s">
        <v>6491</v>
      </c>
      <c r="J812" s="13" t="s">
        <v>6490</v>
      </c>
      <c r="K812" s="13" t="s">
        <v>2033</v>
      </c>
      <c r="L812" s="13"/>
      <c r="M812" s="14"/>
      <c r="N812" s="13"/>
      <c r="O812" s="13" t="s">
        <v>2028</v>
      </c>
    </row>
    <row r="813" spans="1:15" ht="19.5" customHeight="1" x14ac:dyDescent="0.25">
      <c r="A813" s="11" t="s">
        <v>330</v>
      </c>
      <c r="B813" s="11"/>
      <c r="C813" s="11" t="s">
        <v>6489</v>
      </c>
      <c r="D813" s="11" t="s">
        <v>1883</v>
      </c>
      <c r="E813" s="11" t="s">
        <v>6486</v>
      </c>
      <c r="F813" s="11" t="s">
        <v>6485</v>
      </c>
      <c r="G813" s="11" t="s">
        <v>330</v>
      </c>
      <c r="H813" s="11" t="s">
        <v>6484</v>
      </c>
      <c r="I813" s="11" t="s">
        <v>6483</v>
      </c>
      <c r="J813" s="11" t="s">
        <v>6482</v>
      </c>
      <c r="K813" s="11" t="s">
        <v>1952</v>
      </c>
      <c r="L813" s="11"/>
      <c r="M813" s="12"/>
      <c r="N813" s="11"/>
      <c r="O813" s="11" t="s">
        <v>2028</v>
      </c>
    </row>
    <row r="814" spans="1:15" ht="19.5" customHeight="1" x14ac:dyDescent="0.25">
      <c r="A814" s="13" t="s">
        <v>330</v>
      </c>
      <c r="B814" s="13"/>
      <c r="C814" s="13" t="s">
        <v>6488</v>
      </c>
      <c r="D814" s="13" t="s">
        <v>1883</v>
      </c>
      <c r="E814" s="13" t="s">
        <v>6486</v>
      </c>
      <c r="F814" s="13" t="s">
        <v>6485</v>
      </c>
      <c r="G814" s="13" t="s">
        <v>330</v>
      </c>
      <c r="H814" s="13" t="s">
        <v>6484</v>
      </c>
      <c r="I814" s="13" t="s">
        <v>6483</v>
      </c>
      <c r="J814" s="13" t="s">
        <v>6482</v>
      </c>
      <c r="K814" s="13" t="s">
        <v>1952</v>
      </c>
      <c r="L814" s="13"/>
      <c r="M814" s="14"/>
      <c r="N814" s="13"/>
      <c r="O814" s="13" t="s">
        <v>2028</v>
      </c>
    </row>
    <row r="815" spans="1:15" ht="19.5" customHeight="1" x14ac:dyDescent="0.25">
      <c r="A815" s="11" t="s">
        <v>330</v>
      </c>
      <c r="B815" s="11"/>
      <c r="C815" s="11" t="s">
        <v>6487</v>
      </c>
      <c r="D815" s="11" t="s">
        <v>1883</v>
      </c>
      <c r="E815" s="11" t="s">
        <v>6486</v>
      </c>
      <c r="F815" s="11" t="s">
        <v>6485</v>
      </c>
      <c r="G815" s="11" t="s">
        <v>330</v>
      </c>
      <c r="H815" s="11" t="s">
        <v>6484</v>
      </c>
      <c r="I815" s="11" t="s">
        <v>6483</v>
      </c>
      <c r="J815" s="11" t="s">
        <v>6482</v>
      </c>
      <c r="K815" s="11" t="s">
        <v>1952</v>
      </c>
      <c r="L815" s="11"/>
      <c r="M815" s="12"/>
      <c r="N815" s="11"/>
      <c r="O815" s="11" t="s">
        <v>2028</v>
      </c>
    </row>
    <row r="816" spans="1:15" ht="19.5" customHeight="1" x14ac:dyDescent="0.25">
      <c r="A816" s="13" t="s">
        <v>332</v>
      </c>
      <c r="B816" s="13"/>
      <c r="C816" s="13" t="s">
        <v>6481</v>
      </c>
      <c r="D816" s="13" t="s">
        <v>1883</v>
      </c>
      <c r="E816" s="13" t="s">
        <v>6478</v>
      </c>
      <c r="F816" s="13" t="s">
        <v>6477</v>
      </c>
      <c r="G816" s="13" t="s">
        <v>332</v>
      </c>
      <c r="H816" s="13" t="s">
        <v>6476</v>
      </c>
      <c r="I816" s="13" t="s">
        <v>2156</v>
      </c>
      <c r="J816" s="13" t="s">
        <v>6475</v>
      </c>
      <c r="K816" s="13" t="s">
        <v>1952</v>
      </c>
      <c r="L816" s="13"/>
      <c r="M816" s="14"/>
      <c r="N816" s="13"/>
      <c r="O816" s="13" t="s">
        <v>2028</v>
      </c>
    </row>
    <row r="817" spans="1:15" ht="19.5" customHeight="1" x14ac:dyDescent="0.25">
      <c r="A817" s="11" t="s">
        <v>332</v>
      </c>
      <c r="B817" s="11"/>
      <c r="C817" s="11" t="s">
        <v>6480</v>
      </c>
      <c r="D817" s="11" t="s">
        <v>1883</v>
      </c>
      <c r="E817" s="11" t="s">
        <v>6478</v>
      </c>
      <c r="F817" s="11" t="s">
        <v>6477</v>
      </c>
      <c r="G817" s="11" t="s">
        <v>332</v>
      </c>
      <c r="H817" s="11" t="s">
        <v>6476</v>
      </c>
      <c r="I817" s="11" t="s">
        <v>2156</v>
      </c>
      <c r="J817" s="11" t="s">
        <v>6475</v>
      </c>
      <c r="K817" s="11" t="s">
        <v>1952</v>
      </c>
      <c r="L817" s="11"/>
      <c r="M817" s="12"/>
      <c r="N817" s="11"/>
      <c r="O817" s="11" t="s">
        <v>2028</v>
      </c>
    </row>
    <row r="818" spans="1:15" ht="19.5" customHeight="1" x14ac:dyDescent="0.25">
      <c r="A818" s="13" t="s">
        <v>332</v>
      </c>
      <c r="B818" s="13"/>
      <c r="C818" s="13" t="s">
        <v>6479</v>
      </c>
      <c r="D818" s="13" t="s">
        <v>1883</v>
      </c>
      <c r="E818" s="13" t="s">
        <v>6478</v>
      </c>
      <c r="F818" s="13" t="s">
        <v>6477</v>
      </c>
      <c r="G818" s="13" t="s">
        <v>332</v>
      </c>
      <c r="H818" s="13" t="s">
        <v>6476</v>
      </c>
      <c r="I818" s="13" t="s">
        <v>2156</v>
      </c>
      <c r="J818" s="13" t="s">
        <v>6475</v>
      </c>
      <c r="K818" s="13" t="s">
        <v>1952</v>
      </c>
      <c r="L818" s="13"/>
      <c r="M818" s="14"/>
      <c r="N818" s="13"/>
      <c r="O818" s="13" t="s">
        <v>2028</v>
      </c>
    </row>
    <row r="819" spans="1:15" ht="19.5" customHeight="1" x14ac:dyDescent="0.25">
      <c r="A819" s="11" t="s">
        <v>334</v>
      </c>
      <c r="B819" s="11"/>
      <c r="C819" s="11" t="s">
        <v>6474</v>
      </c>
      <c r="D819" s="11" t="s">
        <v>1883</v>
      </c>
      <c r="E819" s="11" t="s">
        <v>6470</v>
      </c>
      <c r="F819" s="11" t="s">
        <v>6469</v>
      </c>
      <c r="G819" s="11" t="s">
        <v>334</v>
      </c>
      <c r="H819" s="11"/>
      <c r="I819" s="11" t="s">
        <v>6468</v>
      </c>
      <c r="J819" s="11" t="s">
        <v>6467</v>
      </c>
      <c r="K819" s="11" t="s">
        <v>2033</v>
      </c>
      <c r="L819" s="11"/>
      <c r="M819" s="12"/>
      <c r="N819" s="11"/>
      <c r="O819" s="11" t="s">
        <v>2028</v>
      </c>
    </row>
    <row r="820" spans="1:15" ht="19.5" customHeight="1" x14ac:dyDescent="0.25">
      <c r="A820" s="13" t="s">
        <v>334</v>
      </c>
      <c r="B820" s="13"/>
      <c r="C820" s="13" t="s">
        <v>6473</v>
      </c>
      <c r="D820" s="13" t="s">
        <v>1883</v>
      </c>
      <c r="E820" s="13" t="s">
        <v>6470</v>
      </c>
      <c r="F820" s="13" t="s">
        <v>6469</v>
      </c>
      <c r="G820" s="13" t="s">
        <v>334</v>
      </c>
      <c r="H820" s="13"/>
      <c r="I820" s="13" t="s">
        <v>6468</v>
      </c>
      <c r="J820" s="13" t="s">
        <v>6467</v>
      </c>
      <c r="K820" s="13" t="s">
        <v>2033</v>
      </c>
      <c r="L820" s="13"/>
      <c r="M820" s="14"/>
      <c r="N820" s="13"/>
      <c r="O820" s="13" t="s">
        <v>2028</v>
      </c>
    </row>
    <row r="821" spans="1:15" ht="19.5" customHeight="1" x14ac:dyDescent="0.25">
      <c r="A821" s="11" t="s">
        <v>334</v>
      </c>
      <c r="B821" s="11"/>
      <c r="C821" s="11" t="s">
        <v>6472</v>
      </c>
      <c r="D821" s="11" t="s">
        <v>1883</v>
      </c>
      <c r="E821" s="11" t="s">
        <v>6470</v>
      </c>
      <c r="F821" s="11" t="s">
        <v>6469</v>
      </c>
      <c r="G821" s="11" t="s">
        <v>334</v>
      </c>
      <c r="H821" s="11"/>
      <c r="I821" s="11" t="s">
        <v>6468</v>
      </c>
      <c r="J821" s="11" t="s">
        <v>6467</v>
      </c>
      <c r="K821" s="11" t="s">
        <v>2033</v>
      </c>
      <c r="L821" s="11"/>
      <c r="M821" s="12"/>
      <c r="N821" s="11"/>
      <c r="O821" s="11" t="s">
        <v>2028</v>
      </c>
    </row>
    <row r="822" spans="1:15" ht="19.5" customHeight="1" x14ac:dyDescent="0.25">
      <c r="A822" s="13" t="s">
        <v>334</v>
      </c>
      <c r="B822" s="13"/>
      <c r="C822" s="13" t="s">
        <v>6471</v>
      </c>
      <c r="D822" s="13" t="s">
        <v>1883</v>
      </c>
      <c r="E822" s="13" t="s">
        <v>6470</v>
      </c>
      <c r="F822" s="13" t="s">
        <v>6469</v>
      </c>
      <c r="G822" s="13" t="s">
        <v>334</v>
      </c>
      <c r="H822" s="13"/>
      <c r="I822" s="13" t="s">
        <v>6468</v>
      </c>
      <c r="J822" s="13" t="s">
        <v>6467</v>
      </c>
      <c r="K822" s="13" t="s">
        <v>2033</v>
      </c>
      <c r="L822" s="13"/>
      <c r="M822" s="14"/>
      <c r="N822" s="13"/>
      <c r="O822" s="13" t="s">
        <v>1945</v>
      </c>
    </row>
    <row r="823" spans="1:15" ht="19.5" customHeight="1" x14ac:dyDescent="0.25">
      <c r="A823" s="11" t="s">
        <v>6464</v>
      </c>
      <c r="B823" s="11"/>
      <c r="C823" s="11" t="s">
        <v>6466</v>
      </c>
      <c r="D823" s="11" t="s">
        <v>1883</v>
      </c>
      <c r="E823" s="11" t="s">
        <v>6465</v>
      </c>
      <c r="F823" s="11"/>
      <c r="G823" s="11" t="s">
        <v>6464</v>
      </c>
      <c r="H823" s="11"/>
      <c r="I823" s="11" t="s">
        <v>6463</v>
      </c>
      <c r="J823" s="11" t="s">
        <v>6462</v>
      </c>
      <c r="K823" s="11" t="s">
        <v>3599</v>
      </c>
      <c r="L823" s="11"/>
      <c r="M823" s="12"/>
      <c r="N823" s="11"/>
      <c r="O823" s="11" t="s">
        <v>2028</v>
      </c>
    </row>
    <row r="824" spans="1:15" ht="19.5" customHeight="1" x14ac:dyDescent="0.25">
      <c r="A824" s="13" t="s">
        <v>336</v>
      </c>
      <c r="B824" s="13"/>
      <c r="C824" s="13" t="s">
        <v>6461</v>
      </c>
      <c r="D824" s="13" t="s">
        <v>1883</v>
      </c>
      <c r="E824" s="13" t="s">
        <v>6458</v>
      </c>
      <c r="F824" s="13" t="s">
        <v>6457</v>
      </c>
      <c r="G824" s="13" t="s">
        <v>336</v>
      </c>
      <c r="H824" s="13" t="s">
        <v>6456</v>
      </c>
      <c r="I824" s="13" t="s">
        <v>6455</v>
      </c>
      <c r="J824" s="13" t="s">
        <v>6454</v>
      </c>
      <c r="K824" s="13" t="s">
        <v>1952</v>
      </c>
      <c r="L824" s="13"/>
      <c r="M824" s="14"/>
      <c r="N824" s="13"/>
      <c r="O824" s="13" t="s">
        <v>2028</v>
      </c>
    </row>
    <row r="825" spans="1:15" ht="19.5" customHeight="1" x14ac:dyDescent="0.25">
      <c r="A825" s="11" t="s">
        <v>336</v>
      </c>
      <c r="B825" s="11"/>
      <c r="C825" s="11" t="s">
        <v>6460</v>
      </c>
      <c r="D825" s="11" t="s">
        <v>1883</v>
      </c>
      <c r="E825" s="11" t="s">
        <v>6458</v>
      </c>
      <c r="F825" s="11" t="s">
        <v>6457</v>
      </c>
      <c r="G825" s="11" t="s">
        <v>336</v>
      </c>
      <c r="H825" s="11" t="s">
        <v>6456</v>
      </c>
      <c r="I825" s="11" t="s">
        <v>6455</v>
      </c>
      <c r="J825" s="11" t="s">
        <v>6454</v>
      </c>
      <c r="K825" s="11" t="s">
        <v>1952</v>
      </c>
      <c r="L825" s="11"/>
      <c r="M825" s="12"/>
      <c r="N825" s="11"/>
      <c r="O825" s="11" t="s">
        <v>2028</v>
      </c>
    </row>
    <row r="826" spans="1:15" ht="19.5" customHeight="1" x14ac:dyDescent="0.25">
      <c r="A826" s="13" t="s">
        <v>336</v>
      </c>
      <c r="B826" s="13"/>
      <c r="C826" s="13" t="s">
        <v>6459</v>
      </c>
      <c r="D826" s="13" t="s">
        <v>1883</v>
      </c>
      <c r="E826" s="13" t="s">
        <v>6458</v>
      </c>
      <c r="F826" s="13" t="s">
        <v>6457</v>
      </c>
      <c r="G826" s="13" t="s">
        <v>336</v>
      </c>
      <c r="H826" s="13" t="s">
        <v>6456</v>
      </c>
      <c r="I826" s="13" t="s">
        <v>6455</v>
      </c>
      <c r="J826" s="13" t="s">
        <v>6454</v>
      </c>
      <c r="K826" s="13" t="s">
        <v>1952</v>
      </c>
      <c r="L826" s="13"/>
      <c r="M826" s="14"/>
      <c r="N826" s="13"/>
      <c r="O826" s="13" t="s">
        <v>2028</v>
      </c>
    </row>
    <row r="827" spans="1:15" ht="19.5" customHeight="1" x14ac:dyDescent="0.25">
      <c r="A827" s="11" t="s">
        <v>338</v>
      </c>
      <c r="B827" s="11"/>
      <c r="C827" s="11" t="s">
        <v>6453</v>
      </c>
      <c r="D827" s="11" t="s">
        <v>1883</v>
      </c>
      <c r="E827" s="11" t="s">
        <v>6450</v>
      </c>
      <c r="F827" s="11" t="s">
        <v>6449</v>
      </c>
      <c r="G827" s="11" t="s">
        <v>338</v>
      </c>
      <c r="H827" s="11" t="s">
        <v>6448</v>
      </c>
      <c r="I827" s="11" t="s">
        <v>6447</v>
      </c>
      <c r="J827" s="11" t="s">
        <v>6446</v>
      </c>
      <c r="K827" s="11" t="s">
        <v>1952</v>
      </c>
      <c r="L827" s="11"/>
      <c r="M827" s="12"/>
      <c r="N827" s="11"/>
      <c r="O827" s="11" t="s">
        <v>2028</v>
      </c>
    </row>
    <row r="828" spans="1:15" ht="19.5" customHeight="1" x14ac:dyDescent="0.25">
      <c r="A828" s="13" t="s">
        <v>338</v>
      </c>
      <c r="B828" s="13"/>
      <c r="C828" s="13" t="s">
        <v>6452</v>
      </c>
      <c r="D828" s="13" t="s">
        <v>1883</v>
      </c>
      <c r="E828" s="13" t="s">
        <v>6450</v>
      </c>
      <c r="F828" s="13" t="s">
        <v>6449</v>
      </c>
      <c r="G828" s="13" t="s">
        <v>338</v>
      </c>
      <c r="H828" s="13" t="s">
        <v>6448</v>
      </c>
      <c r="I828" s="13" t="s">
        <v>6447</v>
      </c>
      <c r="J828" s="13" t="s">
        <v>6446</v>
      </c>
      <c r="K828" s="13" t="s">
        <v>1952</v>
      </c>
      <c r="L828" s="13"/>
      <c r="M828" s="14"/>
      <c r="N828" s="13"/>
      <c r="O828" s="13" t="s">
        <v>2028</v>
      </c>
    </row>
    <row r="829" spans="1:15" ht="19.5" customHeight="1" x14ac:dyDescent="0.25">
      <c r="A829" s="11" t="s">
        <v>338</v>
      </c>
      <c r="B829" s="11"/>
      <c r="C829" s="11" t="s">
        <v>6451</v>
      </c>
      <c r="D829" s="11" t="s">
        <v>1883</v>
      </c>
      <c r="E829" s="11" t="s">
        <v>6450</v>
      </c>
      <c r="F829" s="11" t="s">
        <v>6449</v>
      </c>
      <c r="G829" s="11" t="s">
        <v>338</v>
      </c>
      <c r="H829" s="11" t="s">
        <v>6448</v>
      </c>
      <c r="I829" s="11" t="s">
        <v>6447</v>
      </c>
      <c r="J829" s="11" t="s">
        <v>6446</v>
      </c>
      <c r="K829" s="11" t="s">
        <v>1952</v>
      </c>
      <c r="L829" s="11"/>
      <c r="M829" s="12"/>
      <c r="N829" s="11"/>
      <c r="O829" s="11" t="s">
        <v>2028</v>
      </c>
    </row>
    <row r="830" spans="1:15" ht="19.5" customHeight="1" x14ac:dyDescent="0.25">
      <c r="A830" s="13" t="s">
        <v>340</v>
      </c>
      <c r="B830" s="13"/>
      <c r="C830" s="13" t="s">
        <v>6445</v>
      </c>
      <c r="D830" s="13" t="s">
        <v>1883</v>
      </c>
      <c r="E830" s="13" t="s">
        <v>6442</v>
      </c>
      <c r="F830" s="13" t="s">
        <v>6441</v>
      </c>
      <c r="G830" s="13" t="s">
        <v>340</v>
      </c>
      <c r="H830" s="13" t="s">
        <v>6440</v>
      </c>
      <c r="I830" s="13" t="s">
        <v>6439</v>
      </c>
      <c r="J830" s="13" t="s">
        <v>6438</v>
      </c>
      <c r="K830" s="13" t="s">
        <v>2033</v>
      </c>
      <c r="L830" s="13"/>
      <c r="M830" s="14"/>
      <c r="N830" s="13"/>
      <c r="O830" s="13" t="s">
        <v>2028</v>
      </c>
    </row>
    <row r="831" spans="1:15" ht="19.5" customHeight="1" x14ac:dyDescent="0.25">
      <c r="A831" s="11" t="s">
        <v>340</v>
      </c>
      <c r="B831" s="11"/>
      <c r="C831" s="11" t="s">
        <v>6444</v>
      </c>
      <c r="D831" s="11" t="s">
        <v>1883</v>
      </c>
      <c r="E831" s="11" t="s">
        <v>6442</v>
      </c>
      <c r="F831" s="11" t="s">
        <v>6441</v>
      </c>
      <c r="G831" s="11" t="s">
        <v>340</v>
      </c>
      <c r="H831" s="11" t="s">
        <v>6440</v>
      </c>
      <c r="I831" s="11" t="s">
        <v>6439</v>
      </c>
      <c r="J831" s="11" t="s">
        <v>6438</v>
      </c>
      <c r="K831" s="11" t="s">
        <v>2033</v>
      </c>
      <c r="L831" s="11"/>
      <c r="M831" s="12"/>
      <c r="N831" s="11"/>
      <c r="O831" s="11" t="s">
        <v>2028</v>
      </c>
    </row>
    <row r="832" spans="1:15" ht="19.5" customHeight="1" x14ac:dyDescent="0.25">
      <c r="A832" s="13" t="s">
        <v>340</v>
      </c>
      <c r="B832" s="13"/>
      <c r="C832" s="13" t="s">
        <v>6443</v>
      </c>
      <c r="D832" s="13" t="s">
        <v>1883</v>
      </c>
      <c r="E832" s="13" t="s">
        <v>6442</v>
      </c>
      <c r="F832" s="13" t="s">
        <v>6441</v>
      </c>
      <c r="G832" s="13" t="s">
        <v>340</v>
      </c>
      <c r="H832" s="13" t="s">
        <v>6440</v>
      </c>
      <c r="I832" s="13" t="s">
        <v>6439</v>
      </c>
      <c r="J832" s="13" t="s">
        <v>6438</v>
      </c>
      <c r="K832" s="13" t="s">
        <v>2033</v>
      </c>
      <c r="L832" s="13"/>
      <c r="M832" s="14"/>
      <c r="N832" s="13"/>
      <c r="O832" s="13" t="s">
        <v>2028</v>
      </c>
    </row>
    <row r="833" spans="1:15" ht="19.5" customHeight="1" x14ac:dyDescent="0.25">
      <c r="A833" s="11" t="s">
        <v>8877</v>
      </c>
      <c r="B833" s="11"/>
      <c r="C833" s="11" t="s">
        <v>8876</v>
      </c>
      <c r="D833" s="11" t="s">
        <v>1883</v>
      </c>
      <c r="E833" s="11" t="s">
        <v>8882</v>
      </c>
      <c r="F833" s="11" t="s">
        <v>8883</v>
      </c>
      <c r="G833" s="11" t="s">
        <v>8877</v>
      </c>
      <c r="H833" s="11"/>
      <c r="I833" s="11" t="s">
        <v>8884</v>
      </c>
      <c r="J833" s="11" t="s">
        <v>8885</v>
      </c>
      <c r="K833" s="11" t="s">
        <v>2033</v>
      </c>
      <c r="L833" s="11"/>
      <c r="M833" s="12"/>
      <c r="N833" s="11"/>
      <c r="O833" s="11" t="s">
        <v>2028</v>
      </c>
    </row>
    <row r="834" spans="1:15" ht="19.5" customHeight="1" x14ac:dyDescent="0.25">
      <c r="A834" s="13" t="s">
        <v>527</v>
      </c>
      <c r="B834" s="13"/>
      <c r="C834" s="13" t="s">
        <v>6437</v>
      </c>
      <c r="D834" s="13" t="s">
        <v>1883</v>
      </c>
      <c r="E834" s="13" t="s">
        <v>6436</v>
      </c>
      <c r="F834" s="13" t="s">
        <v>6435</v>
      </c>
      <c r="G834" s="13" t="s">
        <v>527</v>
      </c>
      <c r="H834" s="13"/>
      <c r="I834" s="13" t="s">
        <v>6434</v>
      </c>
      <c r="J834" s="13" t="s">
        <v>6433</v>
      </c>
      <c r="K834" s="13" t="s">
        <v>3599</v>
      </c>
      <c r="L834" s="13"/>
      <c r="M834" s="14"/>
      <c r="N834" s="13"/>
      <c r="O834" s="13" t="s">
        <v>2028</v>
      </c>
    </row>
    <row r="835" spans="1:15" ht="19.5" customHeight="1" x14ac:dyDescent="0.25">
      <c r="A835" s="11" t="s">
        <v>8946</v>
      </c>
      <c r="B835" s="11"/>
      <c r="C835" s="11" t="s">
        <v>8945</v>
      </c>
      <c r="D835" s="11" t="s">
        <v>1883</v>
      </c>
      <c r="E835" s="11" t="s">
        <v>8948</v>
      </c>
      <c r="F835" s="11" t="s">
        <v>8949</v>
      </c>
      <c r="G835" s="11" t="s">
        <v>8946</v>
      </c>
      <c r="H835" s="11"/>
      <c r="I835" s="11" t="s">
        <v>8950</v>
      </c>
      <c r="J835" s="11" t="s">
        <v>8951</v>
      </c>
      <c r="K835" s="11" t="s">
        <v>6970</v>
      </c>
      <c r="L835" s="11"/>
      <c r="M835" s="12"/>
      <c r="N835" s="11"/>
      <c r="O835" s="11" t="s">
        <v>2028</v>
      </c>
    </row>
    <row r="836" spans="1:15" ht="19.5" customHeight="1" x14ac:dyDescent="0.25">
      <c r="A836" s="13" t="s">
        <v>342</v>
      </c>
      <c r="B836" s="13"/>
      <c r="C836" s="13" t="s">
        <v>6432</v>
      </c>
      <c r="D836" s="13" t="s">
        <v>1883</v>
      </c>
      <c r="E836" s="13" t="s">
        <v>6429</v>
      </c>
      <c r="F836" s="13" t="s">
        <v>6428</v>
      </c>
      <c r="G836" s="13" t="s">
        <v>342</v>
      </c>
      <c r="H836" s="13" t="s">
        <v>6427</v>
      </c>
      <c r="I836" s="13" t="s">
        <v>6426</v>
      </c>
      <c r="J836" s="13" t="s">
        <v>6425</v>
      </c>
      <c r="K836" s="13" t="s">
        <v>2033</v>
      </c>
      <c r="L836" s="13"/>
      <c r="M836" s="14"/>
      <c r="N836" s="13"/>
      <c r="O836" s="13" t="s">
        <v>2028</v>
      </c>
    </row>
    <row r="837" spans="1:15" ht="19.5" customHeight="1" x14ac:dyDescent="0.25">
      <c r="A837" s="11" t="s">
        <v>342</v>
      </c>
      <c r="B837" s="11"/>
      <c r="C837" s="11" t="s">
        <v>6431</v>
      </c>
      <c r="D837" s="11" t="s">
        <v>1883</v>
      </c>
      <c r="E837" s="11" t="s">
        <v>6429</v>
      </c>
      <c r="F837" s="11" t="s">
        <v>6428</v>
      </c>
      <c r="G837" s="11" t="s">
        <v>342</v>
      </c>
      <c r="H837" s="11" t="s">
        <v>6427</v>
      </c>
      <c r="I837" s="11" t="s">
        <v>6426</v>
      </c>
      <c r="J837" s="11" t="s">
        <v>6425</v>
      </c>
      <c r="K837" s="11" t="s">
        <v>2033</v>
      </c>
      <c r="L837" s="11"/>
      <c r="M837" s="12"/>
      <c r="N837" s="11"/>
      <c r="O837" s="11" t="s">
        <v>2028</v>
      </c>
    </row>
    <row r="838" spans="1:15" ht="19.5" customHeight="1" x14ac:dyDescent="0.25">
      <c r="A838" s="13" t="s">
        <v>342</v>
      </c>
      <c r="B838" s="13"/>
      <c r="C838" s="13" t="s">
        <v>6430</v>
      </c>
      <c r="D838" s="13" t="s">
        <v>1883</v>
      </c>
      <c r="E838" s="13" t="s">
        <v>6429</v>
      </c>
      <c r="F838" s="13" t="s">
        <v>6428</v>
      </c>
      <c r="G838" s="13" t="s">
        <v>342</v>
      </c>
      <c r="H838" s="13" t="s">
        <v>6427</v>
      </c>
      <c r="I838" s="13" t="s">
        <v>6426</v>
      </c>
      <c r="J838" s="13" t="s">
        <v>6425</v>
      </c>
      <c r="K838" s="13" t="s">
        <v>2033</v>
      </c>
      <c r="L838" s="13"/>
      <c r="M838" s="14"/>
      <c r="N838" s="13"/>
      <c r="O838" s="13" t="s">
        <v>2028</v>
      </c>
    </row>
    <row r="839" spans="1:15" ht="19.5" customHeight="1" x14ac:dyDescent="0.25">
      <c r="A839" s="11" t="s">
        <v>344</v>
      </c>
      <c r="B839" s="11"/>
      <c r="C839" s="11" t="s">
        <v>6424</v>
      </c>
      <c r="D839" s="11" t="s">
        <v>1883</v>
      </c>
      <c r="E839" s="11" t="s">
        <v>6420</v>
      </c>
      <c r="F839" s="11" t="s">
        <v>6419</v>
      </c>
      <c r="G839" s="11" t="s">
        <v>344</v>
      </c>
      <c r="H839" s="11"/>
      <c r="I839" s="11" t="s">
        <v>6422</v>
      </c>
      <c r="J839" s="11" t="s">
        <v>6417</v>
      </c>
      <c r="K839" s="11" t="s">
        <v>1952</v>
      </c>
      <c r="L839" s="11"/>
      <c r="M839" s="12"/>
      <c r="N839" s="11"/>
      <c r="O839" s="11" t="s">
        <v>2028</v>
      </c>
    </row>
    <row r="840" spans="1:15" ht="19.5" customHeight="1" x14ac:dyDescent="0.25">
      <c r="A840" s="13" t="s">
        <v>344</v>
      </c>
      <c r="B840" s="13"/>
      <c r="C840" s="13" t="s">
        <v>6423</v>
      </c>
      <c r="D840" s="13" t="s">
        <v>1883</v>
      </c>
      <c r="E840" s="13" t="s">
        <v>6420</v>
      </c>
      <c r="F840" s="13" t="s">
        <v>6419</v>
      </c>
      <c r="G840" s="13" t="s">
        <v>344</v>
      </c>
      <c r="H840" s="13"/>
      <c r="I840" s="13" t="s">
        <v>6422</v>
      </c>
      <c r="J840" s="13" t="s">
        <v>6417</v>
      </c>
      <c r="K840" s="13" t="s">
        <v>1952</v>
      </c>
      <c r="L840" s="13"/>
      <c r="M840" s="14"/>
      <c r="N840" s="13"/>
      <c r="O840" s="13" t="s">
        <v>2028</v>
      </c>
    </row>
    <row r="841" spans="1:15" ht="19.5" customHeight="1" x14ac:dyDescent="0.25">
      <c r="A841" s="11" t="s">
        <v>344</v>
      </c>
      <c r="B841" s="11"/>
      <c r="C841" s="11" t="s">
        <v>6421</v>
      </c>
      <c r="D841" s="11" t="s">
        <v>1883</v>
      </c>
      <c r="E841" s="11" t="s">
        <v>6420</v>
      </c>
      <c r="F841" s="11" t="s">
        <v>6419</v>
      </c>
      <c r="G841" s="11" t="s">
        <v>344</v>
      </c>
      <c r="H841" s="11"/>
      <c r="I841" s="11" t="s">
        <v>6418</v>
      </c>
      <c r="J841" s="11" t="s">
        <v>6417</v>
      </c>
      <c r="K841" s="11" t="s">
        <v>1952</v>
      </c>
      <c r="L841" s="11"/>
      <c r="M841" s="12"/>
      <c r="N841" s="11"/>
      <c r="O841" s="11" t="s">
        <v>2028</v>
      </c>
    </row>
    <row r="842" spans="1:15" ht="19.5" customHeight="1" x14ac:dyDescent="0.25">
      <c r="A842" s="13" t="s">
        <v>442</v>
      </c>
      <c r="B842" s="13"/>
      <c r="C842" s="13" t="s">
        <v>6416</v>
      </c>
      <c r="D842" s="13" t="s">
        <v>1883</v>
      </c>
      <c r="E842" s="13" t="s">
        <v>6415</v>
      </c>
      <c r="F842" s="13"/>
      <c r="G842" s="13" t="s">
        <v>442</v>
      </c>
      <c r="H842" s="13" t="s">
        <v>6414</v>
      </c>
      <c r="I842" s="13" t="s">
        <v>6410</v>
      </c>
      <c r="J842" s="13" t="s">
        <v>6409</v>
      </c>
      <c r="K842" s="13" t="s">
        <v>3599</v>
      </c>
      <c r="L842" s="13"/>
      <c r="M842" s="14"/>
      <c r="N842" s="13"/>
      <c r="O842" s="13" t="s">
        <v>2028</v>
      </c>
    </row>
    <row r="843" spans="1:15" ht="19.5" customHeight="1" x14ac:dyDescent="0.25">
      <c r="A843" s="11" t="s">
        <v>442</v>
      </c>
      <c r="B843" s="11"/>
      <c r="C843" s="11" t="s">
        <v>6413</v>
      </c>
      <c r="D843" s="11" t="s">
        <v>1883</v>
      </c>
      <c r="E843" s="11" t="s">
        <v>6411</v>
      </c>
      <c r="F843" s="11"/>
      <c r="G843" s="11" t="s">
        <v>442</v>
      </c>
      <c r="H843" s="11"/>
      <c r="I843" s="11" t="s">
        <v>6410</v>
      </c>
      <c r="J843" s="11" t="s">
        <v>6409</v>
      </c>
      <c r="K843" s="11" t="s">
        <v>3599</v>
      </c>
      <c r="L843" s="11"/>
      <c r="M843" s="12"/>
      <c r="N843" s="11"/>
      <c r="O843" s="11" t="s">
        <v>2028</v>
      </c>
    </row>
    <row r="844" spans="1:15" ht="19.5" customHeight="1" x14ac:dyDescent="0.25">
      <c r="A844" s="13" t="s">
        <v>442</v>
      </c>
      <c r="B844" s="13"/>
      <c r="C844" s="13" t="s">
        <v>6412</v>
      </c>
      <c r="D844" s="13" t="s">
        <v>1883</v>
      </c>
      <c r="E844" s="13" t="s">
        <v>6411</v>
      </c>
      <c r="F844" s="13"/>
      <c r="G844" s="13" t="s">
        <v>442</v>
      </c>
      <c r="H844" s="13"/>
      <c r="I844" s="13" t="s">
        <v>6410</v>
      </c>
      <c r="J844" s="13" t="s">
        <v>6409</v>
      </c>
      <c r="K844" s="13" t="s">
        <v>3599</v>
      </c>
      <c r="L844" s="13"/>
      <c r="M844" s="14"/>
      <c r="N844" s="13"/>
      <c r="O844" s="13" t="s">
        <v>2028</v>
      </c>
    </row>
    <row r="845" spans="1:15" ht="19.5" customHeight="1" x14ac:dyDescent="0.25">
      <c r="A845" s="11" t="s">
        <v>1356</v>
      </c>
      <c r="B845" s="11"/>
      <c r="C845" s="11" t="s">
        <v>6408</v>
      </c>
      <c r="D845" s="11" t="s">
        <v>1883</v>
      </c>
      <c r="E845" s="11" t="s">
        <v>6407</v>
      </c>
      <c r="F845" s="11"/>
      <c r="G845" s="11" t="s">
        <v>1356</v>
      </c>
      <c r="H845" s="11"/>
      <c r="I845" s="11" t="s">
        <v>6406</v>
      </c>
      <c r="J845" s="11" t="s">
        <v>6400</v>
      </c>
      <c r="K845" s="11" t="s">
        <v>2033</v>
      </c>
      <c r="L845" s="11"/>
      <c r="M845" s="12"/>
      <c r="N845" s="11"/>
      <c r="O845" s="11" t="s">
        <v>2028</v>
      </c>
    </row>
    <row r="846" spans="1:15" ht="19.5" customHeight="1" x14ac:dyDescent="0.25">
      <c r="A846" s="13" t="s">
        <v>1356</v>
      </c>
      <c r="B846" s="13"/>
      <c r="C846" s="13" t="s">
        <v>6405</v>
      </c>
      <c r="D846" s="13" t="s">
        <v>1883</v>
      </c>
      <c r="E846" s="13" t="s">
        <v>6404</v>
      </c>
      <c r="F846" s="13" t="s">
        <v>6403</v>
      </c>
      <c r="G846" s="13" t="s">
        <v>1356</v>
      </c>
      <c r="H846" s="13" t="s">
        <v>6402</v>
      </c>
      <c r="I846" s="13" t="s">
        <v>6401</v>
      </c>
      <c r="J846" s="13" t="s">
        <v>6400</v>
      </c>
      <c r="K846" s="13" t="s">
        <v>2033</v>
      </c>
      <c r="L846" s="13"/>
      <c r="M846" s="14"/>
      <c r="N846" s="13"/>
      <c r="O846" s="13" t="s">
        <v>2028</v>
      </c>
    </row>
    <row r="847" spans="1:15" ht="19.5" customHeight="1" x14ac:dyDescent="0.25">
      <c r="A847" s="11" t="s">
        <v>1130</v>
      </c>
      <c r="B847" s="11"/>
      <c r="C847" s="11" t="s">
        <v>6399</v>
      </c>
      <c r="D847" s="11" t="s">
        <v>1883</v>
      </c>
      <c r="E847" s="11" t="s">
        <v>6398</v>
      </c>
      <c r="F847" s="11" t="s">
        <v>6397</v>
      </c>
      <c r="G847" s="11" t="s">
        <v>1130</v>
      </c>
      <c r="H847" s="11" t="s">
        <v>6396</v>
      </c>
      <c r="I847" s="11" t="s">
        <v>6395</v>
      </c>
      <c r="J847" s="11" t="s">
        <v>6394</v>
      </c>
      <c r="K847" s="11" t="s">
        <v>2033</v>
      </c>
      <c r="L847" s="11"/>
      <c r="M847" s="12"/>
      <c r="N847" s="11"/>
      <c r="O847" s="11" t="s">
        <v>2028</v>
      </c>
    </row>
    <row r="848" spans="1:15" ht="19.5" customHeight="1" x14ac:dyDescent="0.25">
      <c r="A848" s="13" t="s">
        <v>346</v>
      </c>
      <c r="B848" s="13"/>
      <c r="C848" s="13" t="s">
        <v>6393</v>
      </c>
      <c r="D848" s="13" t="s">
        <v>1883</v>
      </c>
      <c r="E848" s="13" t="s">
        <v>6388</v>
      </c>
      <c r="F848" s="13" t="s">
        <v>6387</v>
      </c>
      <c r="G848" s="13" t="s">
        <v>346</v>
      </c>
      <c r="H848" s="13" t="s">
        <v>6386</v>
      </c>
      <c r="I848" s="13" t="s">
        <v>6392</v>
      </c>
      <c r="J848" s="13" t="s">
        <v>6384</v>
      </c>
      <c r="K848" s="13" t="s">
        <v>2033</v>
      </c>
      <c r="L848" s="13"/>
      <c r="M848" s="14"/>
      <c r="N848" s="13"/>
      <c r="O848" s="13" t="s">
        <v>1945</v>
      </c>
    </row>
    <row r="849" spans="1:15" ht="19.5" customHeight="1" x14ac:dyDescent="0.25">
      <c r="A849" s="11" t="s">
        <v>346</v>
      </c>
      <c r="B849" s="11"/>
      <c r="C849" s="11" t="s">
        <v>6391</v>
      </c>
      <c r="D849" s="11" t="s">
        <v>1883</v>
      </c>
      <c r="E849" s="11" t="s">
        <v>6388</v>
      </c>
      <c r="F849" s="11" t="s">
        <v>6387</v>
      </c>
      <c r="G849" s="11" t="s">
        <v>346</v>
      </c>
      <c r="H849" s="11" t="s">
        <v>6386</v>
      </c>
      <c r="I849" s="11" t="s">
        <v>6385</v>
      </c>
      <c r="J849" s="11" t="s">
        <v>6384</v>
      </c>
      <c r="K849" s="11" t="s">
        <v>2033</v>
      </c>
      <c r="L849" s="11"/>
      <c r="M849" s="12"/>
      <c r="N849" s="11"/>
      <c r="O849" s="11" t="s">
        <v>2028</v>
      </c>
    </row>
    <row r="850" spans="1:15" ht="19.5" customHeight="1" x14ac:dyDescent="0.25">
      <c r="A850" s="13" t="s">
        <v>346</v>
      </c>
      <c r="B850" s="13"/>
      <c r="C850" s="13" t="s">
        <v>6390</v>
      </c>
      <c r="D850" s="13" t="s">
        <v>1883</v>
      </c>
      <c r="E850" s="13" t="s">
        <v>6388</v>
      </c>
      <c r="F850" s="13" t="s">
        <v>6387</v>
      </c>
      <c r="G850" s="13" t="s">
        <v>346</v>
      </c>
      <c r="H850" s="13" t="s">
        <v>6386</v>
      </c>
      <c r="I850" s="13" t="s">
        <v>6385</v>
      </c>
      <c r="J850" s="13" t="s">
        <v>6384</v>
      </c>
      <c r="K850" s="13" t="s">
        <v>2033</v>
      </c>
      <c r="L850" s="13"/>
      <c r="M850" s="14"/>
      <c r="N850" s="13"/>
      <c r="O850" s="13" t="s">
        <v>2028</v>
      </c>
    </row>
    <row r="851" spans="1:15" ht="19.5" customHeight="1" x14ac:dyDescent="0.25">
      <c r="A851" s="11" t="s">
        <v>346</v>
      </c>
      <c r="B851" s="11"/>
      <c r="C851" s="11" t="s">
        <v>6389</v>
      </c>
      <c r="D851" s="11" t="s">
        <v>1883</v>
      </c>
      <c r="E851" s="11" t="s">
        <v>6388</v>
      </c>
      <c r="F851" s="11" t="s">
        <v>6387</v>
      </c>
      <c r="G851" s="11" t="s">
        <v>346</v>
      </c>
      <c r="H851" s="11" t="s">
        <v>6386</v>
      </c>
      <c r="I851" s="11" t="s">
        <v>6385</v>
      </c>
      <c r="J851" s="11" t="s">
        <v>6384</v>
      </c>
      <c r="K851" s="11" t="s">
        <v>2033</v>
      </c>
      <c r="L851" s="11"/>
      <c r="M851" s="12"/>
      <c r="N851" s="11"/>
      <c r="O851" s="11" t="s">
        <v>2028</v>
      </c>
    </row>
    <row r="852" spans="1:15" ht="19.5" customHeight="1" x14ac:dyDescent="0.25">
      <c r="A852" s="13" t="s">
        <v>348</v>
      </c>
      <c r="B852" s="13"/>
      <c r="C852" s="13" t="s">
        <v>6383</v>
      </c>
      <c r="D852" s="13" t="s">
        <v>1883</v>
      </c>
      <c r="E852" s="13" t="s">
        <v>6380</v>
      </c>
      <c r="F852" s="13" t="s">
        <v>6379</v>
      </c>
      <c r="G852" s="13" t="s">
        <v>348</v>
      </c>
      <c r="H852" s="13" t="s">
        <v>6378</v>
      </c>
      <c r="I852" s="13" t="s">
        <v>6377</v>
      </c>
      <c r="J852" s="13" t="s">
        <v>6376</v>
      </c>
      <c r="K852" s="13" t="s">
        <v>2033</v>
      </c>
      <c r="L852" s="13"/>
      <c r="M852" s="14"/>
      <c r="N852" s="13"/>
      <c r="O852" s="13" t="s">
        <v>2028</v>
      </c>
    </row>
    <row r="853" spans="1:15" ht="19.5" customHeight="1" x14ac:dyDescent="0.25">
      <c r="A853" s="11" t="s">
        <v>348</v>
      </c>
      <c r="B853" s="11"/>
      <c r="C853" s="11" t="s">
        <v>6382</v>
      </c>
      <c r="D853" s="11" t="s">
        <v>1883</v>
      </c>
      <c r="E853" s="11" t="s">
        <v>6380</v>
      </c>
      <c r="F853" s="11" t="s">
        <v>6379</v>
      </c>
      <c r="G853" s="11" t="s">
        <v>348</v>
      </c>
      <c r="H853" s="11" t="s">
        <v>6378</v>
      </c>
      <c r="I853" s="11" t="s">
        <v>6377</v>
      </c>
      <c r="J853" s="11" t="s">
        <v>6376</v>
      </c>
      <c r="K853" s="11" t="s">
        <v>2033</v>
      </c>
      <c r="L853" s="11"/>
      <c r="M853" s="12"/>
      <c r="N853" s="11"/>
      <c r="O853" s="11" t="s">
        <v>2028</v>
      </c>
    </row>
    <row r="854" spans="1:15" ht="19.5" customHeight="1" x14ac:dyDescent="0.25">
      <c r="A854" s="13" t="s">
        <v>348</v>
      </c>
      <c r="B854" s="13"/>
      <c r="C854" s="13" t="s">
        <v>6381</v>
      </c>
      <c r="D854" s="13" t="s">
        <v>1883</v>
      </c>
      <c r="E854" s="13" t="s">
        <v>6380</v>
      </c>
      <c r="F854" s="13" t="s">
        <v>6379</v>
      </c>
      <c r="G854" s="13" t="s">
        <v>348</v>
      </c>
      <c r="H854" s="13" t="s">
        <v>6378</v>
      </c>
      <c r="I854" s="13" t="s">
        <v>6377</v>
      </c>
      <c r="J854" s="13" t="s">
        <v>6376</v>
      </c>
      <c r="K854" s="13" t="s">
        <v>2033</v>
      </c>
      <c r="L854" s="13"/>
      <c r="M854" s="14"/>
      <c r="N854" s="13"/>
      <c r="O854" s="13" t="s">
        <v>2028</v>
      </c>
    </row>
    <row r="855" spans="1:15" ht="19.5" customHeight="1" x14ac:dyDescent="0.25">
      <c r="A855" s="11" t="s">
        <v>350</v>
      </c>
      <c r="B855" s="11"/>
      <c r="C855" s="11" t="s">
        <v>6375</v>
      </c>
      <c r="D855" s="11" t="s">
        <v>1883</v>
      </c>
      <c r="E855" s="11" t="s">
        <v>6372</v>
      </c>
      <c r="F855" s="11" t="s">
        <v>6371</v>
      </c>
      <c r="G855" s="11" t="s">
        <v>350</v>
      </c>
      <c r="H855" s="11"/>
      <c r="I855" s="11" t="s">
        <v>6370</v>
      </c>
      <c r="J855" s="11" t="s">
        <v>6369</v>
      </c>
      <c r="K855" s="11" t="s">
        <v>1952</v>
      </c>
      <c r="L855" s="11"/>
      <c r="M855" s="12"/>
      <c r="N855" s="11"/>
      <c r="O855" s="11" t="s">
        <v>2028</v>
      </c>
    </row>
    <row r="856" spans="1:15" ht="19.5" customHeight="1" x14ac:dyDescent="0.25">
      <c r="A856" s="13" t="s">
        <v>350</v>
      </c>
      <c r="B856" s="13"/>
      <c r="C856" s="13" t="s">
        <v>6374</v>
      </c>
      <c r="D856" s="13" t="s">
        <v>1883</v>
      </c>
      <c r="E856" s="13" t="s">
        <v>6372</v>
      </c>
      <c r="F856" s="13" t="s">
        <v>6371</v>
      </c>
      <c r="G856" s="13" t="s">
        <v>350</v>
      </c>
      <c r="H856" s="13"/>
      <c r="I856" s="13" t="s">
        <v>6370</v>
      </c>
      <c r="J856" s="13" t="s">
        <v>6369</v>
      </c>
      <c r="K856" s="13" t="s">
        <v>1952</v>
      </c>
      <c r="L856" s="13"/>
      <c r="M856" s="14"/>
      <c r="N856" s="13"/>
      <c r="O856" s="13" t="s">
        <v>2028</v>
      </c>
    </row>
    <row r="857" spans="1:15" ht="19.5" customHeight="1" x14ac:dyDescent="0.25">
      <c r="A857" s="11" t="s">
        <v>350</v>
      </c>
      <c r="B857" s="11"/>
      <c r="C857" s="11" t="s">
        <v>6373</v>
      </c>
      <c r="D857" s="11" t="s">
        <v>1883</v>
      </c>
      <c r="E857" s="11" t="s">
        <v>6372</v>
      </c>
      <c r="F857" s="11" t="s">
        <v>6371</v>
      </c>
      <c r="G857" s="11" t="s">
        <v>350</v>
      </c>
      <c r="H857" s="11"/>
      <c r="I857" s="11" t="s">
        <v>6370</v>
      </c>
      <c r="J857" s="11" t="s">
        <v>6369</v>
      </c>
      <c r="K857" s="11" t="s">
        <v>1952</v>
      </c>
      <c r="L857" s="11"/>
      <c r="M857" s="12"/>
      <c r="N857" s="11"/>
      <c r="O857" s="11" t="s">
        <v>2028</v>
      </c>
    </row>
    <row r="858" spans="1:15" ht="19.5" customHeight="1" x14ac:dyDescent="0.25">
      <c r="A858" s="13" t="s">
        <v>6366</v>
      </c>
      <c r="B858" s="13"/>
      <c r="C858" s="13" t="s">
        <v>6368</v>
      </c>
      <c r="D858" s="13" t="s">
        <v>1883</v>
      </c>
      <c r="E858" s="13" t="s">
        <v>6367</v>
      </c>
      <c r="F858" s="13"/>
      <c r="G858" s="13" t="s">
        <v>6366</v>
      </c>
      <c r="H858" s="13"/>
      <c r="I858" s="13" t="s">
        <v>6365</v>
      </c>
      <c r="J858" s="13" t="s">
        <v>6364</v>
      </c>
      <c r="K858" s="13" t="s">
        <v>1952</v>
      </c>
      <c r="L858" s="13"/>
      <c r="M858" s="14"/>
      <c r="N858" s="13"/>
      <c r="O858" s="13" t="s">
        <v>2028</v>
      </c>
    </row>
    <row r="859" spans="1:15" ht="19.5" customHeight="1" x14ac:dyDescent="0.25">
      <c r="A859" s="11" t="s">
        <v>352</v>
      </c>
      <c r="B859" s="11"/>
      <c r="C859" s="11" t="s">
        <v>6363</v>
      </c>
      <c r="D859" s="11" t="s">
        <v>1883</v>
      </c>
      <c r="E859" s="11" t="s">
        <v>6360</v>
      </c>
      <c r="F859" s="11" t="s">
        <v>6359</v>
      </c>
      <c r="G859" s="11" t="s">
        <v>352</v>
      </c>
      <c r="H859" s="11" t="s">
        <v>6358</v>
      </c>
      <c r="I859" s="11" t="s">
        <v>6357</v>
      </c>
      <c r="J859" s="11" t="s">
        <v>6356</v>
      </c>
      <c r="K859" s="11" t="s">
        <v>3599</v>
      </c>
      <c r="L859" s="11"/>
      <c r="M859" s="12"/>
      <c r="N859" s="11"/>
      <c r="O859" s="11" t="s">
        <v>2028</v>
      </c>
    </row>
    <row r="860" spans="1:15" ht="19.5" customHeight="1" x14ac:dyDescent="0.25">
      <c r="A860" s="13" t="s">
        <v>352</v>
      </c>
      <c r="B860" s="13"/>
      <c r="C860" s="13" t="s">
        <v>6362</v>
      </c>
      <c r="D860" s="13" t="s">
        <v>1883</v>
      </c>
      <c r="E860" s="13" t="s">
        <v>6360</v>
      </c>
      <c r="F860" s="13" t="s">
        <v>6359</v>
      </c>
      <c r="G860" s="13" t="s">
        <v>352</v>
      </c>
      <c r="H860" s="13" t="s">
        <v>6358</v>
      </c>
      <c r="I860" s="13" t="s">
        <v>6357</v>
      </c>
      <c r="J860" s="13" t="s">
        <v>6356</v>
      </c>
      <c r="K860" s="13" t="s">
        <v>3599</v>
      </c>
      <c r="L860" s="13"/>
      <c r="M860" s="14"/>
      <c r="N860" s="13"/>
      <c r="O860" s="13" t="s">
        <v>2028</v>
      </c>
    </row>
    <row r="861" spans="1:15" ht="19.5" customHeight="1" x14ac:dyDescent="0.25">
      <c r="A861" s="11" t="s">
        <v>352</v>
      </c>
      <c r="B861" s="11"/>
      <c r="C861" s="11" t="s">
        <v>6361</v>
      </c>
      <c r="D861" s="11" t="s">
        <v>1883</v>
      </c>
      <c r="E861" s="11" t="s">
        <v>6360</v>
      </c>
      <c r="F861" s="11" t="s">
        <v>6359</v>
      </c>
      <c r="G861" s="11" t="s">
        <v>352</v>
      </c>
      <c r="H861" s="11" t="s">
        <v>6358</v>
      </c>
      <c r="I861" s="11" t="s">
        <v>6357</v>
      </c>
      <c r="J861" s="11" t="s">
        <v>6356</v>
      </c>
      <c r="K861" s="11" t="s">
        <v>3599</v>
      </c>
      <c r="L861" s="11"/>
      <c r="M861" s="12"/>
      <c r="N861" s="11"/>
      <c r="O861" s="11" t="s">
        <v>2028</v>
      </c>
    </row>
    <row r="862" spans="1:15" ht="19.5" customHeight="1" x14ac:dyDescent="0.25">
      <c r="A862" s="13" t="s">
        <v>354</v>
      </c>
      <c r="B862" s="13"/>
      <c r="C862" s="13" t="s">
        <v>6355</v>
      </c>
      <c r="D862" s="13" t="s">
        <v>1883</v>
      </c>
      <c r="E862" s="13" t="s">
        <v>6350</v>
      </c>
      <c r="F862" s="13" t="s">
        <v>6349</v>
      </c>
      <c r="G862" s="13" t="s">
        <v>354</v>
      </c>
      <c r="H862" s="13" t="s">
        <v>6348</v>
      </c>
      <c r="I862" s="13" t="s">
        <v>6347</v>
      </c>
      <c r="J862" s="13" t="s">
        <v>6346</v>
      </c>
      <c r="K862" s="13" t="s">
        <v>2033</v>
      </c>
      <c r="L862" s="13"/>
      <c r="M862" s="14"/>
      <c r="N862" s="13"/>
      <c r="O862" s="13" t="s">
        <v>2028</v>
      </c>
    </row>
    <row r="863" spans="1:15" ht="19.5" customHeight="1" x14ac:dyDescent="0.25">
      <c r="A863" s="11" t="s">
        <v>354</v>
      </c>
      <c r="B863" s="11"/>
      <c r="C863" s="11" t="s">
        <v>6354</v>
      </c>
      <c r="D863" s="11" t="s">
        <v>1883</v>
      </c>
      <c r="E863" s="11" t="s">
        <v>6353</v>
      </c>
      <c r="F863" s="11" t="s">
        <v>6349</v>
      </c>
      <c r="G863" s="11" t="s">
        <v>354</v>
      </c>
      <c r="H863" s="11" t="s">
        <v>6348</v>
      </c>
      <c r="I863" s="11" t="s">
        <v>6352</v>
      </c>
      <c r="J863" s="11" t="s">
        <v>6346</v>
      </c>
      <c r="K863" s="11" t="s">
        <v>2033</v>
      </c>
      <c r="L863" s="11"/>
      <c r="M863" s="12"/>
      <c r="N863" s="11"/>
      <c r="O863" s="11" t="s">
        <v>2028</v>
      </c>
    </row>
    <row r="864" spans="1:15" ht="19.5" customHeight="1" x14ac:dyDescent="0.25">
      <c r="A864" s="13" t="s">
        <v>354</v>
      </c>
      <c r="B864" s="13"/>
      <c r="C864" s="13" t="s">
        <v>6351</v>
      </c>
      <c r="D864" s="13" t="s">
        <v>1883</v>
      </c>
      <c r="E864" s="13" t="s">
        <v>6350</v>
      </c>
      <c r="F864" s="13" t="s">
        <v>6349</v>
      </c>
      <c r="G864" s="13" t="s">
        <v>354</v>
      </c>
      <c r="H864" s="13" t="s">
        <v>6348</v>
      </c>
      <c r="I864" s="13" t="s">
        <v>6347</v>
      </c>
      <c r="J864" s="13" t="s">
        <v>6346</v>
      </c>
      <c r="K864" s="13" t="s">
        <v>2033</v>
      </c>
      <c r="L864" s="13"/>
      <c r="M864" s="14"/>
      <c r="N864" s="13"/>
      <c r="O864" s="13" t="s">
        <v>2028</v>
      </c>
    </row>
    <row r="865" spans="1:15" ht="19.5" customHeight="1" x14ac:dyDescent="0.25">
      <c r="A865" s="11" t="s">
        <v>356</v>
      </c>
      <c r="B865" s="11"/>
      <c r="C865" s="11" t="s">
        <v>6345</v>
      </c>
      <c r="D865" s="11" t="s">
        <v>1883</v>
      </c>
      <c r="E865" s="11" t="s">
        <v>6342</v>
      </c>
      <c r="F865" s="11" t="s">
        <v>6341</v>
      </c>
      <c r="G865" s="11" t="s">
        <v>356</v>
      </c>
      <c r="H865" s="11" t="s">
        <v>6340</v>
      </c>
      <c r="I865" s="11" t="s">
        <v>6339</v>
      </c>
      <c r="J865" s="11" t="s">
        <v>6338</v>
      </c>
      <c r="K865" s="11" t="s">
        <v>2033</v>
      </c>
      <c r="L865" s="11"/>
      <c r="M865" s="12"/>
      <c r="N865" s="11"/>
      <c r="O865" s="11" t="s">
        <v>2028</v>
      </c>
    </row>
    <row r="866" spans="1:15" ht="19.5" customHeight="1" x14ac:dyDescent="0.25">
      <c r="A866" s="13" t="s">
        <v>356</v>
      </c>
      <c r="B866" s="13"/>
      <c r="C866" s="13" t="s">
        <v>6344</v>
      </c>
      <c r="D866" s="13" t="s">
        <v>1883</v>
      </c>
      <c r="E866" s="13" t="s">
        <v>6342</v>
      </c>
      <c r="F866" s="13" t="s">
        <v>6341</v>
      </c>
      <c r="G866" s="13" t="s">
        <v>356</v>
      </c>
      <c r="H866" s="13" t="s">
        <v>6340</v>
      </c>
      <c r="I866" s="13" t="s">
        <v>6339</v>
      </c>
      <c r="J866" s="13" t="s">
        <v>6338</v>
      </c>
      <c r="K866" s="13" t="s">
        <v>2033</v>
      </c>
      <c r="L866" s="13"/>
      <c r="M866" s="14"/>
      <c r="N866" s="13"/>
      <c r="O866" s="13" t="s">
        <v>2028</v>
      </c>
    </row>
    <row r="867" spans="1:15" ht="19.5" customHeight="1" x14ac:dyDescent="0.25">
      <c r="A867" s="11" t="s">
        <v>356</v>
      </c>
      <c r="B867" s="11"/>
      <c r="C867" s="11" t="s">
        <v>6343</v>
      </c>
      <c r="D867" s="11" t="s">
        <v>1883</v>
      </c>
      <c r="E867" s="11" t="s">
        <v>6342</v>
      </c>
      <c r="F867" s="11" t="s">
        <v>6341</v>
      </c>
      <c r="G867" s="11" t="s">
        <v>356</v>
      </c>
      <c r="H867" s="11" t="s">
        <v>6340</v>
      </c>
      <c r="I867" s="11" t="s">
        <v>6339</v>
      </c>
      <c r="J867" s="11" t="s">
        <v>6338</v>
      </c>
      <c r="K867" s="11" t="s">
        <v>2033</v>
      </c>
      <c r="L867" s="11"/>
      <c r="M867" s="12"/>
      <c r="N867" s="11"/>
      <c r="O867" s="11" t="s">
        <v>2028</v>
      </c>
    </row>
    <row r="868" spans="1:15" ht="19.5" customHeight="1" x14ac:dyDescent="0.25">
      <c r="A868" s="13" t="s">
        <v>358</v>
      </c>
      <c r="B868" s="13"/>
      <c r="C868" s="13" t="s">
        <v>6337</v>
      </c>
      <c r="D868" s="13" t="s">
        <v>1883</v>
      </c>
      <c r="E868" s="13" t="s">
        <v>6332</v>
      </c>
      <c r="F868" s="13"/>
      <c r="G868" s="13" t="s">
        <v>358</v>
      </c>
      <c r="H868" s="13"/>
      <c r="I868" s="13"/>
      <c r="J868" s="13"/>
      <c r="K868" s="13"/>
      <c r="L868" s="13"/>
      <c r="M868" s="14"/>
      <c r="N868" s="13"/>
      <c r="O868" s="13" t="s">
        <v>1916</v>
      </c>
    </row>
    <row r="869" spans="1:15" ht="19.5" customHeight="1" x14ac:dyDescent="0.25">
      <c r="A869" s="11" t="s">
        <v>358</v>
      </c>
      <c r="B869" s="11"/>
      <c r="C869" s="11" t="s">
        <v>6336</v>
      </c>
      <c r="D869" s="11" t="s">
        <v>1883</v>
      </c>
      <c r="E869" s="11" t="s">
        <v>6332</v>
      </c>
      <c r="F869" s="11" t="s">
        <v>6331</v>
      </c>
      <c r="G869" s="11" t="s">
        <v>358</v>
      </c>
      <c r="H869" s="11"/>
      <c r="I869" s="11" t="s">
        <v>6330</v>
      </c>
      <c r="J869" s="11" t="s">
        <v>6329</v>
      </c>
      <c r="K869" s="11" t="s">
        <v>1952</v>
      </c>
      <c r="L869" s="11"/>
      <c r="M869" s="12"/>
      <c r="N869" s="11"/>
      <c r="O869" s="11" t="s">
        <v>2028</v>
      </c>
    </row>
    <row r="870" spans="1:15" ht="19.5" customHeight="1" x14ac:dyDescent="0.25">
      <c r="A870" s="13" t="s">
        <v>358</v>
      </c>
      <c r="B870" s="13"/>
      <c r="C870" s="13" t="s">
        <v>6335</v>
      </c>
      <c r="D870" s="13" t="s">
        <v>1883</v>
      </c>
      <c r="E870" s="13" t="s">
        <v>6332</v>
      </c>
      <c r="F870" s="13" t="s">
        <v>6331</v>
      </c>
      <c r="G870" s="13" t="s">
        <v>358</v>
      </c>
      <c r="H870" s="13"/>
      <c r="I870" s="13" t="s">
        <v>6334</v>
      </c>
      <c r="J870" s="13" t="s">
        <v>6329</v>
      </c>
      <c r="K870" s="13" t="s">
        <v>1952</v>
      </c>
      <c r="L870" s="13"/>
      <c r="M870" s="14"/>
      <c r="N870" s="13"/>
      <c r="O870" s="13" t="s">
        <v>2028</v>
      </c>
    </row>
    <row r="871" spans="1:15" ht="19.5" customHeight="1" x14ac:dyDescent="0.25">
      <c r="A871" s="11" t="s">
        <v>358</v>
      </c>
      <c r="B871" s="11"/>
      <c r="C871" s="11" t="s">
        <v>6333</v>
      </c>
      <c r="D871" s="11" t="s">
        <v>1883</v>
      </c>
      <c r="E871" s="11" t="s">
        <v>6332</v>
      </c>
      <c r="F871" s="11" t="s">
        <v>6331</v>
      </c>
      <c r="G871" s="11" t="s">
        <v>358</v>
      </c>
      <c r="H871" s="11"/>
      <c r="I871" s="11" t="s">
        <v>6330</v>
      </c>
      <c r="J871" s="11" t="s">
        <v>6329</v>
      </c>
      <c r="K871" s="11" t="s">
        <v>1952</v>
      </c>
      <c r="L871" s="11"/>
      <c r="M871" s="12"/>
      <c r="N871" s="11"/>
      <c r="O871" s="11" t="s">
        <v>2028</v>
      </c>
    </row>
    <row r="872" spans="1:15" ht="19.5" customHeight="1" x14ac:dyDescent="0.25">
      <c r="A872" s="13" t="s">
        <v>1326</v>
      </c>
      <c r="B872" s="13"/>
      <c r="C872" s="13" t="s">
        <v>6328</v>
      </c>
      <c r="D872" s="13" t="s">
        <v>1883</v>
      </c>
      <c r="E872" s="13" t="s">
        <v>6327</v>
      </c>
      <c r="F872" s="13" t="s">
        <v>6326</v>
      </c>
      <c r="G872" s="13" t="s">
        <v>1326</v>
      </c>
      <c r="H872" s="13"/>
      <c r="I872" s="13" t="s">
        <v>6325</v>
      </c>
      <c r="J872" s="13" t="s">
        <v>6324</v>
      </c>
      <c r="K872" s="13" t="s">
        <v>3599</v>
      </c>
      <c r="L872" s="13"/>
      <c r="M872" s="14"/>
      <c r="N872" s="13"/>
      <c r="O872" s="13" t="s">
        <v>2028</v>
      </c>
    </row>
    <row r="873" spans="1:15" ht="19.5" customHeight="1" x14ac:dyDescent="0.25">
      <c r="A873" s="11" t="s">
        <v>1845</v>
      </c>
      <c r="B873" s="11"/>
      <c r="C873" s="11" t="s">
        <v>1844</v>
      </c>
      <c r="D873" s="11" t="s">
        <v>1883</v>
      </c>
      <c r="E873" s="11" t="s">
        <v>8780</v>
      </c>
      <c r="F873" s="11" t="s">
        <v>8781</v>
      </c>
      <c r="G873" s="11" t="s">
        <v>1845</v>
      </c>
      <c r="H873" s="11"/>
      <c r="I873" s="11" t="s">
        <v>8782</v>
      </c>
      <c r="J873" s="11" t="s">
        <v>8783</v>
      </c>
      <c r="K873" s="11" t="s">
        <v>2033</v>
      </c>
      <c r="L873" s="11"/>
      <c r="M873" s="12"/>
      <c r="N873" s="11"/>
      <c r="O873" s="11" t="s">
        <v>2028</v>
      </c>
    </row>
    <row r="874" spans="1:15" ht="19.5" customHeight="1" x14ac:dyDescent="0.25">
      <c r="A874" s="13" t="s">
        <v>1845</v>
      </c>
      <c r="B874" s="13"/>
      <c r="C874" s="13" t="s">
        <v>8784</v>
      </c>
      <c r="D874" s="13" t="s">
        <v>1883</v>
      </c>
      <c r="E874" s="13" t="s">
        <v>8780</v>
      </c>
      <c r="F874" s="13" t="s">
        <v>8781</v>
      </c>
      <c r="G874" s="13" t="s">
        <v>1845</v>
      </c>
      <c r="H874" s="13"/>
      <c r="I874" s="13" t="s">
        <v>8782</v>
      </c>
      <c r="J874" s="13" t="s">
        <v>8783</v>
      </c>
      <c r="K874" s="13" t="s">
        <v>2033</v>
      </c>
      <c r="L874" s="13"/>
      <c r="M874" s="14"/>
      <c r="N874" s="13"/>
      <c r="O874" s="13" t="s">
        <v>2028</v>
      </c>
    </row>
    <row r="875" spans="1:15" ht="19.5" customHeight="1" x14ac:dyDescent="0.25">
      <c r="A875" s="11" t="s">
        <v>360</v>
      </c>
      <c r="B875" s="11"/>
      <c r="C875" s="11" t="s">
        <v>6323</v>
      </c>
      <c r="D875" s="11" t="s">
        <v>1883</v>
      </c>
      <c r="E875" s="11" t="s">
        <v>6320</v>
      </c>
      <c r="F875" s="11" t="s">
        <v>6319</v>
      </c>
      <c r="G875" s="11" t="s">
        <v>360</v>
      </c>
      <c r="H875" s="11" t="s">
        <v>6318</v>
      </c>
      <c r="I875" s="11" t="s">
        <v>6317</v>
      </c>
      <c r="J875" s="11" t="s">
        <v>6316</v>
      </c>
      <c r="K875" s="11" t="s">
        <v>1952</v>
      </c>
      <c r="L875" s="11"/>
      <c r="M875" s="12"/>
      <c r="N875" s="11"/>
      <c r="O875" s="11" t="s">
        <v>2028</v>
      </c>
    </row>
    <row r="876" spans="1:15" ht="19.5" customHeight="1" x14ac:dyDescent="0.25">
      <c r="A876" s="13" t="s">
        <v>360</v>
      </c>
      <c r="B876" s="13"/>
      <c r="C876" s="13" t="s">
        <v>6322</v>
      </c>
      <c r="D876" s="13" t="s">
        <v>1883</v>
      </c>
      <c r="E876" s="13" t="s">
        <v>6320</v>
      </c>
      <c r="F876" s="13" t="s">
        <v>6319</v>
      </c>
      <c r="G876" s="13" t="s">
        <v>360</v>
      </c>
      <c r="H876" s="13" t="s">
        <v>6318</v>
      </c>
      <c r="I876" s="13" t="s">
        <v>6317</v>
      </c>
      <c r="J876" s="13" t="s">
        <v>6316</v>
      </c>
      <c r="K876" s="13" t="s">
        <v>1952</v>
      </c>
      <c r="L876" s="13"/>
      <c r="M876" s="14"/>
      <c r="N876" s="13"/>
      <c r="O876" s="13" t="s">
        <v>2028</v>
      </c>
    </row>
    <row r="877" spans="1:15" ht="19.5" customHeight="1" x14ac:dyDescent="0.25">
      <c r="A877" s="11" t="s">
        <v>360</v>
      </c>
      <c r="B877" s="11"/>
      <c r="C877" s="11" t="s">
        <v>6321</v>
      </c>
      <c r="D877" s="11" t="s">
        <v>1883</v>
      </c>
      <c r="E877" s="11" t="s">
        <v>6320</v>
      </c>
      <c r="F877" s="11" t="s">
        <v>6319</v>
      </c>
      <c r="G877" s="11" t="s">
        <v>360</v>
      </c>
      <c r="H877" s="11" t="s">
        <v>6318</v>
      </c>
      <c r="I877" s="11" t="s">
        <v>6317</v>
      </c>
      <c r="J877" s="11" t="s">
        <v>6316</v>
      </c>
      <c r="K877" s="11" t="s">
        <v>1952</v>
      </c>
      <c r="L877" s="11"/>
      <c r="M877" s="12"/>
      <c r="N877" s="11"/>
      <c r="O877" s="11" t="s">
        <v>2028</v>
      </c>
    </row>
    <row r="878" spans="1:15" ht="19.5" customHeight="1" x14ac:dyDescent="0.25">
      <c r="A878" s="13" t="s">
        <v>1340</v>
      </c>
      <c r="B878" s="13"/>
      <c r="C878" s="13" t="s">
        <v>6315</v>
      </c>
      <c r="D878" s="13" t="s">
        <v>1883</v>
      </c>
      <c r="E878" s="13" t="s">
        <v>6313</v>
      </c>
      <c r="F878" s="13" t="s">
        <v>6312</v>
      </c>
      <c r="G878" s="13" t="s">
        <v>1340</v>
      </c>
      <c r="H878" s="13"/>
      <c r="I878" s="13" t="s">
        <v>1997</v>
      </c>
      <c r="J878" s="13" t="s">
        <v>6311</v>
      </c>
      <c r="K878" s="13" t="s">
        <v>1952</v>
      </c>
      <c r="L878" s="13"/>
      <c r="M878" s="14"/>
      <c r="N878" s="13"/>
      <c r="O878" s="13" t="s">
        <v>2028</v>
      </c>
    </row>
    <row r="879" spans="1:15" ht="19.5" customHeight="1" x14ac:dyDescent="0.25">
      <c r="A879" s="11" t="s">
        <v>1340</v>
      </c>
      <c r="B879" s="11"/>
      <c r="C879" s="11" t="s">
        <v>6314</v>
      </c>
      <c r="D879" s="11" t="s">
        <v>1883</v>
      </c>
      <c r="E879" s="11" t="s">
        <v>6313</v>
      </c>
      <c r="F879" s="11" t="s">
        <v>6312</v>
      </c>
      <c r="G879" s="11" t="s">
        <v>1340</v>
      </c>
      <c r="H879" s="11"/>
      <c r="I879" s="11" t="s">
        <v>1997</v>
      </c>
      <c r="J879" s="11" t="s">
        <v>6311</v>
      </c>
      <c r="K879" s="11" t="s">
        <v>1952</v>
      </c>
      <c r="L879" s="11"/>
      <c r="M879" s="12"/>
      <c r="N879" s="11"/>
      <c r="O879" s="11" t="s">
        <v>2028</v>
      </c>
    </row>
    <row r="880" spans="1:15" ht="19.5" customHeight="1" x14ac:dyDescent="0.25">
      <c r="A880" s="13" t="s">
        <v>362</v>
      </c>
      <c r="B880" s="13"/>
      <c r="C880" s="13" t="s">
        <v>6310</v>
      </c>
      <c r="D880" s="13" t="s">
        <v>1883</v>
      </c>
      <c r="E880" s="13" t="s">
        <v>6307</v>
      </c>
      <c r="F880" s="13" t="s">
        <v>6306</v>
      </c>
      <c r="G880" s="13" t="s">
        <v>362</v>
      </c>
      <c r="H880" s="13" t="s">
        <v>6305</v>
      </c>
      <c r="I880" s="13" t="s">
        <v>6304</v>
      </c>
      <c r="J880" s="13" t="s">
        <v>6303</v>
      </c>
      <c r="K880" s="13" t="s">
        <v>2033</v>
      </c>
      <c r="L880" s="13"/>
      <c r="M880" s="14"/>
      <c r="N880" s="13"/>
      <c r="O880" s="13" t="s">
        <v>2028</v>
      </c>
    </row>
    <row r="881" spans="1:15" ht="19.5" customHeight="1" x14ac:dyDescent="0.25">
      <c r="A881" s="11" t="s">
        <v>362</v>
      </c>
      <c r="B881" s="11"/>
      <c r="C881" s="11" t="s">
        <v>6309</v>
      </c>
      <c r="D881" s="11" t="s">
        <v>1883</v>
      </c>
      <c r="E881" s="11" t="s">
        <v>6307</v>
      </c>
      <c r="F881" s="11" t="s">
        <v>6306</v>
      </c>
      <c r="G881" s="11" t="s">
        <v>362</v>
      </c>
      <c r="H881" s="11" t="s">
        <v>6305</v>
      </c>
      <c r="I881" s="11" t="s">
        <v>6304</v>
      </c>
      <c r="J881" s="11" t="s">
        <v>6303</v>
      </c>
      <c r="K881" s="11" t="s">
        <v>2033</v>
      </c>
      <c r="L881" s="11"/>
      <c r="M881" s="12"/>
      <c r="N881" s="11"/>
      <c r="O881" s="11" t="s">
        <v>2028</v>
      </c>
    </row>
    <row r="882" spans="1:15" ht="19.5" customHeight="1" x14ac:dyDescent="0.25">
      <c r="A882" s="13" t="s">
        <v>362</v>
      </c>
      <c r="B882" s="13"/>
      <c r="C882" s="13" t="s">
        <v>6308</v>
      </c>
      <c r="D882" s="13" t="s">
        <v>1883</v>
      </c>
      <c r="E882" s="13" t="s">
        <v>6307</v>
      </c>
      <c r="F882" s="13" t="s">
        <v>6306</v>
      </c>
      <c r="G882" s="13" t="s">
        <v>362</v>
      </c>
      <c r="H882" s="13" t="s">
        <v>6305</v>
      </c>
      <c r="I882" s="13" t="s">
        <v>6304</v>
      </c>
      <c r="J882" s="13" t="s">
        <v>6303</v>
      </c>
      <c r="K882" s="13" t="s">
        <v>2033</v>
      </c>
      <c r="L882" s="13"/>
      <c r="M882" s="14"/>
      <c r="N882" s="13"/>
      <c r="O882" s="13" t="s">
        <v>2028</v>
      </c>
    </row>
    <row r="883" spans="1:15" ht="19.5" customHeight="1" x14ac:dyDescent="0.25">
      <c r="A883" s="11" t="s">
        <v>1434</v>
      </c>
      <c r="B883" s="11"/>
      <c r="C883" s="11" t="s">
        <v>6302</v>
      </c>
      <c r="D883" s="11" t="s">
        <v>1883</v>
      </c>
      <c r="E883" s="11" t="s">
        <v>6301</v>
      </c>
      <c r="F883" s="11"/>
      <c r="G883" s="11" t="s">
        <v>1434</v>
      </c>
      <c r="H883" s="11"/>
      <c r="I883" s="11" t="s">
        <v>5462</v>
      </c>
      <c r="J883" s="11" t="s">
        <v>6300</v>
      </c>
      <c r="K883" s="11" t="s">
        <v>4943</v>
      </c>
      <c r="L883" s="11"/>
      <c r="M883" s="12"/>
      <c r="N883" s="11"/>
      <c r="O883" s="11" t="s">
        <v>2028</v>
      </c>
    </row>
    <row r="884" spans="1:15" ht="19.5" customHeight="1" x14ac:dyDescent="0.25">
      <c r="A884" s="13" t="s">
        <v>1102</v>
      </c>
      <c r="B884" s="13"/>
      <c r="C884" s="13" t="s">
        <v>1101</v>
      </c>
      <c r="D884" s="13" t="s">
        <v>1883</v>
      </c>
      <c r="E884" s="13" t="s">
        <v>6299</v>
      </c>
      <c r="F884" s="13"/>
      <c r="G884" s="13" t="s">
        <v>1102</v>
      </c>
      <c r="H884" s="13"/>
      <c r="I884" s="13"/>
      <c r="J884" s="13"/>
      <c r="K884" s="13"/>
      <c r="L884" s="13"/>
      <c r="M884" s="14"/>
      <c r="N884" s="13"/>
      <c r="O884" s="13" t="s">
        <v>1945</v>
      </c>
    </row>
    <row r="885" spans="1:15" ht="19.5" customHeight="1" x14ac:dyDescent="0.25">
      <c r="A885" s="11" t="s">
        <v>6296</v>
      </c>
      <c r="B885" s="11"/>
      <c r="C885" s="11" t="s">
        <v>6298</v>
      </c>
      <c r="D885" s="11" t="s">
        <v>1883</v>
      </c>
      <c r="E885" s="11" t="s">
        <v>6297</v>
      </c>
      <c r="F885" s="11"/>
      <c r="G885" s="11" t="s">
        <v>6296</v>
      </c>
      <c r="H885" s="11"/>
      <c r="I885" s="11"/>
      <c r="J885" s="11"/>
      <c r="K885" s="11"/>
      <c r="L885" s="11"/>
      <c r="M885" s="12"/>
      <c r="N885" s="11"/>
      <c r="O885" s="11" t="s">
        <v>1945</v>
      </c>
    </row>
    <row r="886" spans="1:15" ht="19.5" customHeight="1" x14ac:dyDescent="0.25">
      <c r="A886" s="13" t="s">
        <v>364</v>
      </c>
      <c r="B886" s="13"/>
      <c r="C886" s="13" t="s">
        <v>6295</v>
      </c>
      <c r="D886" s="13" t="s">
        <v>1883</v>
      </c>
      <c r="E886" s="13" t="s">
        <v>6294</v>
      </c>
      <c r="F886" s="13"/>
      <c r="G886" s="13" t="s">
        <v>364</v>
      </c>
      <c r="H886" s="13" t="s">
        <v>6293</v>
      </c>
      <c r="I886" s="13" t="s">
        <v>6292</v>
      </c>
      <c r="J886" s="13" t="s">
        <v>6291</v>
      </c>
      <c r="K886" s="13" t="s">
        <v>2033</v>
      </c>
      <c r="L886" s="13"/>
      <c r="M886" s="14"/>
      <c r="N886" s="13"/>
      <c r="O886" s="13" t="s">
        <v>2028</v>
      </c>
    </row>
    <row r="887" spans="1:15" ht="19.5" customHeight="1" x14ac:dyDescent="0.25">
      <c r="A887" s="11" t="s">
        <v>366</v>
      </c>
      <c r="B887" s="11"/>
      <c r="C887" s="11" t="s">
        <v>6290</v>
      </c>
      <c r="D887" s="11" t="s">
        <v>1883</v>
      </c>
      <c r="E887" s="11" t="s">
        <v>6287</v>
      </c>
      <c r="F887" s="11" t="s">
        <v>6286</v>
      </c>
      <c r="G887" s="11" t="s">
        <v>366</v>
      </c>
      <c r="H887" s="11" t="s">
        <v>6285</v>
      </c>
      <c r="I887" s="11" t="s">
        <v>6284</v>
      </c>
      <c r="J887" s="11" t="s">
        <v>6283</v>
      </c>
      <c r="K887" s="11" t="s">
        <v>1952</v>
      </c>
      <c r="L887" s="11"/>
      <c r="M887" s="12"/>
      <c r="N887" s="11"/>
      <c r="O887" s="11" t="s">
        <v>2028</v>
      </c>
    </row>
    <row r="888" spans="1:15" ht="19.5" customHeight="1" x14ac:dyDescent="0.25">
      <c r="A888" s="13" t="s">
        <v>366</v>
      </c>
      <c r="B888" s="13"/>
      <c r="C888" s="13" t="s">
        <v>6289</v>
      </c>
      <c r="D888" s="13" t="s">
        <v>1883</v>
      </c>
      <c r="E888" s="13" t="s">
        <v>6287</v>
      </c>
      <c r="F888" s="13" t="s">
        <v>6286</v>
      </c>
      <c r="G888" s="13" t="s">
        <v>366</v>
      </c>
      <c r="H888" s="13" t="s">
        <v>6285</v>
      </c>
      <c r="I888" s="13" t="s">
        <v>6284</v>
      </c>
      <c r="J888" s="13" t="s">
        <v>6283</v>
      </c>
      <c r="K888" s="13" t="s">
        <v>1952</v>
      </c>
      <c r="L888" s="13"/>
      <c r="M888" s="14"/>
      <c r="N888" s="13"/>
      <c r="O888" s="13" t="s">
        <v>2028</v>
      </c>
    </row>
    <row r="889" spans="1:15" ht="19.5" customHeight="1" x14ac:dyDescent="0.25">
      <c r="A889" s="11" t="s">
        <v>366</v>
      </c>
      <c r="B889" s="11"/>
      <c r="C889" s="11" t="s">
        <v>6288</v>
      </c>
      <c r="D889" s="11" t="s">
        <v>1883</v>
      </c>
      <c r="E889" s="11" t="s">
        <v>6287</v>
      </c>
      <c r="F889" s="11" t="s">
        <v>6286</v>
      </c>
      <c r="G889" s="11" t="s">
        <v>366</v>
      </c>
      <c r="H889" s="11" t="s">
        <v>6285</v>
      </c>
      <c r="I889" s="11" t="s">
        <v>6284</v>
      </c>
      <c r="J889" s="11" t="s">
        <v>6283</v>
      </c>
      <c r="K889" s="11" t="s">
        <v>1952</v>
      </c>
      <c r="L889" s="11"/>
      <c r="M889" s="12"/>
      <c r="N889" s="11"/>
      <c r="O889" s="11" t="s">
        <v>2028</v>
      </c>
    </row>
    <row r="890" spans="1:15" ht="19.5" customHeight="1" x14ac:dyDescent="0.25">
      <c r="A890" s="13" t="s">
        <v>368</v>
      </c>
      <c r="B890" s="13"/>
      <c r="C890" s="13" t="s">
        <v>6282</v>
      </c>
      <c r="D890" s="13" t="s">
        <v>1883</v>
      </c>
      <c r="E890" s="13" t="s">
        <v>6279</v>
      </c>
      <c r="F890" s="13" t="s">
        <v>6278</v>
      </c>
      <c r="G890" s="13" t="s">
        <v>368</v>
      </c>
      <c r="H890" s="13"/>
      <c r="I890" s="13" t="s">
        <v>6277</v>
      </c>
      <c r="J890" s="13" t="s">
        <v>6276</v>
      </c>
      <c r="K890" s="13" t="s">
        <v>2033</v>
      </c>
      <c r="L890" s="13"/>
      <c r="M890" s="14"/>
      <c r="N890" s="13"/>
      <c r="O890" s="13" t="s">
        <v>2028</v>
      </c>
    </row>
    <row r="891" spans="1:15" ht="19.5" customHeight="1" x14ac:dyDescent="0.25">
      <c r="A891" s="11" t="s">
        <v>368</v>
      </c>
      <c r="B891" s="11"/>
      <c r="C891" s="11" t="s">
        <v>6281</v>
      </c>
      <c r="D891" s="11" t="s">
        <v>1883</v>
      </c>
      <c r="E891" s="11" t="s">
        <v>6279</v>
      </c>
      <c r="F891" s="11" t="s">
        <v>6278</v>
      </c>
      <c r="G891" s="11" t="s">
        <v>368</v>
      </c>
      <c r="H891" s="11"/>
      <c r="I891" s="11" t="s">
        <v>6277</v>
      </c>
      <c r="J891" s="11" t="s">
        <v>6276</v>
      </c>
      <c r="K891" s="11" t="s">
        <v>2033</v>
      </c>
      <c r="L891" s="11"/>
      <c r="M891" s="12"/>
      <c r="N891" s="11"/>
      <c r="O891" s="11" t="s">
        <v>2028</v>
      </c>
    </row>
    <row r="892" spans="1:15" ht="19.5" customHeight="1" x14ac:dyDescent="0.25">
      <c r="A892" s="13" t="s">
        <v>368</v>
      </c>
      <c r="B892" s="13"/>
      <c r="C892" s="13" t="s">
        <v>6280</v>
      </c>
      <c r="D892" s="13" t="s">
        <v>1883</v>
      </c>
      <c r="E892" s="13" t="s">
        <v>6279</v>
      </c>
      <c r="F892" s="13" t="s">
        <v>6278</v>
      </c>
      <c r="G892" s="13" t="s">
        <v>368</v>
      </c>
      <c r="H892" s="13"/>
      <c r="I892" s="13" t="s">
        <v>6277</v>
      </c>
      <c r="J892" s="13" t="s">
        <v>6276</v>
      </c>
      <c r="K892" s="13" t="s">
        <v>2033</v>
      </c>
      <c r="L892" s="13"/>
      <c r="M892" s="14"/>
      <c r="N892" s="13"/>
      <c r="O892" s="13" t="s">
        <v>2028</v>
      </c>
    </row>
    <row r="893" spans="1:15" ht="19.5" customHeight="1" x14ac:dyDescent="0.25">
      <c r="A893" s="11" t="s">
        <v>370</v>
      </c>
      <c r="B893" s="11"/>
      <c r="C893" s="11" t="s">
        <v>6275</v>
      </c>
      <c r="D893" s="11" t="s">
        <v>1883</v>
      </c>
      <c r="E893" s="11" t="s">
        <v>6272</v>
      </c>
      <c r="F893" s="11" t="s">
        <v>6271</v>
      </c>
      <c r="G893" s="11" t="s">
        <v>370</v>
      </c>
      <c r="H893" s="11" t="s">
        <v>6270</v>
      </c>
      <c r="I893" s="11" t="s">
        <v>6269</v>
      </c>
      <c r="J893" s="11" t="s">
        <v>6268</v>
      </c>
      <c r="K893" s="11" t="s">
        <v>2033</v>
      </c>
      <c r="L893" s="11"/>
      <c r="M893" s="12"/>
      <c r="N893" s="11"/>
      <c r="O893" s="11" t="s">
        <v>2028</v>
      </c>
    </row>
    <row r="894" spans="1:15" ht="19.5" customHeight="1" x14ac:dyDescent="0.25">
      <c r="A894" s="13" t="s">
        <v>370</v>
      </c>
      <c r="B894" s="13"/>
      <c r="C894" s="13" t="s">
        <v>6274</v>
      </c>
      <c r="D894" s="13" t="s">
        <v>1883</v>
      </c>
      <c r="E894" s="13" t="s">
        <v>6272</v>
      </c>
      <c r="F894" s="13" t="s">
        <v>6271</v>
      </c>
      <c r="G894" s="13" t="s">
        <v>370</v>
      </c>
      <c r="H894" s="13" t="s">
        <v>6270</v>
      </c>
      <c r="I894" s="13" t="s">
        <v>6269</v>
      </c>
      <c r="J894" s="13" t="s">
        <v>6268</v>
      </c>
      <c r="K894" s="13" t="s">
        <v>2033</v>
      </c>
      <c r="L894" s="13"/>
      <c r="M894" s="14"/>
      <c r="N894" s="13"/>
      <c r="O894" s="13" t="s">
        <v>2028</v>
      </c>
    </row>
    <row r="895" spans="1:15" ht="19.5" customHeight="1" x14ac:dyDescent="0.25">
      <c r="A895" s="11" t="s">
        <v>370</v>
      </c>
      <c r="B895" s="11"/>
      <c r="C895" s="11" t="s">
        <v>6273</v>
      </c>
      <c r="D895" s="11" t="s">
        <v>1883</v>
      </c>
      <c r="E895" s="11" t="s">
        <v>6272</v>
      </c>
      <c r="F895" s="11" t="s">
        <v>6271</v>
      </c>
      <c r="G895" s="11" t="s">
        <v>370</v>
      </c>
      <c r="H895" s="11" t="s">
        <v>6270</v>
      </c>
      <c r="I895" s="11" t="s">
        <v>6269</v>
      </c>
      <c r="J895" s="11" t="s">
        <v>6268</v>
      </c>
      <c r="K895" s="11" t="s">
        <v>2033</v>
      </c>
      <c r="L895" s="11"/>
      <c r="M895" s="12"/>
      <c r="N895" s="11"/>
      <c r="O895" s="11" t="s">
        <v>2028</v>
      </c>
    </row>
    <row r="896" spans="1:15" ht="19.5" customHeight="1" x14ac:dyDescent="0.25">
      <c r="A896" s="13" t="s">
        <v>372</v>
      </c>
      <c r="B896" s="13"/>
      <c r="C896" s="13" t="s">
        <v>6267</v>
      </c>
      <c r="D896" s="13" t="s">
        <v>1883</v>
      </c>
      <c r="E896" s="13" t="s">
        <v>6264</v>
      </c>
      <c r="F896" s="13" t="s">
        <v>6263</v>
      </c>
      <c r="G896" s="13" t="s">
        <v>372</v>
      </c>
      <c r="H896" s="13"/>
      <c r="I896" s="13" t="s">
        <v>6262</v>
      </c>
      <c r="J896" s="13" t="s">
        <v>6261</v>
      </c>
      <c r="K896" s="13" t="s">
        <v>2033</v>
      </c>
      <c r="L896" s="13"/>
      <c r="M896" s="14"/>
      <c r="N896" s="13"/>
      <c r="O896" s="13" t="s">
        <v>2028</v>
      </c>
    </row>
    <row r="897" spans="1:15" ht="19.5" customHeight="1" x14ac:dyDescent="0.25">
      <c r="A897" s="11" t="s">
        <v>372</v>
      </c>
      <c r="B897" s="11"/>
      <c r="C897" s="11" t="s">
        <v>6266</v>
      </c>
      <c r="D897" s="11" t="s">
        <v>1883</v>
      </c>
      <c r="E897" s="11" t="s">
        <v>6264</v>
      </c>
      <c r="F897" s="11" t="s">
        <v>6263</v>
      </c>
      <c r="G897" s="11" t="s">
        <v>372</v>
      </c>
      <c r="H897" s="11"/>
      <c r="I897" s="11" t="s">
        <v>6262</v>
      </c>
      <c r="J897" s="11" t="s">
        <v>6261</v>
      </c>
      <c r="K897" s="11" t="s">
        <v>2033</v>
      </c>
      <c r="L897" s="11"/>
      <c r="M897" s="12"/>
      <c r="N897" s="11"/>
      <c r="O897" s="11" t="s">
        <v>2028</v>
      </c>
    </row>
    <row r="898" spans="1:15" ht="19.5" customHeight="1" x14ac:dyDescent="0.25">
      <c r="A898" s="13" t="s">
        <v>372</v>
      </c>
      <c r="B898" s="13"/>
      <c r="C898" s="13" t="s">
        <v>6265</v>
      </c>
      <c r="D898" s="13" t="s">
        <v>1883</v>
      </c>
      <c r="E898" s="13" t="s">
        <v>6264</v>
      </c>
      <c r="F898" s="13" t="s">
        <v>6263</v>
      </c>
      <c r="G898" s="13" t="s">
        <v>372</v>
      </c>
      <c r="H898" s="13"/>
      <c r="I898" s="13" t="s">
        <v>6262</v>
      </c>
      <c r="J898" s="13" t="s">
        <v>6261</v>
      </c>
      <c r="K898" s="13" t="s">
        <v>2033</v>
      </c>
      <c r="L898" s="13"/>
      <c r="M898" s="14"/>
      <c r="N898" s="13"/>
      <c r="O898" s="13" t="s">
        <v>2028</v>
      </c>
    </row>
    <row r="899" spans="1:15" ht="19.5" customHeight="1" x14ac:dyDescent="0.25">
      <c r="A899" s="11" t="s">
        <v>1267</v>
      </c>
      <c r="B899" s="11"/>
      <c r="C899" s="11" t="s">
        <v>6260</v>
      </c>
      <c r="D899" s="11" t="s">
        <v>1883</v>
      </c>
      <c r="E899" s="11"/>
      <c r="F899" s="11" t="s">
        <v>6258</v>
      </c>
      <c r="G899" s="11" t="s">
        <v>1267</v>
      </c>
      <c r="H899" s="11"/>
      <c r="I899" s="11" t="s">
        <v>6257</v>
      </c>
      <c r="J899" s="11" t="s">
        <v>6256</v>
      </c>
      <c r="K899" s="11" t="s">
        <v>3599</v>
      </c>
      <c r="L899" s="11"/>
      <c r="M899" s="12"/>
      <c r="N899" s="11"/>
      <c r="O899" s="11" t="s">
        <v>2028</v>
      </c>
    </row>
    <row r="900" spans="1:15" ht="19.5" customHeight="1" x14ac:dyDescent="0.25">
      <c r="A900" s="13" t="s">
        <v>1267</v>
      </c>
      <c r="B900" s="13"/>
      <c r="C900" s="13" t="s">
        <v>6259</v>
      </c>
      <c r="D900" s="13" t="s">
        <v>1883</v>
      </c>
      <c r="E900" s="13"/>
      <c r="F900" s="13" t="s">
        <v>6258</v>
      </c>
      <c r="G900" s="13" t="s">
        <v>1267</v>
      </c>
      <c r="H900" s="13"/>
      <c r="I900" s="13" t="s">
        <v>6257</v>
      </c>
      <c r="J900" s="13" t="s">
        <v>6256</v>
      </c>
      <c r="K900" s="13" t="s">
        <v>3599</v>
      </c>
      <c r="L900" s="13"/>
      <c r="M900" s="14"/>
      <c r="N900" s="13"/>
      <c r="O900" s="13" t="s">
        <v>2028</v>
      </c>
    </row>
    <row r="901" spans="1:15" ht="19.5" customHeight="1" x14ac:dyDescent="0.25">
      <c r="A901" s="11" t="s">
        <v>374</v>
      </c>
      <c r="B901" s="11"/>
      <c r="C901" s="11" t="s">
        <v>6255</v>
      </c>
      <c r="D901" s="11" t="s">
        <v>1883</v>
      </c>
      <c r="E901" s="11" t="s">
        <v>6251</v>
      </c>
      <c r="F901" s="11" t="s">
        <v>6250</v>
      </c>
      <c r="G901" s="11" t="s">
        <v>374</v>
      </c>
      <c r="H901" s="11" t="s">
        <v>6249</v>
      </c>
      <c r="I901" s="11" t="s">
        <v>6253</v>
      </c>
      <c r="J901" s="11" t="s">
        <v>6247</v>
      </c>
      <c r="K901" s="11" t="s">
        <v>1952</v>
      </c>
      <c r="L901" s="11"/>
      <c r="M901" s="12"/>
      <c r="N901" s="11"/>
      <c r="O901" s="11" t="s">
        <v>2028</v>
      </c>
    </row>
    <row r="902" spans="1:15" ht="19.5" customHeight="1" x14ac:dyDescent="0.25">
      <c r="A902" s="13" t="s">
        <v>374</v>
      </c>
      <c r="B902" s="13"/>
      <c r="C902" s="13" t="s">
        <v>6254</v>
      </c>
      <c r="D902" s="13" t="s">
        <v>1883</v>
      </c>
      <c r="E902" s="13" t="s">
        <v>6251</v>
      </c>
      <c r="F902" s="13" t="s">
        <v>6250</v>
      </c>
      <c r="G902" s="13" t="s">
        <v>374</v>
      </c>
      <c r="H902" s="13" t="s">
        <v>6249</v>
      </c>
      <c r="I902" s="13" t="s">
        <v>6253</v>
      </c>
      <c r="J902" s="13" t="s">
        <v>6247</v>
      </c>
      <c r="K902" s="13" t="s">
        <v>1952</v>
      </c>
      <c r="L902" s="13"/>
      <c r="M902" s="14"/>
      <c r="N902" s="13"/>
      <c r="O902" s="13" t="s">
        <v>2028</v>
      </c>
    </row>
    <row r="903" spans="1:15" ht="19.5" customHeight="1" x14ac:dyDescent="0.25">
      <c r="A903" s="11" t="s">
        <v>374</v>
      </c>
      <c r="B903" s="11"/>
      <c r="C903" s="11" t="s">
        <v>6252</v>
      </c>
      <c r="D903" s="11" t="s">
        <v>1883</v>
      </c>
      <c r="E903" s="11" t="s">
        <v>6251</v>
      </c>
      <c r="F903" s="11" t="s">
        <v>6250</v>
      </c>
      <c r="G903" s="11" t="s">
        <v>374</v>
      </c>
      <c r="H903" s="11" t="s">
        <v>6249</v>
      </c>
      <c r="I903" s="11" t="s">
        <v>6248</v>
      </c>
      <c r="J903" s="11" t="s">
        <v>6247</v>
      </c>
      <c r="K903" s="11" t="s">
        <v>1952</v>
      </c>
      <c r="L903" s="11"/>
      <c r="M903" s="12"/>
      <c r="N903" s="11"/>
      <c r="O903" s="11" t="s">
        <v>2028</v>
      </c>
    </row>
    <row r="904" spans="1:15" ht="19.5" customHeight="1" x14ac:dyDescent="0.25">
      <c r="A904" s="13" t="s">
        <v>1193</v>
      </c>
      <c r="B904" s="13"/>
      <c r="C904" s="13" t="s">
        <v>6246</v>
      </c>
      <c r="D904" s="13" t="s">
        <v>1883</v>
      </c>
      <c r="E904" s="13" t="s">
        <v>6245</v>
      </c>
      <c r="F904" s="13"/>
      <c r="G904" s="13" t="s">
        <v>1193</v>
      </c>
      <c r="H904" s="13"/>
      <c r="I904" s="13" t="s">
        <v>6244</v>
      </c>
      <c r="J904" s="13" t="s">
        <v>6243</v>
      </c>
      <c r="K904" s="13" t="s">
        <v>1952</v>
      </c>
      <c r="L904" s="13"/>
      <c r="M904" s="14"/>
      <c r="N904" s="13"/>
      <c r="O904" s="13" t="s">
        <v>2028</v>
      </c>
    </row>
    <row r="905" spans="1:15" ht="19.5" customHeight="1" x14ac:dyDescent="0.25">
      <c r="A905" s="11" t="s">
        <v>376</v>
      </c>
      <c r="B905" s="11"/>
      <c r="C905" s="11" t="s">
        <v>6242</v>
      </c>
      <c r="D905" s="11" t="s">
        <v>1883</v>
      </c>
      <c r="E905" s="11" t="s">
        <v>6241</v>
      </c>
      <c r="F905" s="11" t="s">
        <v>6240</v>
      </c>
      <c r="G905" s="11" t="s">
        <v>376</v>
      </c>
      <c r="H905" s="11"/>
      <c r="I905" s="11" t="s">
        <v>6239</v>
      </c>
      <c r="J905" s="11" t="s">
        <v>6238</v>
      </c>
      <c r="K905" s="11" t="s">
        <v>2122</v>
      </c>
      <c r="L905" s="11"/>
      <c r="M905" s="12"/>
      <c r="N905" s="11"/>
      <c r="O905" s="11" t="s">
        <v>2028</v>
      </c>
    </row>
    <row r="906" spans="1:15" ht="19.5" customHeight="1" x14ac:dyDescent="0.25">
      <c r="A906" s="13" t="s">
        <v>1423</v>
      </c>
      <c r="B906" s="13"/>
      <c r="C906" s="13" t="s">
        <v>6237</v>
      </c>
      <c r="D906" s="13" t="s">
        <v>1883</v>
      </c>
      <c r="E906" s="13" t="s">
        <v>6235</v>
      </c>
      <c r="F906" s="13"/>
      <c r="G906" s="13" t="s">
        <v>1423</v>
      </c>
      <c r="H906" s="13"/>
      <c r="I906" s="13" t="s">
        <v>6234</v>
      </c>
      <c r="J906" s="13" t="s">
        <v>6233</v>
      </c>
      <c r="K906" s="13" t="s">
        <v>1952</v>
      </c>
      <c r="L906" s="13"/>
      <c r="M906" s="14"/>
      <c r="N906" s="13"/>
      <c r="O906" s="13" t="s">
        <v>2028</v>
      </c>
    </row>
    <row r="907" spans="1:15" ht="19.5" customHeight="1" x14ac:dyDescent="0.25">
      <c r="A907" s="11" t="s">
        <v>1423</v>
      </c>
      <c r="B907" s="11"/>
      <c r="C907" s="11" t="s">
        <v>6236</v>
      </c>
      <c r="D907" s="11" t="s">
        <v>1883</v>
      </c>
      <c r="E907" s="11" t="s">
        <v>6235</v>
      </c>
      <c r="F907" s="11"/>
      <c r="G907" s="11" t="s">
        <v>1423</v>
      </c>
      <c r="H907" s="11"/>
      <c r="I907" s="11" t="s">
        <v>6234</v>
      </c>
      <c r="J907" s="11" t="s">
        <v>6233</v>
      </c>
      <c r="K907" s="11" t="s">
        <v>1952</v>
      </c>
      <c r="L907" s="11"/>
      <c r="M907" s="12"/>
      <c r="N907" s="11"/>
      <c r="O907" s="11" t="s">
        <v>2028</v>
      </c>
    </row>
    <row r="908" spans="1:15" ht="19.5" customHeight="1" x14ac:dyDescent="0.25">
      <c r="A908" s="13" t="s">
        <v>8944</v>
      </c>
      <c r="B908" s="13"/>
      <c r="C908" s="13" t="s">
        <v>8943</v>
      </c>
      <c r="D908" s="13" t="s">
        <v>1883</v>
      </c>
      <c r="E908" s="13" t="s">
        <v>8952</v>
      </c>
      <c r="F908" s="13" t="s">
        <v>8953</v>
      </c>
      <c r="G908" s="13" t="s">
        <v>8944</v>
      </c>
      <c r="H908" s="13"/>
      <c r="I908" s="13" t="s">
        <v>8954</v>
      </c>
      <c r="J908" s="13" t="s">
        <v>8955</v>
      </c>
      <c r="K908" s="13" t="s">
        <v>2033</v>
      </c>
      <c r="L908" s="13"/>
      <c r="M908" s="14"/>
      <c r="N908" s="13"/>
      <c r="O908" s="13" t="s">
        <v>2028</v>
      </c>
    </row>
    <row r="909" spans="1:15" ht="19.5" customHeight="1" x14ac:dyDescent="0.25">
      <c r="A909" s="11" t="s">
        <v>378</v>
      </c>
      <c r="B909" s="11"/>
      <c r="C909" s="11" t="s">
        <v>6232</v>
      </c>
      <c r="D909" s="11" t="s">
        <v>1883</v>
      </c>
      <c r="E909" s="11" t="s">
        <v>6228</v>
      </c>
      <c r="F909" s="11"/>
      <c r="G909" s="11" t="s">
        <v>378</v>
      </c>
      <c r="H909" s="11"/>
      <c r="I909" s="11"/>
      <c r="J909" s="11"/>
      <c r="K909" s="11"/>
      <c r="L909" s="11"/>
      <c r="M909" s="12"/>
      <c r="N909" s="11"/>
      <c r="O909" s="11" t="s">
        <v>1916</v>
      </c>
    </row>
    <row r="910" spans="1:15" ht="19.5" customHeight="1" x14ac:dyDescent="0.25">
      <c r="A910" s="13" t="s">
        <v>378</v>
      </c>
      <c r="B910" s="13"/>
      <c r="C910" s="13" t="s">
        <v>6231</v>
      </c>
      <c r="D910" s="13" t="s">
        <v>1883</v>
      </c>
      <c r="E910" s="13" t="s">
        <v>6228</v>
      </c>
      <c r="F910" s="13" t="s">
        <v>6227</v>
      </c>
      <c r="G910" s="13" t="s">
        <v>378</v>
      </c>
      <c r="H910" s="13" t="s">
        <v>6226</v>
      </c>
      <c r="I910" s="13" t="s">
        <v>6225</v>
      </c>
      <c r="J910" s="13" t="s">
        <v>6224</v>
      </c>
      <c r="K910" s="13" t="s">
        <v>1952</v>
      </c>
      <c r="L910" s="13"/>
      <c r="M910" s="14"/>
      <c r="N910" s="13"/>
      <c r="O910" s="13" t="s">
        <v>2028</v>
      </c>
    </row>
    <row r="911" spans="1:15" ht="19.5" customHeight="1" x14ac:dyDescent="0.25">
      <c r="A911" s="11" t="s">
        <v>378</v>
      </c>
      <c r="B911" s="11"/>
      <c r="C911" s="11" t="s">
        <v>6230</v>
      </c>
      <c r="D911" s="11" t="s">
        <v>1883</v>
      </c>
      <c r="E911" s="11" t="s">
        <v>6228</v>
      </c>
      <c r="F911" s="11" t="s">
        <v>6227</v>
      </c>
      <c r="G911" s="11" t="s">
        <v>378</v>
      </c>
      <c r="H911" s="11" t="s">
        <v>6226</v>
      </c>
      <c r="I911" s="11" t="s">
        <v>6225</v>
      </c>
      <c r="J911" s="11" t="s">
        <v>6224</v>
      </c>
      <c r="K911" s="11" t="s">
        <v>1952</v>
      </c>
      <c r="L911" s="11"/>
      <c r="M911" s="12"/>
      <c r="N911" s="11"/>
      <c r="O911" s="11" t="s">
        <v>2028</v>
      </c>
    </row>
    <row r="912" spans="1:15" ht="19.5" customHeight="1" x14ac:dyDescent="0.25">
      <c r="A912" s="13" t="s">
        <v>378</v>
      </c>
      <c r="B912" s="13"/>
      <c r="C912" s="13" t="s">
        <v>6229</v>
      </c>
      <c r="D912" s="13" t="s">
        <v>1883</v>
      </c>
      <c r="E912" s="13" t="s">
        <v>6228</v>
      </c>
      <c r="F912" s="13" t="s">
        <v>6227</v>
      </c>
      <c r="G912" s="13" t="s">
        <v>378</v>
      </c>
      <c r="H912" s="13" t="s">
        <v>6226</v>
      </c>
      <c r="I912" s="13" t="s">
        <v>6225</v>
      </c>
      <c r="J912" s="13" t="s">
        <v>6224</v>
      </c>
      <c r="K912" s="13" t="s">
        <v>1952</v>
      </c>
      <c r="L912" s="13"/>
      <c r="M912" s="14"/>
      <c r="N912" s="13"/>
      <c r="O912" s="13" t="s">
        <v>2028</v>
      </c>
    </row>
    <row r="913" spans="1:15" ht="19.5" customHeight="1" x14ac:dyDescent="0.25">
      <c r="A913" s="11" t="s">
        <v>6221</v>
      </c>
      <c r="B913" s="11"/>
      <c r="C913" s="11" t="s">
        <v>6223</v>
      </c>
      <c r="D913" s="11" t="s">
        <v>1883</v>
      </c>
      <c r="E913" s="11" t="s">
        <v>6222</v>
      </c>
      <c r="F913" s="11"/>
      <c r="G913" s="11" t="s">
        <v>6221</v>
      </c>
      <c r="H913" s="11"/>
      <c r="I913" s="11"/>
      <c r="J913" s="11"/>
      <c r="K913" s="11"/>
      <c r="L913" s="11"/>
      <c r="M913" s="12"/>
      <c r="N913" s="11"/>
      <c r="O913" s="11" t="s">
        <v>1916</v>
      </c>
    </row>
    <row r="914" spans="1:15" ht="19.5" customHeight="1" x14ac:dyDescent="0.25">
      <c r="A914" s="13" t="s">
        <v>380</v>
      </c>
      <c r="B914" s="13"/>
      <c r="C914" s="13" t="s">
        <v>6220</v>
      </c>
      <c r="D914" s="13" t="s">
        <v>1883</v>
      </c>
      <c r="E914" s="13" t="s">
        <v>6217</v>
      </c>
      <c r="F914" s="13" t="s">
        <v>6216</v>
      </c>
      <c r="G914" s="13" t="s">
        <v>380</v>
      </c>
      <c r="H914" s="13" t="s">
        <v>6215</v>
      </c>
      <c r="I914" s="13" t="s">
        <v>5371</v>
      </c>
      <c r="J914" s="13" t="s">
        <v>6214</v>
      </c>
      <c r="K914" s="13" t="s">
        <v>1952</v>
      </c>
      <c r="L914" s="13"/>
      <c r="M914" s="14"/>
      <c r="N914" s="13"/>
      <c r="O914" s="13" t="s">
        <v>2028</v>
      </c>
    </row>
    <row r="915" spans="1:15" ht="19.5" customHeight="1" x14ac:dyDescent="0.25">
      <c r="A915" s="11" t="s">
        <v>380</v>
      </c>
      <c r="B915" s="11"/>
      <c r="C915" s="11" t="s">
        <v>6219</v>
      </c>
      <c r="D915" s="11" t="s">
        <v>1883</v>
      </c>
      <c r="E915" s="11" t="s">
        <v>6217</v>
      </c>
      <c r="F915" s="11" t="s">
        <v>6216</v>
      </c>
      <c r="G915" s="11" t="s">
        <v>380</v>
      </c>
      <c r="H915" s="11" t="s">
        <v>6215</v>
      </c>
      <c r="I915" s="11" t="s">
        <v>5371</v>
      </c>
      <c r="J915" s="11" t="s">
        <v>6214</v>
      </c>
      <c r="K915" s="11" t="s">
        <v>1952</v>
      </c>
      <c r="L915" s="11"/>
      <c r="M915" s="12"/>
      <c r="N915" s="11"/>
      <c r="O915" s="11" t="s">
        <v>2028</v>
      </c>
    </row>
    <row r="916" spans="1:15" ht="19.5" customHeight="1" x14ac:dyDescent="0.25">
      <c r="A916" s="13" t="s">
        <v>380</v>
      </c>
      <c r="B916" s="13"/>
      <c r="C916" s="13" t="s">
        <v>6218</v>
      </c>
      <c r="D916" s="13" t="s">
        <v>1883</v>
      </c>
      <c r="E916" s="13" t="s">
        <v>6217</v>
      </c>
      <c r="F916" s="13" t="s">
        <v>6216</v>
      </c>
      <c r="G916" s="13" t="s">
        <v>380</v>
      </c>
      <c r="H916" s="13" t="s">
        <v>6215</v>
      </c>
      <c r="I916" s="13" t="s">
        <v>5371</v>
      </c>
      <c r="J916" s="13" t="s">
        <v>6214</v>
      </c>
      <c r="K916" s="13" t="s">
        <v>1952</v>
      </c>
      <c r="L916" s="13"/>
      <c r="M916" s="14"/>
      <c r="N916" s="13"/>
      <c r="O916" s="13" t="s">
        <v>2028</v>
      </c>
    </row>
    <row r="917" spans="1:15" ht="19.5" customHeight="1" x14ac:dyDescent="0.25">
      <c r="A917" s="11" t="s">
        <v>1829</v>
      </c>
      <c r="B917" s="11"/>
      <c r="C917" s="11" t="s">
        <v>1828</v>
      </c>
      <c r="D917" s="11" t="s">
        <v>1883</v>
      </c>
      <c r="E917" s="11" t="s">
        <v>6213</v>
      </c>
      <c r="F917" s="11" t="s">
        <v>6212</v>
      </c>
      <c r="G917" s="11" t="s">
        <v>1829</v>
      </c>
      <c r="H917" s="11"/>
      <c r="I917" s="11" t="s">
        <v>6211</v>
      </c>
      <c r="J917" s="11" t="s">
        <v>6210</v>
      </c>
      <c r="K917" s="11" t="s">
        <v>1952</v>
      </c>
      <c r="L917" s="11"/>
      <c r="M917" s="12"/>
      <c r="N917" s="11"/>
      <c r="O917" s="11" t="s">
        <v>2028</v>
      </c>
    </row>
    <row r="918" spans="1:15" ht="19.5" customHeight="1" x14ac:dyDescent="0.25">
      <c r="A918" s="13" t="s">
        <v>382</v>
      </c>
      <c r="B918" s="13"/>
      <c r="C918" s="13" t="s">
        <v>6209</v>
      </c>
      <c r="D918" s="13" t="s">
        <v>1883</v>
      </c>
      <c r="E918" s="13" t="s">
        <v>6208</v>
      </c>
      <c r="F918" s="13"/>
      <c r="G918" s="13" t="s">
        <v>382</v>
      </c>
      <c r="H918" s="13"/>
      <c r="I918" s="13"/>
      <c r="J918" s="13"/>
      <c r="K918" s="13"/>
      <c r="L918" s="13"/>
      <c r="M918" s="14"/>
      <c r="N918" s="13"/>
      <c r="O918" s="13" t="s">
        <v>1945</v>
      </c>
    </row>
    <row r="919" spans="1:15" ht="19.5" customHeight="1" x14ac:dyDescent="0.25">
      <c r="A919" s="11" t="s">
        <v>382</v>
      </c>
      <c r="B919" s="11"/>
      <c r="C919" s="11" t="s">
        <v>6207</v>
      </c>
      <c r="D919" s="11" t="s">
        <v>1883</v>
      </c>
      <c r="E919" s="11" t="s">
        <v>6206</v>
      </c>
      <c r="F919" s="11" t="s">
        <v>6205</v>
      </c>
      <c r="G919" s="11" t="s">
        <v>382</v>
      </c>
      <c r="H919" s="11"/>
      <c r="I919" s="11" t="s">
        <v>3978</v>
      </c>
      <c r="J919" s="11" t="s">
        <v>6204</v>
      </c>
      <c r="K919" s="11" t="s">
        <v>1952</v>
      </c>
      <c r="L919" s="11"/>
      <c r="M919" s="12"/>
      <c r="N919" s="11"/>
      <c r="O919" s="11" t="s">
        <v>2028</v>
      </c>
    </row>
    <row r="920" spans="1:15" ht="19.5" customHeight="1" x14ac:dyDescent="0.25">
      <c r="A920" s="13" t="s">
        <v>384</v>
      </c>
      <c r="B920" s="13"/>
      <c r="C920" s="13" t="s">
        <v>6203</v>
      </c>
      <c r="D920" s="13" t="s">
        <v>1883</v>
      </c>
      <c r="E920" s="13" t="s">
        <v>6200</v>
      </c>
      <c r="F920" s="13" t="s">
        <v>6199</v>
      </c>
      <c r="G920" s="13" t="s">
        <v>384</v>
      </c>
      <c r="H920" s="13" t="s">
        <v>6198</v>
      </c>
      <c r="I920" s="13" t="s">
        <v>6197</v>
      </c>
      <c r="J920" s="13" t="s">
        <v>6196</v>
      </c>
      <c r="K920" s="13" t="s">
        <v>1952</v>
      </c>
      <c r="L920" s="13"/>
      <c r="M920" s="14"/>
      <c r="N920" s="13"/>
      <c r="O920" s="13" t="s">
        <v>2028</v>
      </c>
    </row>
    <row r="921" spans="1:15" ht="19.5" customHeight="1" x14ac:dyDescent="0.25">
      <c r="A921" s="11" t="s">
        <v>384</v>
      </c>
      <c r="B921" s="11"/>
      <c r="C921" s="11" t="s">
        <v>6202</v>
      </c>
      <c r="D921" s="11" t="s">
        <v>1883</v>
      </c>
      <c r="E921" s="11" t="s">
        <v>6200</v>
      </c>
      <c r="F921" s="11" t="s">
        <v>6199</v>
      </c>
      <c r="G921" s="11" t="s">
        <v>384</v>
      </c>
      <c r="H921" s="11" t="s">
        <v>6198</v>
      </c>
      <c r="I921" s="11" t="s">
        <v>6197</v>
      </c>
      <c r="J921" s="11" t="s">
        <v>6196</v>
      </c>
      <c r="K921" s="11" t="s">
        <v>1952</v>
      </c>
      <c r="L921" s="11"/>
      <c r="M921" s="12"/>
      <c r="N921" s="11"/>
      <c r="O921" s="11" t="s">
        <v>2028</v>
      </c>
    </row>
    <row r="922" spans="1:15" ht="19.5" customHeight="1" x14ac:dyDescent="0.25">
      <c r="A922" s="13" t="s">
        <v>384</v>
      </c>
      <c r="B922" s="13"/>
      <c r="C922" s="13" t="s">
        <v>6201</v>
      </c>
      <c r="D922" s="13" t="s">
        <v>1883</v>
      </c>
      <c r="E922" s="13" t="s">
        <v>6200</v>
      </c>
      <c r="F922" s="13" t="s">
        <v>6199</v>
      </c>
      <c r="G922" s="13" t="s">
        <v>384</v>
      </c>
      <c r="H922" s="13" t="s">
        <v>6198</v>
      </c>
      <c r="I922" s="13" t="s">
        <v>6197</v>
      </c>
      <c r="J922" s="13" t="s">
        <v>6196</v>
      </c>
      <c r="K922" s="13" t="s">
        <v>1952</v>
      </c>
      <c r="L922" s="13"/>
      <c r="M922" s="14"/>
      <c r="N922" s="13"/>
      <c r="O922" s="13" t="s">
        <v>2028</v>
      </c>
    </row>
    <row r="923" spans="1:15" ht="19.5" customHeight="1" x14ac:dyDescent="0.25">
      <c r="A923" s="11" t="s">
        <v>386</v>
      </c>
      <c r="B923" s="11"/>
      <c r="C923" s="11" t="s">
        <v>6195</v>
      </c>
      <c r="D923" s="11" t="s">
        <v>1883</v>
      </c>
      <c r="E923" s="11" t="s">
        <v>6190</v>
      </c>
      <c r="F923" s="11" t="s">
        <v>6189</v>
      </c>
      <c r="G923" s="11" t="s">
        <v>6192</v>
      </c>
      <c r="H923" s="11"/>
      <c r="I923" s="11" t="s">
        <v>6188</v>
      </c>
      <c r="J923" s="11" t="s">
        <v>6187</v>
      </c>
      <c r="K923" s="11" t="s">
        <v>2033</v>
      </c>
      <c r="L923" s="11"/>
      <c r="M923" s="12"/>
      <c r="N923" s="11"/>
      <c r="O923" s="11" t="s">
        <v>2028</v>
      </c>
    </row>
    <row r="924" spans="1:15" ht="19.5" customHeight="1" x14ac:dyDescent="0.25">
      <c r="A924" s="13" t="s">
        <v>386</v>
      </c>
      <c r="B924" s="13"/>
      <c r="C924" s="13" t="s">
        <v>6194</v>
      </c>
      <c r="D924" s="13" t="s">
        <v>1883</v>
      </c>
      <c r="E924" s="13" t="s">
        <v>6190</v>
      </c>
      <c r="F924" s="13" t="s">
        <v>6189</v>
      </c>
      <c r="G924" s="13" t="s">
        <v>6192</v>
      </c>
      <c r="H924" s="13"/>
      <c r="I924" s="13" t="s">
        <v>6188</v>
      </c>
      <c r="J924" s="13" t="s">
        <v>6187</v>
      </c>
      <c r="K924" s="13" t="s">
        <v>2033</v>
      </c>
      <c r="L924" s="13"/>
      <c r="M924" s="14"/>
      <c r="N924" s="13"/>
      <c r="O924" s="13" t="s">
        <v>2028</v>
      </c>
    </row>
    <row r="925" spans="1:15" ht="19.5" customHeight="1" x14ac:dyDescent="0.25">
      <c r="A925" s="11" t="s">
        <v>386</v>
      </c>
      <c r="B925" s="11"/>
      <c r="C925" s="11" t="s">
        <v>6193</v>
      </c>
      <c r="D925" s="11" t="s">
        <v>1883</v>
      </c>
      <c r="E925" s="11" t="s">
        <v>6190</v>
      </c>
      <c r="F925" s="11" t="s">
        <v>6189</v>
      </c>
      <c r="G925" s="11" t="s">
        <v>6192</v>
      </c>
      <c r="H925" s="11"/>
      <c r="I925" s="11" t="s">
        <v>6188</v>
      </c>
      <c r="J925" s="11" t="s">
        <v>6187</v>
      </c>
      <c r="K925" s="11" t="s">
        <v>2033</v>
      </c>
      <c r="L925" s="11"/>
      <c r="M925" s="12"/>
      <c r="N925" s="11"/>
      <c r="O925" s="11" t="s">
        <v>2028</v>
      </c>
    </row>
    <row r="926" spans="1:15" ht="19.5" customHeight="1" x14ac:dyDescent="0.25">
      <c r="A926" s="13" t="s">
        <v>386</v>
      </c>
      <c r="B926" s="13"/>
      <c r="C926" s="13" t="s">
        <v>6191</v>
      </c>
      <c r="D926" s="13" t="s">
        <v>1883</v>
      </c>
      <c r="E926" s="13" t="s">
        <v>6190</v>
      </c>
      <c r="F926" s="13" t="s">
        <v>6189</v>
      </c>
      <c r="G926" s="13" t="s">
        <v>386</v>
      </c>
      <c r="H926" s="13"/>
      <c r="I926" s="13" t="s">
        <v>6188</v>
      </c>
      <c r="J926" s="13" t="s">
        <v>6187</v>
      </c>
      <c r="K926" s="13" t="s">
        <v>2033</v>
      </c>
      <c r="L926" s="13"/>
      <c r="M926" s="14"/>
      <c r="N926" s="13"/>
      <c r="O926" s="13" t="s">
        <v>1945</v>
      </c>
    </row>
    <row r="927" spans="1:15" ht="19.5" customHeight="1" x14ac:dyDescent="0.25">
      <c r="A927" s="11" t="s">
        <v>1698</v>
      </c>
      <c r="B927" s="11"/>
      <c r="C927" s="11" t="s">
        <v>6186</v>
      </c>
      <c r="D927" s="11" t="s">
        <v>1883</v>
      </c>
      <c r="E927" s="11" t="s">
        <v>6185</v>
      </c>
      <c r="F927" s="11"/>
      <c r="G927" s="11" t="s">
        <v>1698</v>
      </c>
      <c r="H927" s="11"/>
      <c r="I927" s="11" t="s">
        <v>6184</v>
      </c>
      <c r="J927" s="11" t="s">
        <v>6183</v>
      </c>
      <c r="K927" s="11" t="s">
        <v>2033</v>
      </c>
      <c r="L927" s="11"/>
      <c r="M927" s="12"/>
      <c r="N927" s="11"/>
      <c r="O927" s="11" t="s">
        <v>2028</v>
      </c>
    </row>
    <row r="928" spans="1:15" ht="19.5" customHeight="1" x14ac:dyDescent="0.25">
      <c r="A928" s="13" t="s">
        <v>6179</v>
      </c>
      <c r="B928" s="13"/>
      <c r="C928" s="13" t="s">
        <v>6182</v>
      </c>
      <c r="D928" s="13" t="s">
        <v>1883</v>
      </c>
      <c r="E928" s="13" t="s">
        <v>6181</v>
      </c>
      <c r="F928" s="13" t="s">
        <v>6180</v>
      </c>
      <c r="G928" s="13" t="s">
        <v>6179</v>
      </c>
      <c r="H928" s="13" t="s">
        <v>6178</v>
      </c>
      <c r="I928" s="13" t="s">
        <v>6128</v>
      </c>
      <c r="J928" s="13" t="s">
        <v>6177</v>
      </c>
      <c r="K928" s="13" t="s">
        <v>1952</v>
      </c>
      <c r="L928" s="13"/>
      <c r="M928" s="14"/>
      <c r="N928" s="13"/>
      <c r="O928" s="13" t="s">
        <v>1945</v>
      </c>
    </row>
    <row r="929" spans="1:15" ht="19.5" customHeight="1" x14ac:dyDescent="0.25">
      <c r="A929" s="11" t="s">
        <v>6172</v>
      </c>
      <c r="B929" s="11"/>
      <c r="C929" s="11" t="s">
        <v>6176</v>
      </c>
      <c r="D929" s="11" t="s">
        <v>1883</v>
      </c>
      <c r="E929" s="11" t="s">
        <v>6173</v>
      </c>
      <c r="F929" s="11" t="s">
        <v>6175</v>
      </c>
      <c r="G929" s="11" t="s">
        <v>6172</v>
      </c>
      <c r="H929" s="11"/>
      <c r="I929" s="11"/>
      <c r="J929" s="11"/>
      <c r="K929" s="11"/>
      <c r="L929" s="11"/>
      <c r="M929" s="12"/>
      <c r="N929" s="11"/>
      <c r="O929" s="11" t="s">
        <v>1916</v>
      </c>
    </row>
    <row r="930" spans="1:15" ht="19.5" customHeight="1" x14ac:dyDescent="0.25">
      <c r="A930" s="13" t="s">
        <v>6172</v>
      </c>
      <c r="B930" s="13"/>
      <c r="C930" s="13" t="s">
        <v>6174</v>
      </c>
      <c r="D930" s="13" t="s">
        <v>1883</v>
      </c>
      <c r="E930" s="13" t="s">
        <v>6173</v>
      </c>
      <c r="F930" s="13"/>
      <c r="G930" s="13" t="s">
        <v>6172</v>
      </c>
      <c r="H930" s="13"/>
      <c r="I930" s="13" t="s">
        <v>6171</v>
      </c>
      <c r="J930" s="13" t="s">
        <v>6170</v>
      </c>
      <c r="K930" s="13" t="s">
        <v>1952</v>
      </c>
      <c r="L930" s="13"/>
      <c r="M930" s="14"/>
      <c r="N930" s="13"/>
      <c r="O930" s="13" t="s">
        <v>2028</v>
      </c>
    </row>
    <row r="931" spans="1:15" ht="19.5" customHeight="1" x14ac:dyDescent="0.25">
      <c r="A931" s="11" t="s">
        <v>1092</v>
      </c>
      <c r="B931" s="11"/>
      <c r="C931" s="11" t="s">
        <v>1091</v>
      </c>
      <c r="D931" s="11" t="s">
        <v>1883</v>
      </c>
      <c r="E931" s="11" t="s">
        <v>6169</v>
      </c>
      <c r="F931" s="11" t="s">
        <v>6168</v>
      </c>
      <c r="G931" s="11" t="s">
        <v>1092</v>
      </c>
      <c r="H931" s="11" t="s">
        <v>6167</v>
      </c>
      <c r="I931" s="11" t="s">
        <v>6166</v>
      </c>
      <c r="J931" s="11" t="s">
        <v>6165</v>
      </c>
      <c r="K931" s="11" t="s">
        <v>3599</v>
      </c>
      <c r="L931" s="11"/>
      <c r="M931" s="12"/>
      <c r="N931" s="11"/>
      <c r="O931" s="11" t="s">
        <v>1945</v>
      </c>
    </row>
    <row r="932" spans="1:15" ht="19.5" customHeight="1" x14ac:dyDescent="0.25">
      <c r="A932" s="13" t="s">
        <v>388</v>
      </c>
      <c r="B932" s="13"/>
      <c r="C932" s="13" t="s">
        <v>6164</v>
      </c>
      <c r="D932" s="13" t="s">
        <v>1883</v>
      </c>
      <c r="E932" s="13" t="s">
        <v>6161</v>
      </c>
      <c r="F932" s="13" t="s">
        <v>6160</v>
      </c>
      <c r="G932" s="13" t="s">
        <v>388</v>
      </c>
      <c r="H932" s="13"/>
      <c r="I932" s="13" t="s">
        <v>6159</v>
      </c>
      <c r="J932" s="13" t="s">
        <v>6158</v>
      </c>
      <c r="K932" s="13" t="s">
        <v>1952</v>
      </c>
      <c r="L932" s="13"/>
      <c r="M932" s="14"/>
      <c r="N932" s="13"/>
      <c r="O932" s="13" t="s">
        <v>2028</v>
      </c>
    </row>
    <row r="933" spans="1:15" ht="19.5" customHeight="1" x14ac:dyDescent="0.25">
      <c r="A933" s="11" t="s">
        <v>388</v>
      </c>
      <c r="B933" s="11"/>
      <c r="C933" s="11" t="s">
        <v>6163</v>
      </c>
      <c r="D933" s="11" t="s">
        <v>1883</v>
      </c>
      <c r="E933" s="11" t="s">
        <v>6161</v>
      </c>
      <c r="F933" s="11" t="s">
        <v>6160</v>
      </c>
      <c r="G933" s="11" t="s">
        <v>388</v>
      </c>
      <c r="H933" s="11"/>
      <c r="I933" s="11" t="s">
        <v>6159</v>
      </c>
      <c r="J933" s="11" t="s">
        <v>6158</v>
      </c>
      <c r="K933" s="11" t="s">
        <v>1952</v>
      </c>
      <c r="L933" s="11"/>
      <c r="M933" s="12"/>
      <c r="N933" s="11"/>
      <c r="O933" s="11" t="s">
        <v>2028</v>
      </c>
    </row>
    <row r="934" spans="1:15" ht="19.5" customHeight="1" x14ac:dyDescent="0.25">
      <c r="A934" s="13" t="s">
        <v>388</v>
      </c>
      <c r="B934" s="13"/>
      <c r="C934" s="13" t="s">
        <v>6162</v>
      </c>
      <c r="D934" s="13" t="s">
        <v>1883</v>
      </c>
      <c r="E934" s="13" t="s">
        <v>6161</v>
      </c>
      <c r="F934" s="13" t="s">
        <v>6160</v>
      </c>
      <c r="G934" s="13" t="s">
        <v>388</v>
      </c>
      <c r="H934" s="13"/>
      <c r="I934" s="13" t="s">
        <v>6159</v>
      </c>
      <c r="J934" s="13" t="s">
        <v>6158</v>
      </c>
      <c r="K934" s="13" t="s">
        <v>1952</v>
      </c>
      <c r="L934" s="13"/>
      <c r="M934" s="14"/>
      <c r="N934" s="13"/>
      <c r="O934" s="13" t="s">
        <v>2028</v>
      </c>
    </row>
    <row r="935" spans="1:15" ht="19.5" customHeight="1" x14ac:dyDescent="0.25">
      <c r="A935" s="11" t="s">
        <v>390</v>
      </c>
      <c r="B935" s="11"/>
      <c r="C935" s="11" t="s">
        <v>6157</v>
      </c>
      <c r="D935" s="11" t="s">
        <v>1883</v>
      </c>
      <c r="E935" s="11" t="s">
        <v>6153</v>
      </c>
      <c r="F935" s="11" t="s">
        <v>6152</v>
      </c>
      <c r="G935" s="11" t="s">
        <v>390</v>
      </c>
      <c r="H935" s="11"/>
      <c r="I935" s="11" t="s">
        <v>6151</v>
      </c>
      <c r="J935" s="11" t="s">
        <v>6155</v>
      </c>
      <c r="K935" s="11" t="s">
        <v>1952</v>
      </c>
      <c r="L935" s="11"/>
      <c r="M935" s="12"/>
      <c r="N935" s="11"/>
      <c r="O935" s="11" t="s">
        <v>2028</v>
      </c>
    </row>
    <row r="936" spans="1:15" ht="19.5" customHeight="1" x14ac:dyDescent="0.25">
      <c r="A936" s="13" t="s">
        <v>390</v>
      </c>
      <c r="B936" s="13"/>
      <c r="C936" s="13" t="s">
        <v>6156</v>
      </c>
      <c r="D936" s="13" t="s">
        <v>1883</v>
      </c>
      <c r="E936" s="13" t="s">
        <v>6153</v>
      </c>
      <c r="F936" s="13" t="s">
        <v>6152</v>
      </c>
      <c r="G936" s="13" t="s">
        <v>390</v>
      </c>
      <c r="H936" s="13"/>
      <c r="I936" s="13" t="s">
        <v>6151</v>
      </c>
      <c r="J936" s="13" t="s">
        <v>6155</v>
      </c>
      <c r="K936" s="13" t="s">
        <v>1952</v>
      </c>
      <c r="L936" s="13"/>
      <c r="M936" s="14"/>
      <c r="N936" s="13"/>
      <c r="O936" s="13" t="s">
        <v>2028</v>
      </c>
    </row>
    <row r="937" spans="1:15" ht="19.5" customHeight="1" x14ac:dyDescent="0.25">
      <c r="A937" s="11" t="s">
        <v>390</v>
      </c>
      <c r="B937" s="11"/>
      <c r="C937" s="11" t="s">
        <v>6154</v>
      </c>
      <c r="D937" s="11" t="s">
        <v>1883</v>
      </c>
      <c r="E937" s="11" t="s">
        <v>6153</v>
      </c>
      <c r="F937" s="11" t="s">
        <v>6152</v>
      </c>
      <c r="G937" s="11" t="s">
        <v>390</v>
      </c>
      <c r="H937" s="11"/>
      <c r="I937" s="11" t="s">
        <v>6151</v>
      </c>
      <c r="J937" s="11" t="s">
        <v>6150</v>
      </c>
      <c r="K937" s="11" t="s">
        <v>1952</v>
      </c>
      <c r="L937" s="11"/>
      <c r="M937" s="12"/>
      <c r="N937" s="11"/>
      <c r="O937" s="11" t="s">
        <v>2028</v>
      </c>
    </row>
    <row r="938" spans="1:15" ht="19.5" customHeight="1" x14ac:dyDescent="0.25">
      <c r="A938" s="13" t="s">
        <v>1534</v>
      </c>
      <c r="B938" s="13"/>
      <c r="C938" s="13" t="s">
        <v>6149</v>
      </c>
      <c r="D938" s="13" t="s">
        <v>1883</v>
      </c>
      <c r="E938" s="13" t="s">
        <v>6148</v>
      </c>
      <c r="F938" s="13"/>
      <c r="G938" s="13" t="s">
        <v>1534</v>
      </c>
      <c r="H938" s="13"/>
      <c r="I938" s="13" t="s">
        <v>6147</v>
      </c>
      <c r="J938" s="13" t="s">
        <v>6146</v>
      </c>
      <c r="K938" s="13" t="s">
        <v>1952</v>
      </c>
      <c r="L938" s="13"/>
      <c r="M938" s="14"/>
      <c r="N938" s="13"/>
      <c r="O938" s="13" t="s">
        <v>2028</v>
      </c>
    </row>
    <row r="939" spans="1:15" ht="19.5" customHeight="1" x14ac:dyDescent="0.25">
      <c r="A939" s="11" t="s">
        <v>6143</v>
      </c>
      <c r="B939" s="11"/>
      <c r="C939" s="11" t="s">
        <v>6145</v>
      </c>
      <c r="D939" s="11" t="s">
        <v>1883</v>
      </c>
      <c r="E939" s="11" t="s">
        <v>6144</v>
      </c>
      <c r="F939" s="11"/>
      <c r="G939" s="11" t="s">
        <v>6143</v>
      </c>
      <c r="H939" s="11"/>
      <c r="I939" s="11"/>
      <c r="J939" s="11"/>
      <c r="K939" s="11"/>
      <c r="L939" s="11"/>
      <c r="M939" s="12"/>
      <c r="N939" s="11"/>
      <c r="O939" s="11" t="s">
        <v>2028</v>
      </c>
    </row>
    <row r="940" spans="1:15" ht="19.5" customHeight="1" x14ac:dyDescent="0.25">
      <c r="A940" s="13" t="s">
        <v>1716</v>
      </c>
      <c r="B940" s="13"/>
      <c r="C940" s="13" t="s">
        <v>6142</v>
      </c>
      <c r="D940" s="13" t="s">
        <v>1883</v>
      </c>
      <c r="E940" s="13" t="s">
        <v>6141</v>
      </c>
      <c r="F940" s="13"/>
      <c r="G940" s="13" t="s">
        <v>1716</v>
      </c>
      <c r="H940" s="13"/>
      <c r="I940" s="13" t="s">
        <v>6140</v>
      </c>
      <c r="J940" s="13" t="s">
        <v>6139</v>
      </c>
      <c r="K940" s="13" t="s">
        <v>2033</v>
      </c>
      <c r="L940" s="13"/>
      <c r="M940" s="14"/>
      <c r="N940" s="13"/>
      <c r="O940" s="13" t="s">
        <v>2028</v>
      </c>
    </row>
    <row r="941" spans="1:15" ht="19.5" customHeight="1" x14ac:dyDescent="0.25">
      <c r="A941" s="11" t="s">
        <v>6136</v>
      </c>
      <c r="B941" s="11"/>
      <c r="C941" s="11" t="s">
        <v>6138</v>
      </c>
      <c r="D941" s="11" t="s">
        <v>1883</v>
      </c>
      <c r="E941" s="11" t="s">
        <v>6137</v>
      </c>
      <c r="F941" s="11"/>
      <c r="G941" s="11" t="s">
        <v>6136</v>
      </c>
      <c r="H941" s="11"/>
      <c r="I941" s="11" t="s">
        <v>6135</v>
      </c>
      <c r="J941" s="11" t="s">
        <v>6134</v>
      </c>
      <c r="K941" s="11" t="s">
        <v>2033</v>
      </c>
      <c r="L941" s="11"/>
      <c r="M941" s="12"/>
      <c r="N941" s="11"/>
      <c r="O941" s="11" t="s">
        <v>2028</v>
      </c>
    </row>
    <row r="942" spans="1:15" ht="19.5" customHeight="1" x14ac:dyDescent="0.25">
      <c r="A942" s="13" t="s">
        <v>1742</v>
      </c>
      <c r="B942" s="13"/>
      <c r="C942" s="13" t="s">
        <v>6133</v>
      </c>
      <c r="D942" s="13" t="s">
        <v>1883</v>
      </c>
      <c r="E942" s="13" t="s">
        <v>6132</v>
      </c>
      <c r="F942" s="13"/>
      <c r="G942" s="13" t="s">
        <v>1742</v>
      </c>
      <c r="H942" s="13"/>
      <c r="I942" s="13" t="s">
        <v>4036</v>
      </c>
      <c r="J942" s="13" t="s">
        <v>6131</v>
      </c>
      <c r="K942" s="13" t="s">
        <v>1952</v>
      </c>
      <c r="L942" s="13"/>
      <c r="M942" s="14"/>
      <c r="N942" s="13"/>
      <c r="O942" s="13" t="s">
        <v>2028</v>
      </c>
    </row>
    <row r="943" spans="1:15" ht="19.5" customHeight="1" x14ac:dyDescent="0.25">
      <c r="A943" s="11" t="s">
        <v>392</v>
      </c>
      <c r="B943" s="11"/>
      <c r="C943" s="11" t="s">
        <v>6130</v>
      </c>
      <c r="D943" s="11" t="s">
        <v>1883</v>
      </c>
      <c r="E943" s="11" t="s">
        <v>6129</v>
      </c>
      <c r="F943" s="11"/>
      <c r="G943" s="11" t="s">
        <v>392</v>
      </c>
      <c r="H943" s="11"/>
      <c r="I943" s="11" t="s">
        <v>6128</v>
      </c>
      <c r="J943" s="11" t="s">
        <v>6123</v>
      </c>
      <c r="K943" s="11" t="s">
        <v>1952</v>
      </c>
      <c r="L943" s="11"/>
      <c r="M943" s="12"/>
      <c r="N943" s="11"/>
      <c r="O943" s="11" t="s">
        <v>2028</v>
      </c>
    </row>
    <row r="944" spans="1:15" ht="19.5" customHeight="1" x14ac:dyDescent="0.25">
      <c r="A944" s="13" t="s">
        <v>392</v>
      </c>
      <c r="B944" s="13"/>
      <c r="C944" s="13" t="s">
        <v>6127</v>
      </c>
      <c r="D944" s="13" t="s">
        <v>1883</v>
      </c>
      <c r="E944" s="13" t="s">
        <v>6126</v>
      </c>
      <c r="F944" s="13" t="s">
        <v>6125</v>
      </c>
      <c r="G944" s="13" t="s">
        <v>392</v>
      </c>
      <c r="H944" s="13"/>
      <c r="I944" s="13" t="s">
        <v>6124</v>
      </c>
      <c r="J944" s="13" t="s">
        <v>6123</v>
      </c>
      <c r="K944" s="13" t="s">
        <v>1952</v>
      </c>
      <c r="L944" s="13"/>
      <c r="M944" s="14"/>
      <c r="N944" s="13"/>
      <c r="O944" s="13" t="s">
        <v>2028</v>
      </c>
    </row>
    <row r="945" spans="1:15" ht="19.5" customHeight="1" x14ac:dyDescent="0.25">
      <c r="A945" s="11" t="s">
        <v>8767</v>
      </c>
      <c r="B945" s="11"/>
      <c r="C945" s="11" t="s">
        <v>8768</v>
      </c>
      <c r="D945" s="11" t="s">
        <v>1883</v>
      </c>
      <c r="E945" s="11" t="s">
        <v>8769</v>
      </c>
      <c r="F945" s="11" t="s">
        <v>8770</v>
      </c>
      <c r="G945" s="11" t="s">
        <v>8767</v>
      </c>
      <c r="H945" s="11"/>
      <c r="I945" s="11" t="s">
        <v>8771</v>
      </c>
      <c r="J945" s="11" t="s">
        <v>8772</v>
      </c>
      <c r="K945" s="11" t="s">
        <v>3599</v>
      </c>
      <c r="L945" s="11"/>
      <c r="M945" s="12"/>
      <c r="N945" s="11"/>
      <c r="O945" s="11"/>
    </row>
    <row r="946" spans="1:15" ht="19.5" customHeight="1" x14ac:dyDescent="0.25">
      <c r="A946" s="13" t="s">
        <v>1235</v>
      </c>
      <c r="B946" s="13"/>
      <c r="C946" s="13" t="s">
        <v>6122</v>
      </c>
      <c r="D946" s="13" t="s">
        <v>1883</v>
      </c>
      <c r="E946" s="13" t="s">
        <v>6121</v>
      </c>
      <c r="F946" s="13"/>
      <c r="G946" s="13" t="s">
        <v>1235</v>
      </c>
      <c r="H946" s="13"/>
      <c r="I946" s="13" t="s">
        <v>6120</v>
      </c>
      <c r="J946" s="13" t="s">
        <v>6119</v>
      </c>
      <c r="K946" s="13" t="s">
        <v>2033</v>
      </c>
      <c r="L946" s="13"/>
      <c r="M946" s="14"/>
      <c r="N946" s="13"/>
      <c r="O946" s="13" t="s">
        <v>2028</v>
      </c>
    </row>
    <row r="947" spans="1:15" ht="19.5" customHeight="1" x14ac:dyDescent="0.25">
      <c r="A947" s="11" t="s">
        <v>1655</v>
      </c>
      <c r="B947" s="11"/>
      <c r="C947" s="11" t="s">
        <v>6118</v>
      </c>
      <c r="D947" s="11" t="s">
        <v>1883</v>
      </c>
      <c r="E947" s="11" t="s">
        <v>6117</v>
      </c>
      <c r="F947" s="11"/>
      <c r="G947" s="11" t="s">
        <v>1655</v>
      </c>
      <c r="H947" s="11"/>
      <c r="I947" s="11" t="s">
        <v>6116</v>
      </c>
      <c r="J947" s="11" t="s">
        <v>6115</v>
      </c>
      <c r="K947" s="11" t="s">
        <v>3599</v>
      </c>
      <c r="L947" s="11"/>
      <c r="M947" s="12"/>
      <c r="N947" s="11"/>
      <c r="O947" s="11" t="s">
        <v>2028</v>
      </c>
    </row>
    <row r="948" spans="1:15" ht="19.5" customHeight="1" x14ac:dyDescent="0.25">
      <c r="A948" s="13" t="s">
        <v>394</v>
      </c>
      <c r="B948" s="13"/>
      <c r="C948" s="13" t="s">
        <v>6114</v>
      </c>
      <c r="D948" s="13" t="s">
        <v>1883</v>
      </c>
      <c r="E948" s="13" t="s">
        <v>6111</v>
      </c>
      <c r="F948" s="13"/>
      <c r="G948" s="13" t="s">
        <v>394</v>
      </c>
      <c r="H948" s="13" t="s">
        <v>6110</v>
      </c>
      <c r="I948" s="13" t="s">
        <v>6109</v>
      </c>
      <c r="J948" s="13" t="s">
        <v>6108</v>
      </c>
      <c r="K948" s="13" t="s">
        <v>3599</v>
      </c>
      <c r="L948" s="13"/>
      <c r="M948" s="14"/>
      <c r="N948" s="13"/>
      <c r="O948" s="13" t="s">
        <v>2028</v>
      </c>
    </row>
    <row r="949" spans="1:15" ht="19.5" customHeight="1" x14ac:dyDescent="0.25">
      <c r="A949" s="11" t="s">
        <v>394</v>
      </c>
      <c r="B949" s="11"/>
      <c r="C949" s="11" t="s">
        <v>6113</v>
      </c>
      <c r="D949" s="11" t="s">
        <v>1883</v>
      </c>
      <c r="E949" s="11" t="s">
        <v>6111</v>
      </c>
      <c r="F949" s="11"/>
      <c r="G949" s="11" t="s">
        <v>394</v>
      </c>
      <c r="H949" s="11" t="s">
        <v>6110</v>
      </c>
      <c r="I949" s="11" t="s">
        <v>6109</v>
      </c>
      <c r="J949" s="11" t="s">
        <v>6108</v>
      </c>
      <c r="K949" s="11" t="s">
        <v>3599</v>
      </c>
      <c r="L949" s="11"/>
      <c r="M949" s="12"/>
      <c r="N949" s="11"/>
      <c r="O949" s="11" t="s">
        <v>2028</v>
      </c>
    </row>
    <row r="950" spans="1:15" ht="19.5" customHeight="1" x14ac:dyDescent="0.25">
      <c r="A950" s="13" t="s">
        <v>394</v>
      </c>
      <c r="B950" s="13"/>
      <c r="C950" s="13" t="s">
        <v>6112</v>
      </c>
      <c r="D950" s="13" t="s">
        <v>1883</v>
      </c>
      <c r="E950" s="13" t="s">
        <v>6111</v>
      </c>
      <c r="F950" s="13"/>
      <c r="G950" s="13" t="s">
        <v>394</v>
      </c>
      <c r="H950" s="13" t="s">
        <v>6110</v>
      </c>
      <c r="I950" s="13" t="s">
        <v>6109</v>
      </c>
      <c r="J950" s="13" t="s">
        <v>6108</v>
      </c>
      <c r="K950" s="13" t="s">
        <v>3599</v>
      </c>
      <c r="L950" s="13"/>
      <c r="M950" s="14"/>
      <c r="N950" s="13"/>
      <c r="O950" s="13" t="s">
        <v>2028</v>
      </c>
    </row>
    <row r="951" spans="1:15" ht="19.5" customHeight="1" x14ac:dyDescent="0.25">
      <c r="A951" s="11" t="s">
        <v>396</v>
      </c>
      <c r="B951" s="11"/>
      <c r="C951" s="11" t="s">
        <v>6107</v>
      </c>
      <c r="D951" s="11" t="s">
        <v>1883</v>
      </c>
      <c r="E951" s="11" t="s">
        <v>6105</v>
      </c>
      <c r="F951" s="11"/>
      <c r="G951" s="11" t="s">
        <v>396</v>
      </c>
      <c r="H951" s="11"/>
      <c r="I951" s="11" t="s">
        <v>6104</v>
      </c>
      <c r="J951" s="11" t="s">
        <v>6103</v>
      </c>
      <c r="K951" s="11" t="s">
        <v>1952</v>
      </c>
      <c r="L951" s="11"/>
      <c r="M951" s="12"/>
      <c r="N951" s="11"/>
      <c r="O951" s="11" t="s">
        <v>2028</v>
      </c>
    </row>
    <row r="952" spans="1:15" ht="19.5" customHeight="1" x14ac:dyDescent="0.25">
      <c r="A952" s="13" t="s">
        <v>396</v>
      </c>
      <c r="B952" s="13"/>
      <c r="C952" s="13" t="s">
        <v>6106</v>
      </c>
      <c r="D952" s="13" t="s">
        <v>1883</v>
      </c>
      <c r="E952" s="13" t="s">
        <v>6105</v>
      </c>
      <c r="F952" s="13"/>
      <c r="G952" s="13" t="s">
        <v>396</v>
      </c>
      <c r="H952" s="13"/>
      <c r="I952" s="13" t="s">
        <v>6104</v>
      </c>
      <c r="J952" s="13" t="s">
        <v>6103</v>
      </c>
      <c r="K952" s="13" t="s">
        <v>1952</v>
      </c>
      <c r="L952" s="13"/>
      <c r="M952" s="14"/>
      <c r="N952" s="13"/>
      <c r="O952" s="13" t="s">
        <v>2028</v>
      </c>
    </row>
    <row r="953" spans="1:15" ht="19.5" customHeight="1" x14ac:dyDescent="0.25">
      <c r="A953" s="11" t="s">
        <v>1152</v>
      </c>
      <c r="B953" s="11"/>
      <c r="C953" s="11" t="s">
        <v>6102</v>
      </c>
      <c r="D953" s="11" t="s">
        <v>1883</v>
      </c>
      <c r="E953" s="11" t="s">
        <v>6101</v>
      </c>
      <c r="F953" s="11"/>
      <c r="G953" s="11" t="s">
        <v>1152</v>
      </c>
      <c r="H953" s="11"/>
      <c r="I953" s="11" t="s">
        <v>6100</v>
      </c>
      <c r="J953" s="11" t="s">
        <v>6093</v>
      </c>
      <c r="K953" s="11" t="s">
        <v>6099</v>
      </c>
      <c r="L953" s="11"/>
      <c r="M953" s="12"/>
      <c r="N953" s="11"/>
      <c r="O953" s="11" t="s">
        <v>2028</v>
      </c>
    </row>
    <row r="954" spans="1:15" ht="19.5" customHeight="1" x14ac:dyDescent="0.25">
      <c r="A954" s="13" t="s">
        <v>1152</v>
      </c>
      <c r="B954" s="13"/>
      <c r="C954" s="13" t="s">
        <v>6098</v>
      </c>
      <c r="D954" s="13" t="s">
        <v>1883</v>
      </c>
      <c r="E954" s="13" t="s">
        <v>6097</v>
      </c>
      <c r="F954" s="13" t="s">
        <v>6096</v>
      </c>
      <c r="G954" s="13" t="s">
        <v>1152</v>
      </c>
      <c r="H954" s="13" t="s">
        <v>6095</v>
      </c>
      <c r="I954" s="13" t="s">
        <v>6094</v>
      </c>
      <c r="J954" s="13" t="s">
        <v>6093</v>
      </c>
      <c r="K954" s="13" t="s">
        <v>1952</v>
      </c>
      <c r="L954" s="13"/>
      <c r="M954" s="14"/>
      <c r="N954" s="13"/>
      <c r="O954" s="13" t="s">
        <v>2028</v>
      </c>
    </row>
    <row r="955" spans="1:15" ht="19.5" customHeight="1" x14ac:dyDescent="0.25">
      <c r="A955" s="11" t="s">
        <v>398</v>
      </c>
      <c r="B955" s="11"/>
      <c r="C955" s="11" t="s">
        <v>6092</v>
      </c>
      <c r="D955" s="11" t="s">
        <v>1883</v>
      </c>
      <c r="E955" s="11" t="s">
        <v>6089</v>
      </c>
      <c r="F955" s="11" t="s">
        <v>6088</v>
      </c>
      <c r="G955" s="11" t="s">
        <v>398</v>
      </c>
      <c r="H955" s="11" t="s">
        <v>6087</v>
      </c>
      <c r="I955" s="11" t="s">
        <v>6086</v>
      </c>
      <c r="J955" s="11" t="s">
        <v>6085</v>
      </c>
      <c r="K955" s="11" t="s">
        <v>3599</v>
      </c>
      <c r="L955" s="11"/>
      <c r="M955" s="12"/>
      <c r="N955" s="11"/>
      <c r="O955" s="11" t="s">
        <v>2028</v>
      </c>
    </row>
    <row r="956" spans="1:15" ht="19.5" customHeight="1" x14ac:dyDescent="0.25">
      <c r="A956" s="13" t="s">
        <v>398</v>
      </c>
      <c r="B956" s="13"/>
      <c r="C956" s="13" t="s">
        <v>6091</v>
      </c>
      <c r="D956" s="13" t="s">
        <v>1883</v>
      </c>
      <c r="E956" s="13" t="s">
        <v>6089</v>
      </c>
      <c r="F956" s="13" t="s">
        <v>6088</v>
      </c>
      <c r="G956" s="13" t="s">
        <v>398</v>
      </c>
      <c r="H956" s="13" t="s">
        <v>6087</v>
      </c>
      <c r="I956" s="13" t="s">
        <v>6086</v>
      </c>
      <c r="J956" s="13" t="s">
        <v>6085</v>
      </c>
      <c r="K956" s="13" t="s">
        <v>3599</v>
      </c>
      <c r="L956" s="13"/>
      <c r="M956" s="14"/>
      <c r="N956" s="13"/>
      <c r="O956" s="13" t="s">
        <v>2028</v>
      </c>
    </row>
    <row r="957" spans="1:15" ht="19.5" customHeight="1" x14ac:dyDescent="0.25">
      <c r="A957" s="11" t="s">
        <v>398</v>
      </c>
      <c r="B957" s="11"/>
      <c r="C957" s="11" t="s">
        <v>6090</v>
      </c>
      <c r="D957" s="11" t="s">
        <v>1883</v>
      </c>
      <c r="E957" s="11" t="s">
        <v>6089</v>
      </c>
      <c r="F957" s="11" t="s">
        <v>6088</v>
      </c>
      <c r="G957" s="11" t="s">
        <v>398</v>
      </c>
      <c r="H957" s="11" t="s">
        <v>6087</v>
      </c>
      <c r="I957" s="11" t="s">
        <v>6086</v>
      </c>
      <c r="J957" s="11" t="s">
        <v>6085</v>
      </c>
      <c r="K957" s="11" t="s">
        <v>3599</v>
      </c>
      <c r="L957" s="11"/>
      <c r="M957" s="12"/>
      <c r="N957" s="11"/>
      <c r="O957" s="11" t="s">
        <v>2028</v>
      </c>
    </row>
    <row r="958" spans="1:15" ht="19.5" customHeight="1" x14ac:dyDescent="0.25">
      <c r="A958" s="13" t="s">
        <v>1036</v>
      </c>
      <c r="B958" s="13"/>
      <c r="C958" s="13" t="s">
        <v>1035</v>
      </c>
      <c r="D958" s="13" t="s">
        <v>1883</v>
      </c>
      <c r="E958" s="13" t="s">
        <v>6084</v>
      </c>
      <c r="F958" s="13" t="s">
        <v>6083</v>
      </c>
      <c r="G958" s="13" t="s">
        <v>1036</v>
      </c>
      <c r="H958" s="13" t="s">
        <v>6082</v>
      </c>
      <c r="I958" s="13" t="s">
        <v>6081</v>
      </c>
      <c r="J958" s="13" t="s">
        <v>6080</v>
      </c>
      <c r="K958" s="13" t="s">
        <v>1952</v>
      </c>
      <c r="L958" s="13"/>
      <c r="M958" s="14"/>
      <c r="N958" s="13"/>
      <c r="O958" s="13" t="s">
        <v>1945</v>
      </c>
    </row>
    <row r="959" spans="1:15" ht="19.5" customHeight="1" x14ac:dyDescent="0.25">
      <c r="A959" s="11" t="s">
        <v>400</v>
      </c>
      <c r="B959" s="11"/>
      <c r="C959" s="11" t="s">
        <v>6079</v>
      </c>
      <c r="D959" s="11" t="s">
        <v>1883</v>
      </c>
      <c r="E959" s="11" t="s">
        <v>6078</v>
      </c>
      <c r="F959" s="11"/>
      <c r="G959" s="11" t="s">
        <v>400</v>
      </c>
      <c r="H959" s="11"/>
      <c r="I959" s="11"/>
      <c r="J959" s="11"/>
      <c r="K959" s="11" t="s">
        <v>2033</v>
      </c>
      <c r="L959" s="11"/>
      <c r="M959" s="12"/>
      <c r="N959" s="11"/>
      <c r="O959" s="11" t="s">
        <v>2028</v>
      </c>
    </row>
    <row r="960" spans="1:15" ht="19.5" customHeight="1" x14ac:dyDescent="0.25">
      <c r="A960" s="13" t="s">
        <v>6075</v>
      </c>
      <c r="B960" s="13"/>
      <c r="C960" s="13" t="s">
        <v>6077</v>
      </c>
      <c r="D960" s="13" t="s">
        <v>1883</v>
      </c>
      <c r="E960" s="13" t="s">
        <v>6076</v>
      </c>
      <c r="F960" s="13"/>
      <c r="G960" s="13" t="s">
        <v>6075</v>
      </c>
      <c r="H960" s="13" t="s">
        <v>6074</v>
      </c>
      <c r="I960" s="13" t="s">
        <v>6073</v>
      </c>
      <c r="J960" s="13" t="s">
        <v>6072</v>
      </c>
      <c r="K960" s="13" t="s">
        <v>3599</v>
      </c>
      <c r="L960" s="13"/>
      <c r="M960" s="14"/>
      <c r="N960" s="13"/>
      <c r="O960" s="13" t="s">
        <v>2028</v>
      </c>
    </row>
    <row r="961" spans="1:15" ht="19.5" customHeight="1" x14ac:dyDescent="0.25">
      <c r="A961" s="11" t="s">
        <v>402</v>
      </c>
      <c r="B961" s="11"/>
      <c r="C961" s="11" t="s">
        <v>6071</v>
      </c>
      <c r="D961" s="11" t="s">
        <v>1883</v>
      </c>
      <c r="E961" s="11" t="s">
        <v>6068</v>
      </c>
      <c r="F961" s="11" t="s">
        <v>6067</v>
      </c>
      <c r="G961" s="11" t="s">
        <v>402</v>
      </c>
      <c r="H961" s="11" t="s">
        <v>6066</v>
      </c>
      <c r="I961" s="11" t="s">
        <v>6065</v>
      </c>
      <c r="J961" s="11" t="s">
        <v>6064</v>
      </c>
      <c r="K961" s="11" t="s">
        <v>1952</v>
      </c>
      <c r="L961" s="11"/>
      <c r="M961" s="12"/>
      <c r="N961" s="11"/>
      <c r="O961" s="11" t="s">
        <v>2028</v>
      </c>
    </row>
    <row r="962" spans="1:15" ht="19.5" customHeight="1" x14ac:dyDescent="0.25">
      <c r="A962" s="13" t="s">
        <v>402</v>
      </c>
      <c r="B962" s="13"/>
      <c r="C962" s="13" t="s">
        <v>6070</v>
      </c>
      <c r="D962" s="13" t="s">
        <v>1883</v>
      </c>
      <c r="E962" s="13" t="s">
        <v>6068</v>
      </c>
      <c r="F962" s="13" t="s">
        <v>6067</v>
      </c>
      <c r="G962" s="13" t="s">
        <v>402</v>
      </c>
      <c r="H962" s="13" t="s">
        <v>6066</v>
      </c>
      <c r="I962" s="13" t="s">
        <v>6065</v>
      </c>
      <c r="J962" s="13" t="s">
        <v>6064</v>
      </c>
      <c r="K962" s="13" t="s">
        <v>1952</v>
      </c>
      <c r="L962" s="13"/>
      <c r="M962" s="14"/>
      <c r="N962" s="13"/>
      <c r="O962" s="13" t="s">
        <v>2028</v>
      </c>
    </row>
    <row r="963" spans="1:15" ht="19.5" customHeight="1" x14ac:dyDescent="0.25">
      <c r="A963" s="11" t="s">
        <v>402</v>
      </c>
      <c r="B963" s="11"/>
      <c r="C963" s="11" t="s">
        <v>6069</v>
      </c>
      <c r="D963" s="11" t="s">
        <v>1883</v>
      </c>
      <c r="E963" s="11" t="s">
        <v>6068</v>
      </c>
      <c r="F963" s="11" t="s">
        <v>6067</v>
      </c>
      <c r="G963" s="11" t="s">
        <v>402</v>
      </c>
      <c r="H963" s="11" t="s">
        <v>6066</v>
      </c>
      <c r="I963" s="11" t="s">
        <v>6065</v>
      </c>
      <c r="J963" s="11" t="s">
        <v>6064</v>
      </c>
      <c r="K963" s="11" t="s">
        <v>1952</v>
      </c>
      <c r="L963" s="11"/>
      <c r="M963" s="12"/>
      <c r="N963" s="11"/>
      <c r="O963" s="11" t="s">
        <v>2028</v>
      </c>
    </row>
    <row r="964" spans="1:15" ht="19.5" customHeight="1" x14ac:dyDescent="0.25">
      <c r="A964" s="13" t="s">
        <v>404</v>
      </c>
      <c r="B964" s="13"/>
      <c r="C964" s="13" t="s">
        <v>6063</v>
      </c>
      <c r="D964" s="13" t="s">
        <v>1883</v>
      </c>
      <c r="E964" s="13" t="s">
        <v>6060</v>
      </c>
      <c r="F964" s="13" t="s">
        <v>6059</v>
      </c>
      <c r="G964" s="13" t="s">
        <v>404</v>
      </c>
      <c r="H964" s="13" t="s">
        <v>6058</v>
      </c>
      <c r="I964" s="13" t="s">
        <v>6057</v>
      </c>
      <c r="J964" s="13" t="s">
        <v>6056</v>
      </c>
      <c r="K964" s="13" t="s">
        <v>2033</v>
      </c>
      <c r="L964" s="13"/>
      <c r="M964" s="14"/>
      <c r="N964" s="13"/>
      <c r="O964" s="13" t="s">
        <v>2028</v>
      </c>
    </row>
    <row r="965" spans="1:15" ht="19.5" customHeight="1" x14ac:dyDescent="0.25">
      <c r="A965" s="11" t="s">
        <v>404</v>
      </c>
      <c r="B965" s="11"/>
      <c r="C965" s="11" t="s">
        <v>6062</v>
      </c>
      <c r="D965" s="11" t="s">
        <v>1883</v>
      </c>
      <c r="E965" s="11" t="s">
        <v>6060</v>
      </c>
      <c r="F965" s="11" t="s">
        <v>6059</v>
      </c>
      <c r="G965" s="11" t="s">
        <v>404</v>
      </c>
      <c r="H965" s="11" t="s">
        <v>6058</v>
      </c>
      <c r="I965" s="11" t="s">
        <v>6057</v>
      </c>
      <c r="J965" s="11" t="s">
        <v>6056</v>
      </c>
      <c r="K965" s="11" t="s">
        <v>2033</v>
      </c>
      <c r="L965" s="11"/>
      <c r="M965" s="12"/>
      <c r="N965" s="11"/>
      <c r="O965" s="11" t="s">
        <v>2028</v>
      </c>
    </row>
    <row r="966" spans="1:15" ht="19.5" customHeight="1" x14ac:dyDescent="0.25">
      <c r="A966" s="13" t="s">
        <v>404</v>
      </c>
      <c r="B966" s="13"/>
      <c r="C966" s="13" t="s">
        <v>6061</v>
      </c>
      <c r="D966" s="13" t="s">
        <v>1883</v>
      </c>
      <c r="E966" s="13" t="s">
        <v>6060</v>
      </c>
      <c r="F966" s="13" t="s">
        <v>6059</v>
      </c>
      <c r="G966" s="13" t="s">
        <v>404</v>
      </c>
      <c r="H966" s="13" t="s">
        <v>6058</v>
      </c>
      <c r="I966" s="13" t="s">
        <v>6057</v>
      </c>
      <c r="J966" s="13" t="s">
        <v>6056</v>
      </c>
      <c r="K966" s="13" t="s">
        <v>2033</v>
      </c>
      <c r="L966" s="13"/>
      <c r="M966" s="14"/>
      <c r="N966" s="13"/>
      <c r="O966" s="13" t="s">
        <v>2028</v>
      </c>
    </row>
    <row r="967" spans="1:15" ht="19.5" customHeight="1" x14ac:dyDescent="0.25">
      <c r="A967" s="11" t="s">
        <v>406</v>
      </c>
      <c r="B967" s="11"/>
      <c r="C967" s="11" t="s">
        <v>6055</v>
      </c>
      <c r="D967" s="11" t="s">
        <v>1883</v>
      </c>
      <c r="E967" s="11" t="s">
        <v>6054</v>
      </c>
      <c r="F967" s="11" t="s">
        <v>6053</v>
      </c>
      <c r="G967" s="11" t="s">
        <v>406</v>
      </c>
      <c r="H967" s="11" t="s">
        <v>6052</v>
      </c>
      <c r="I967" s="11" t="s">
        <v>6051</v>
      </c>
      <c r="J967" s="11" t="s">
        <v>6050</v>
      </c>
      <c r="K967" s="11" t="s">
        <v>3599</v>
      </c>
      <c r="L967" s="11"/>
      <c r="M967" s="12"/>
      <c r="N967" s="11"/>
      <c r="O967" s="11" t="s">
        <v>2028</v>
      </c>
    </row>
    <row r="968" spans="1:15" ht="19.5" customHeight="1" x14ac:dyDescent="0.25">
      <c r="A968" s="13" t="s">
        <v>408</v>
      </c>
      <c r="B968" s="13"/>
      <c r="C968" s="13" t="s">
        <v>6049</v>
      </c>
      <c r="D968" s="13" t="s">
        <v>1883</v>
      </c>
      <c r="E968" s="13" t="s">
        <v>6048</v>
      </c>
      <c r="F968" s="13"/>
      <c r="G968" s="13" t="s">
        <v>408</v>
      </c>
      <c r="H968" s="13" t="s">
        <v>6047</v>
      </c>
      <c r="I968" s="13" t="s">
        <v>1997</v>
      </c>
      <c r="J968" s="13" t="s">
        <v>6046</v>
      </c>
      <c r="K968" s="13" t="s">
        <v>1952</v>
      </c>
      <c r="L968" s="13"/>
      <c r="M968" s="14"/>
      <c r="N968" s="13"/>
      <c r="O968" s="13" t="s">
        <v>2028</v>
      </c>
    </row>
    <row r="969" spans="1:15" ht="19.5" customHeight="1" x14ac:dyDescent="0.25">
      <c r="A969" s="11" t="s">
        <v>6043</v>
      </c>
      <c r="B969" s="11"/>
      <c r="C969" s="11" t="s">
        <v>6045</v>
      </c>
      <c r="D969" s="11" t="s">
        <v>1883</v>
      </c>
      <c r="E969" s="11" t="s">
        <v>6044</v>
      </c>
      <c r="F969" s="11"/>
      <c r="G969" s="11" t="s">
        <v>6043</v>
      </c>
      <c r="H969" s="11"/>
      <c r="I969" s="11" t="s">
        <v>6042</v>
      </c>
      <c r="J969" s="11" t="s">
        <v>6041</v>
      </c>
      <c r="K969" s="11" t="s">
        <v>2033</v>
      </c>
      <c r="L969" s="11"/>
      <c r="M969" s="12"/>
      <c r="N969" s="11"/>
      <c r="O969" s="11" t="s">
        <v>1945</v>
      </c>
    </row>
    <row r="970" spans="1:15" ht="19.5" customHeight="1" x14ac:dyDescent="0.25">
      <c r="A970" s="13" t="s">
        <v>1381</v>
      </c>
      <c r="B970" s="13"/>
      <c r="C970" s="13" t="s">
        <v>6040</v>
      </c>
      <c r="D970" s="13" t="s">
        <v>1883</v>
      </c>
      <c r="E970" s="13" t="s">
        <v>6039</v>
      </c>
      <c r="F970" s="13" t="s">
        <v>6038</v>
      </c>
      <c r="G970" s="13" t="s">
        <v>6037</v>
      </c>
      <c r="H970" s="13"/>
      <c r="I970" s="13" t="s">
        <v>6036</v>
      </c>
      <c r="J970" s="13" t="s">
        <v>6035</v>
      </c>
      <c r="K970" s="13" t="s">
        <v>2033</v>
      </c>
      <c r="L970" s="13"/>
      <c r="M970" s="14"/>
      <c r="N970" s="13"/>
      <c r="O970" s="13" t="s">
        <v>2028</v>
      </c>
    </row>
    <row r="971" spans="1:15" ht="19.5" customHeight="1" x14ac:dyDescent="0.25">
      <c r="A971" s="11" t="s">
        <v>410</v>
      </c>
      <c r="B971" s="11"/>
      <c r="C971" s="11" t="s">
        <v>6034</v>
      </c>
      <c r="D971" s="11" t="s">
        <v>1883</v>
      </c>
      <c r="E971" s="11" t="s">
        <v>6033</v>
      </c>
      <c r="F971" s="11"/>
      <c r="G971" s="11" t="s">
        <v>410</v>
      </c>
      <c r="H971" s="11"/>
      <c r="I971" s="11" t="s">
        <v>6032</v>
      </c>
      <c r="J971" s="11" t="s">
        <v>6031</v>
      </c>
      <c r="K971" s="11" t="s">
        <v>5009</v>
      </c>
      <c r="L971" s="11"/>
      <c r="M971" s="12"/>
      <c r="N971" s="11"/>
      <c r="O971" s="11" t="s">
        <v>2028</v>
      </c>
    </row>
    <row r="972" spans="1:15" ht="19.5" customHeight="1" x14ac:dyDescent="0.25">
      <c r="A972" s="13" t="s">
        <v>412</v>
      </c>
      <c r="B972" s="13"/>
      <c r="C972" s="13" t="s">
        <v>6030</v>
      </c>
      <c r="D972" s="13" t="s">
        <v>1883</v>
      </c>
      <c r="E972" s="13" t="s">
        <v>6028</v>
      </c>
      <c r="F972" s="13"/>
      <c r="G972" s="13" t="s">
        <v>412</v>
      </c>
      <c r="H972" s="13"/>
      <c r="I972" s="13"/>
      <c r="J972" s="13"/>
      <c r="K972" s="13"/>
      <c r="L972" s="13"/>
      <c r="M972" s="14"/>
      <c r="N972" s="13"/>
      <c r="O972" s="13" t="s">
        <v>2028</v>
      </c>
    </row>
    <row r="973" spans="1:15" ht="19.5" customHeight="1" x14ac:dyDescent="0.25">
      <c r="A973" s="11" t="s">
        <v>412</v>
      </c>
      <c r="B973" s="11"/>
      <c r="C973" s="11" t="s">
        <v>6029</v>
      </c>
      <c r="D973" s="11" t="s">
        <v>1883</v>
      </c>
      <c r="E973" s="11" t="s">
        <v>6028</v>
      </c>
      <c r="F973" s="11" t="s">
        <v>6027</v>
      </c>
      <c r="G973" s="11" t="s">
        <v>412</v>
      </c>
      <c r="H973" s="11"/>
      <c r="I973" s="11" t="s">
        <v>6026</v>
      </c>
      <c r="J973" s="11" t="s">
        <v>6025</v>
      </c>
      <c r="K973" s="11" t="s">
        <v>2175</v>
      </c>
      <c r="L973" s="11"/>
      <c r="M973" s="12"/>
      <c r="N973" s="11"/>
      <c r="O973" s="11" t="s">
        <v>2028</v>
      </c>
    </row>
    <row r="974" spans="1:15" ht="19.5" customHeight="1" x14ac:dyDescent="0.25">
      <c r="A974" s="13" t="s">
        <v>1659</v>
      </c>
      <c r="B974" s="13"/>
      <c r="C974" s="13" t="s">
        <v>6024</v>
      </c>
      <c r="D974" s="13" t="s">
        <v>1883</v>
      </c>
      <c r="E974" s="13" t="s">
        <v>6023</v>
      </c>
      <c r="F974" s="13"/>
      <c r="G974" s="13" t="s">
        <v>1659</v>
      </c>
      <c r="H974" s="13"/>
      <c r="I974" s="13"/>
      <c r="J974" s="13"/>
      <c r="K974" s="13"/>
      <c r="L974" s="13"/>
      <c r="M974" s="14"/>
      <c r="N974" s="13"/>
      <c r="O974" s="13" t="s">
        <v>2028</v>
      </c>
    </row>
    <row r="975" spans="1:15" ht="19.5" customHeight="1" x14ac:dyDescent="0.25">
      <c r="A975" s="11" t="s">
        <v>414</v>
      </c>
      <c r="B975" s="11"/>
      <c r="C975" s="11" t="s">
        <v>6022</v>
      </c>
      <c r="D975" s="11" t="s">
        <v>1883</v>
      </c>
      <c r="E975" s="11" t="s">
        <v>6019</v>
      </c>
      <c r="F975" s="11" t="s">
        <v>6018</v>
      </c>
      <c r="G975" s="11" t="s">
        <v>6017</v>
      </c>
      <c r="H975" s="11" t="s">
        <v>6016</v>
      </c>
      <c r="I975" s="11" t="s">
        <v>6015</v>
      </c>
      <c r="J975" s="11" t="s">
        <v>6014</v>
      </c>
      <c r="K975" s="11" t="s">
        <v>3599</v>
      </c>
      <c r="L975" s="11"/>
      <c r="M975" s="12"/>
      <c r="N975" s="11"/>
      <c r="O975" s="11" t="s">
        <v>2028</v>
      </c>
    </row>
    <row r="976" spans="1:15" ht="19.5" customHeight="1" x14ac:dyDescent="0.25">
      <c r="A976" s="13" t="s">
        <v>414</v>
      </c>
      <c r="B976" s="13"/>
      <c r="C976" s="13" t="s">
        <v>6021</v>
      </c>
      <c r="D976" s="13" t="s">
        <v>1883</v>
      </c>
      <c r="E976" s="13" t="s">
        <v>6019</v>
      </c>
      <c r="F976" s="13" t="s">
        <v>6018</v>
      </c>
      <c r="G976" s="13" t="s">
        <v>6017</v>
      </c>
      <c r="H976" s="13" t="s">
        <v>6016</v>
      </c>
      <c r="I976" s="13" t="s">
        <v>6015</v>
      </c>
      <c r="J976" s="13" t="s">
        <v>6014</v>
      </c>
      <c r="K976" s="13" t="s">
        <v>3599</v>
      </c>
      <c r="L976" s="13"/>
      <c r="M976" s="14"/>
      <c r="N976" s="13"/>
      <c r="O976" s="13" t="s">
        <v>2028</v>
      </c>
    </row>
    <row r="977" spans="1:15" ht="19.5" customHeight="1" x14ac:dyDescent="0.25">
      <c r="A977" s="11" t="s">
        <v>414</v>
      </c>
      <c r="B977" s="11"/>
      <c r="C977" s="11" t="s">
        <v>6020</v>
      </c>
      <c r="D977" s="11" t="s">
        <v>1883</v>
      </c>
      <c r="E977" s="11" t="s">
        <v>6019</v>
      </c>
      <c r="F977" s="11" t="s">
        <v>6018</v>
      </c>
      <c r="G977" s="11" t="s">
        <v>6017</v>
      </c>
      <c r="H977" s="11" t="s">
        <v>6016</v>
      </c>
      <c r="I977" s="11" t="s">
        <v>6015</v>
      </c>
      <c r="J977" s="11" t="s">
        <v>6014</v>
      </c>
      <c r="K977" s="11" t="s">
        <v>3599</v>
      </c>
      <c r="L977" s="11"/>
      <c r="M977" s="12"/>
      <c r="N977" s="11"/>
      <c r="O977" s="11" t="s">
        <v>2028</v>
      </c>
    </row>
    <row r="978" spans="1:15" ht="19.5" customHeight="1" x14ac:dyDescent="0.25">
      <c r="A978" s="13" t="s">
        <v>1360</v>
      </c>
      <c r="B978" s="13"/>
      <c r="C978" s="13" t="s">
        <v>6013</v>
      </c>
      <c r="D978" s="13" t="s">
        <v>1883</v>
      </c>
      <c r="E978" s="13" t="s">
        <v>6011</v>
      </c>
      <c r="F978" s="13"/>
      <c r="G978" s="13" t="s">
        <v>1360</v>
      </c>
      <c r="H978" s="13" t="s">
        <v>6010</v>
      </c>
      <c r="I978" s="13"/>
      <c r="J978" s="13"/>
      <c r="K978" s="13" t="s">
        <v>2033</v>
      </c>
      <c r="L978" s="13"/>
      <c r="M978" s="14"/>
      <c r="N978" s="13"/>
      <c r="O978" s="13" t="s">
        <v>2028</v>
      </c>
    </row>
    <row r="979" spans="1:15" ht="19.5" customHeight="1" x14ac:dyDescent="0.25">
      <c r="A979" s="11" t="s">
        <v>1360</v>
      </c>
      <c r="B979" s="11"/>
      <c r="C979" s="11" t="s">
        <v>6012</v>
      </c>
      <c r="D979" s="11" t="s">
        <v>1883</v>
      </c>
      <c r="E979" s="11" t="s">
        <v>6011</v>
      </c>
      <c r="F979" s="11"/>
      <c r="G979" s="11" t="s">
        <v>1360</v>
      </c>
      <c r="H979" s="11" t="s">
        <v>6010</v>
      </c>
      <c r="I979" s="11" t="s">
        <v>6009</v>
      </c>
      <c r="J979" s="11" t="s">
        <v>6008</v>
      </c>
      <c r="K979" s="11" t="s">
        <v>2033</v>
      </c>
      <c r="L979" s="11"/>
      <c r="M979" s="12"/>
      <c r="N979" s="11"/>
      <c r="O979" s="11" t="s">
        <v>2028</v>
      </c>
    </row>
    <row r="980" spans="1:15" ht="19.5" customHeight="1" x14ac:dyDescent="0.25">
      <c r="A980" s="13" t="s">
        <v>416</v>
      </c>
      <c r="B980" s="13"/>
      <c r="C980" s="13" t="s">
        <v>6007</v>
      </c>
      <c r="D980" s="13" t="s">
        <v>1883</v>
      </c>
      <c r="E980" s="13" t="s">
        <v>6006</v>
      </c>
      <c r="F980" s="13" t="s">
        <v>6005</v>
      </c>
      <c r="G980" s="13" t="s">
        <v>416</v>
      </c>
      <c r="H980" s="13" t="s">
        <v>6004</v>
      </c>
      <c r="I980" s="13" t="s">
        <v>6003</v>
      </c>
      <c r="J980" s="13" t="s">
        <v>6002</v>
      </c>
      <c r="K980" s="13" t="s">
        <v>3599</v>
      </c>
      <c r="L980" s="13"/>
      <c r="M980" s="14"/>
      <c r="N980" s="13"/>
      <c r="O980" s="13" t="s">
        <v>2028</v>
      </c>
    </row>
    <row r="981" spans="1:15" ht="19.5" customHeight="1" x14ac:dyDescent="0.25">
      <c r="A981" s="11" t="s">
        <v>1211</v>
      </c>
      <c r="B981" s="11"/>
      <c r="C981" s="11" t="s">
        <v>6001</v>
      </c>
      <c r="D981" s="11" t="s">
        <v>1883</v>
      </c>
      <c r="E981" s="11" t="s">
        <v>6000</v>
      </c>
      <c r="F981" s="11" t="s">
        <v>5999</v>
      </c>
      <c r="G981" s="11" t="s">
        <v>1211</v>
      </c>
      <c r="H981" s="11"/>
      <c r="I981" s="11" t="s">
        <v>5998</v>
      </c>
      <c r="J981" s="11" t="s">
        <v>5997</v>
      </c>
      <c r="K981" s="11" t="s">
        <v>4304</v>
      </c>
      <c r="L981" s="11"/>
      <c r="M981" s="12"/>
      <c r="N981" s="11"/>
      <c r="O981" s="11" t="s">
        <v>2028</v>
      </c>
    </row>
    <row r="982" spans="1:15" ht="19.5" customHeight="1" x14ac:dyDescent="0.25">
      <c r="A982" s="13" t="s">
        <v>8941</v>
      </c>
      <c r="B982" s="13"/>
      <c r="C982" s="13" t="s">
        <v>5871</v>
      </c>
      <c r="D982" s="13" t="s">
        <v>1883</v>
      </c>
      <c r="E982" s="13" t="s">
        <v>8942</v>
      </c>
      <c r="F982" s="13"/>
      <c r="G982" s="13" t="s">
        <v>8941</v>
      </c>
      <c r="H982" s="13" t="s">
        <v>5866</v>
      </c>
      <c r="I982" s="13" t="s">
        <v>5542</v>
      </c>
      <c r="J982" s="13" t="s">
        <v>5869</v>
      </c>
      <c r="K982" s="13" t="s">
        <v>2033</v>
      </c>
      <c r="L982" s="13"/>
      <c r="M982" s="14"/>
      <c r="N982" s="13"/>
      <c r="O982" s="13" t="s">
        <v>2028</v>
      </c>
    </row>
    <row r="983" spans="1:15" ht="19.5" customHeight="1" x14ac:dyDescent="0.25">
      <c r="A983" s="11" t="s">
        <v>8941</v>
      </c>
      <c r="B983" s="11"/>
      <c r="C983" s="11" t="s">
        <v>5870</v>
      </c>
      <c r="D983" s="11" t="s">
        <v>1883</v>
      </c>
      <c r="E983" s="11" t="s">
        <v>8942</v>
      </c>
      <c r="F983" s="11"/>
      <c r="G983" s="11" t="s">
        <v>8941</v>
      </c>
      <c r="H983" s="11" t="s">
        <v>5866</v>
      </c>
      <c r="I983" s="11" t="s">
        <v>5542</v>
      </c>
      <c r="J983" s="11" t="s">
        <v>5869</v>
      </c>
      <c r="K983" s="11" t="s">
        <v>2033</v>
      </c>
      <c r="L983" s="11"/>
      <c r="M983" s="12"/>
      <c r="N983" s="11"/>
      <c r="O983" s="11" t="s">
        <v>2028</v>
      </c>
    </row>
    <row r="984" spans="1:15" ht="19.5" customHeight="1" x14ac:dyDescent="0.25">
      <c r="A984" s="13" t="s">
        <v>8941</v>
      </c>
      <c r="B984" s="13"/>
      <c r="C984" s="13" t="s">
        <v>5872</v>
      </c>
      <c r="D984" s="13" t="s">
        <v>1883</v>
      </c>
      <c r="E984" s="13" t="s">
        <v>8942</v>
      </c>
      <c r="F984" s="13"/>
      <c r="G984" s="13" t="s">
        <v>8941</v>
      </c>
      <c r="H984" s="13" t="s">
        <v>5866</v>
      </c>
      <c r="I984" s="13" t="s">
        <v>5542</v>
      </c>
      <c r="J984" s="13" t="s">
        <v>5869</v>
      </c>
      <c r="K984" s="13" t="s">
        <v>2033</v>
      </c>
      <c r="L984" s="13"/>
      <c r="M984" s="14"/>
      <c r="N984" s="13"/>
      <c r="O984" s="13" t="s">
        <v>2028</v>
      </c>
    </row>
    <row r="985" spans="1:15" ht="19.5" customHeight="1" x14ac:dyDescent="0.25">
      <c r="A985" s="11" t="s">
        <v>1787</v>
      </c>
      <c r="B985" s="11"/>
      <c r="C985" s="11" t="s">
        <v>5996</v>
      </c>
      <c r="D985" s="11" t="s">
        <v>1883</v>
      </c>
      <c r="E985" s="11" t="s">
        <v>5994</v>
      </c>
      <c r="F985" s="11"/>
      <c r="G985" s="11" t="s">
        <v>1787</v>
      </c>
      <c r="H985" s="11"/>
      <c r="I985" s="11" t="s">
        <v>5993</v>
      </c>
      <c r="J985" s="11" t="s">
        <v>5992</v>
      </c>
      <c r="K985" s="11" t="s">
        <v>2033</v>
      </c>
      <c r="L985" s="11"/>
      <c r="M985" s="12"/>
      <c r="N985" s="11"/>
      <c r="O985" s="11" t="s">
        <v>2028</v>
      </c>
    </row>
    <row r="986" spans="1:15" ht="19.5" customHeight="1" x14ac:dyDescent="0.25">
      <c r="A986" s="13" t="s">
        <v>1787</v>
      </c>
      <c r="B986" s="13"/>
      <c r="C986" s="13" t="s">
        <v>5995</v>
      </c>
      <c r="D986" s="13" t="s">
        <v>1883</v>
      </c>
      <c r="E986" s="13" t="s">
        <v>5994</v>
      </c>
      <c r="F986" s="13"/>
      <c r="G986" s="13" t="s">
        <v>1787</v>
      </c>
      <c r="H986" s="13"/>
      <c r="I986" s="13" t="s">
        <v>5993</v>
      </c>
      <c r="J986" s="13" t="s">
        <v>5992</v>
      </c>
      <c r="K986" s="13" t="s">
        <v>2033</v>
      </c>
      <c r="L986" s="13"/>
      <c r="M986" s="14"/>
      <c r="N986" s="13"/>
      <c r="O986" s="13" t="s">
        <v>2028</v>
      </c>
    </row>
    <row r="987" spans="1:15" ht="19.5" customHeight="1" x14ac:dyDescent="0.25">
      <c r="A987" s="11" t="s">
        <v>5989</v>
      </c>
      <c r="B987" s="11"/>
      <c r="C987" s="11" t="s">
        <v>5991</v>
      </c>
      <c r="D987" s="11" t="s">
        <v>1883</v>
      </c>
      <c r="E987" s="11" t="s">
        <v>5987</v>
      </c>
      <c r="F987" s="11" t="s">
        <v>5986</v>
      </c>
      <c r="G987" s="11" t="s">
        <v>5985</v>
      </c>
      <c r="H987" s="11" t="s">
        <v>5984</v>
      </c>
      <c r="I987" s="11" t="s">
        <v>5974</v>
      </c>
      <c r="J987" s="11" t="s">
        <v>5973</v>
      </c>
      <c r="K987" s="11" t="s">
        <v>3599</v>
      </c>
      <c r="L987" s="11"/>
      <c r="M987" s="12"/>
      <c r="N987" s="11"/>
      <c r="O987" s="11" t="s">
        <v>2028</v>
      </c>
    </row>
    <row r="988" spans="1:15" ht="19.5" customHeight="1" x14ac:dyDescent="0.25">
      <c r="A988" s="13" t="s">
        <v>5989</v>
      </c>
      <c r="B988" s="13"/>
      <c r="C988" s="13" t="s">
        <v>5990</v>
      </c>
      <c r="D988" s="13" t="s">
        <v>1883</v>
      </c>
      <c r="E988" s="13" t="s">
        <v>5987</v>
      </c>
      <c r="F988" s="13" t="s">
        <v>5986</v>
      </c>
      <c r="G988" s="13" t="s">
        <v>5985</v>
      </c>
      <c r="H988" s="13" t="s">
        <v>5984</v>
      </c>
      <c r="I988" s="13" t="s">
        <v>5974</v>
      </c>
      <c r="J988" s="13" t="s">
        <v>5973</v>
      </c>
      <c r="K988" s="13" t="s">
        <v>3599</v>
      </c>
      <c r="L988" s="13"/>
      <c r="M988" s="14"/>
      <c r="N988" s="13"/>
      <c r="O988" s="13" t="s">
        <v>2028</v>
      </c>
    </row>
    <row r="989" spans="1:15" ht="19.5" customHeight="1" x14ac:dyDescent="0.25">
      <c r="A989" s="11" t="s">
        <v>5989</v>
      </c>
      <c r="B989" s="11"/>
      <c r="C989" s="11" t="s">
        <v>5988</v>
      </c>
      <c r="D989" s="11" t="s">
        <v>1883</v>
      </c>
      <c r="E989" s="11" t="s">
        <v>5987</v>
      </c>
      <c r="F989" s="11" t="s">
        <v>5986</v>
      </c>
      <c r="G989" s="11" t="s">
        <v>5985</v>
      </c>
      <c r="H989" s="11" t="s">
        <v>5984</v>
      </c>
      <c r="I989" s="11" t="s">
        <v>5974</v>
      </c>
      <c r="J989" s="11" t="s">
        <v>5973</v>
      </c>
      <c r="K989" s="11" t="s">
        <v>3599</v>
      </c>
      <c r="L989" s="11"/>
      <c r="M989" s="12"/>
      <c r="N989" s="11"/>
      <c r="O989" s="11" t="s">
        <v>2028</v>
      </c>
    </row>
    <row r="990" spans="1:15" ht="19.5" customHeight="1" x14ac:dyDescent="0.25">
      <c r="A990" s="13" t="s">
        <v>5980</v>
      </c>
      <c r="B990" s="13"/>
      <c r="C990" s="13" t="s">
        <v>5983</v>
      </c>
      <c r="D990" s="13" t="s">
        <v>1883</v>
      </c>
      <c r="E990" s="13" t="s">
        <v>5982</v>
      </c>
      <c r="F990" s="13"/>
      <c r="G990" s="13" t="s">
        <v>5976</v>
      </c>
      <c r="H990" s="13"/>
      <c r="I990" s="13" t="s">
        <v>5981</v>
      </c>
      <c r="J990" s="13" t="s">
        <v>5973</v>
      </c>
      <c r="K990" s="13" t="s">
        <v>3599</v>
      </c>
      <c r="L990" s="13"/>
      <c r="M990" s="14"/>
      <c r="N990" s="13"/>
      <c r="O990" s="13" t="s">
        <v>2028</v>
      </c>
    </row>
    <row r="991" spans="1:15" ht="19.5" customHeight="1" x14ac:dyDescent="0.25">
      <c r="A991" s="11" t="s">
        <v>5980</v>
      </c>
      <c r="B991" s="11"/>
      <c r="C991" s="11" t="s">
        <v>5979</v>
      </c>
      <c r="D991" s="11" t="s">
        <v>1883</v>
      </c>
      <c r="E991" s="11" t="s">
        <v>5978</v>
      </c>
      <c r="F991" s="11" t="s">
        <v>5977</v>
      </c>
      <c r="G991" s="11" t="s">
        <v>5976</v>
      </c>
      <c r="H991" s="11" t="s">
        <v>5975</v>
      </c>
      <c r="I991" s="11" t="s">
        <v>5974</v>
      </c>
      <c r="J991" s="11" t="s">
        <v>5973</v>
      </c>
      <c r="K991" s="11" t="s">
        <v>3599</v>
      </c>
      <c r="L991" s="11"/>
      <c r="M991" s="12"/>
      <c r="N991" s="11"/>
      <c r="O991" s="11" t="s">
        <v>2028</v>
      </c>
    </row>
    <row r="992" spans="1:15" ht="19.5" customHeight="1" x14ac:dyDescent="0.25">
      <c r="A992" s="13" t="s">
        <v>1637</v>
      </c>
      <c r="B992" s="13"/>
      <c r="C992" s="13" t="s">
        <v>5972</v>
      </c>
      <c r="D992" s="13" t="s">
        <v>1883</v>
      </c>
      <c r="E992" s="13" t="s">
        <v>5971</v>
      </c>
      <c r="F992" s="13"/>
      <c r="G992" s="13" t="s">
        <v>1637</v>
      </c>
      <c r="H992" s="13"/>
      <c r="I992" s="13" t="s">
        <v>5970</v>
      </c>
      <c r="J992" s="13" t="s">
        <v>5969</v>
      </c>
      <c r="K992" s="13" t="s">
        <v>3599</v>
      </c>
      <c r="L992" s="13"/>
      <c r="M992" s="14"/>
      <c r="N992" s="13"/>
      <c r="O992" s="13" t="s">
        <v>2028</v>
      </c>
    </row>
    <row r="993" spans="1:15" ht="19.5" customHeight="1" x14ac:dyDescent="0.25">
      <c r="A993" s="11" t="s">
        <v>1209</v>
      </c>
      <c r="B993" s="11"/>
      <c r="C993" s="11" t="s">
        <v>5968</v>
      </c>
      <c r="D993" s="11" t="s">
        <v>1883</v>
      </c>
      <c r="E993" s="11" t="s">
        <v>5964</v>
      </c>
      <c r="F993" s="11"/>
      <c r="G993" s="11" t="s">
        <v>5967</v>
      </c>
      <c r="H993" s="11"/>
      <c r="I993" s="11" t="s">
        <v>5966</v>
      </c>
      <c r="J993" s="11" t="s">
        <v>5960</v>
      </c>
      <c r="K993" s="11" t="s">
        <v>3599</v>
      </c>
      <c r="L993" s="11"/>
      <c r="M993" s="12"/>
      <c r="N993" s="11"/>
      <c r="O993" s="11" t="s">
        <v>2028</v>
      </c>
    </row>
    <row r="994" spans="1:15" ht="19.5" customHeight="1" x14ac:dyDescent="0.25">
      <c r="A994" s="13" t="s">
        <v>1209</v>
      </c>
      <c r="B994" s="13"/>
      <c r="C994" s="13" t="s">
        <v>5965</v>
      </c>
      <c r="D994" s="13" t="s">
        <v>1883</v>
      </c>
      <c r="E994" s="13" t="s">
        <v>5964</v>
      </c>
      <c r="F994" s="13" t="s">
        <v>5963</v>
      </c>
      <c r="G994" s="13" t="s">
        <v>1209</v>
      </c>
      <c r="H994" s="13" t="s">
        <v>5962</v>
      </c>
      <c r="I994" s="13" t="s">
        <v>5961</v>
      </c>
      <c r="J994" s="13" t="s">
        <v>5960</v>
      </c>
      <c r="K994" s="13" t="s">
        <v>3599</v>
      </c>
      <c r="L994" s="13"/>
      <c r="M994" s="14"/>
      <c r="N994" s="13"/>
      <c r="O994" s="13" t="s">
        <v>1945</v>
      </c>
    </row>
    <row r="995" spans="1:15" ht="19.5" customHeight="1" x14ac:dyDescent="0.25">
      <c r="A995" s="11" t="s">
        <v>1514</v>
      </c>
      <c r="B995" s="11"/>
      <c r="C995" s="11" t="s">
        <v>5959</v>
      </c>
      <c r="D995" s="11" t="s">
        <v>1883</v>
      </c>
      <c r="E995" s="11" t="s">
        <v>5958</v>
      </c>
      <c r="F995" s="11"/>
      <c r="G995" s="11" t="s">
        <v>1514</v>
      </c>
      <c r="H995" s="11"/>
      <c r="I995" s="11" t="s">
        <v>5957</v>
      </c>
      <c r="J995" s="11" t="s">
        <v>5956</v>
      </c>
      <c r="K995" s="11" t="s">
        <v>3599</v>
      </c>
      <c r="L995" s="11"/>
      <c r="M995" s="12"/>
      <c r="N995" s="11"/>
      <c r="O995" s="11" t="s">
        <v>2028</v>
      </c>
    </row>
    <row r="996" spans="1:15" ht="19.5" customHeight="1" x14ac:dyDescent="0.25">
      <c r="A996" s="13" t="s">
        <v>419</v>
      </c>
      <c r="B996" s="13"/>
      <c r="C996" s="13" t="s">
        <v>5955</v>
      </c>
      <c r="D996" s="13" t="s">
        <v>1883</v>
      </c>
      <c r="E996" s="13" t="s">
        <v>5952</v>
      </c>
      <c r="F996" s="13" t="s">
        <v>5951</v>
      </c>
      <c r="G996" s="13" t="s">
        <v>419</v>
      </c>
      <c r="H996" s="13" t="s">
        <v>5950</v>
      </c>
      <c r="I996" s="13" t="s">
        <v>5949</v>
      </c>
      <c r="J996" s="13" t="s">
        <v>5948</v>
      </c>
      <c r="K996" s="13" t="s">
        <v>3599</v>
      </c>
      <c r="L996" s="13"/>
      <c r="M996" s="14"/>
      <c r="N996" s="13"/>
      <c r="O996" s="13" t="s">
        <v>2028</v>
      </c>
    </row>
    <row r="997" spans="1:15" ht="19.5" customHeight="1" x14ac:dyDescent="0.25">
      <c r="A997" s="11" t="s">
        <v>419</v>
      </c>
      <c r="B997" s="11"/>
      <c r="C997" s="11" t="s">
        <v>5954</v>
      </c>
      <c r="D997" s="11" t="s">
        <v>1883</v>
      </c>
      <c r="E997" s="11" t="s">
        <v>5952</v>
      </c>
      <c r="F997" s="11" t="s">
        <v>5951</v>
      </c>
      <c r="G997" s="11" t="s">
        <v>419</v>
      </c>
      <c r="H997" s="11" t="s">
        <v>5950</v>
      </c>
      <c r="I997" s="11" t="s">
        <v>5949</v>
      </c>
      <c r="J997" s="11" t="s">
        <v>5948</v>
      </c>
      <c r="K997" s="11" t="s">
        <v>3599</v>
      </c>
      <c r="L997" s="11"/>
      <c r="M997" s="12"/>
      <c r="N997" s="11"/>
      <c r="O997" s="11" t="s">
        <v>2028</v>
      </c>
    </row>
    <row r="998" spans="1:15" ht="19.5" customHeight="1" x14ac:dyDescent="0.25">
      <c r="A998" s="13" t="s">
        <v>419</v>
      </c>
      <c r="B998" s="13"/>
      <c r="C998" s="13" t="s">
        <v>5953</v>
      </c>
      <c r="D998" s="13" t="s">
        <v>1883</v>
      </c>
      <c r="E998" s="13" t="s">
        <v>5952</v>
      </c>
      <c r="F998" s="13" t="s">
        <v>5951</v>
      </c>
      <c r="G998" s="13" t="s">
        <v>419</v>
      </c>
      <c r="H998" s="13" t="s">
        <v>5950</v>
      </c>
      <c r="I998" s="13" t="s">
        <v>5949</v>
      </c>
      <c r="J998" s="13" t="s">
        <v>5948</v>
      </c>
      <c r="K998" s="13" t="s">
        <v>3599</v>
      </c>
      <c r="L998" s="13"/>
      <c r="M998" s="14"/>
      <c r="N998" s="13"/>
      <c r="O998" s="13" t="s">
        <v>2028</v>
      </c>
    </row>
    <row r="999" spans="1:15" ht="19.5" customHeight="1" x14ac:dyDescent="0.25">
      <c r="A999" s="11" t="s">
        <v>8910</v>
      </c>
      <c r="B999" s="11"/>
      <c r="C999" s="11" t="s">
        <v>8909</v>
      </c>
      <c r="D999" s="11" t="s">
        <v>1883</v>
      </c>
      <c r="E999" s="11" t="s">
        <v>8921</v>
      </c>
      <c r="F999" s="11"/>
      <c r="G999" s="11" t="s">
        <v>8910</v>
      </c>
      <c r="H999" s="11"/>
      <c r="I999" s="11" t="s">
        <v>8922</v>
      </c>
      <c r="J999" s="11" t="s">
        <v>8923</v>
      </c>
      <c r="K999" s="11" t="s">
        <v>3599</v>
      </c>
      <c r="L999" s="11"/>
      <c r="M999" s="12"/>
      <c r="N999" s="11"/>
      <c r="O999" s="11" t="s">
        <v>2028</v>
      </c>
    </row>
    <row r="1000" spans="1:15" ht="19.5" customHeight="1" x14ac:dyDescent="0.25">
      <c r="A1000" s="13" t="s">
        <v>1616</v>
      </c>
      <c r="B1000" s="13"/>
      <c r="C1000" s="13" t="s">
        <v>5947</v>
      </c>
      <c r="D1000" s="13" t="s">
        <v>1883</v>
      </c>
      <c r="E1000" s="13" t="s">
        <v>5946</v>
      </c>
      <c r="F1000" s="13"/>
      <c r="G1000" s="13" t="s">
        <v>1616</v>
      </c>
      <c r="H1000" s="13"/>
      <c r="I1000" s="13" t="s">
        <v>5945</v>
      </c>
      <c r="J1000" s="13" t="s">
        <v>5944</v>
      </c>
      <c r="K1000" s="13" t="s">
        <v>3599</v>
      </c>
      <c r="L1000" s="13"/>
      <c r="M1000" s="14"/>
      <c r="N1000" s="13"/>
      <c r="O1000" s="13" t="s">
        <v>2028</v>
      </c>
    </row>
    <row r="1001" spans="1:15" ht="19.5" customHeight="1" x14ac:dyDescent="0.25">
      <c r="A1001" s="11" t="s">
        <v>421</v>
      </c>
      <c r="B1001" s="11"/>
      <c r="C1001" s="11" t="s">
        <v>5943</v>
      </c>
      <c r="D1001" s="11" t="s">
        <v>1883</v>
      </c>
      <c r="E1001" s="11" t="s">
        <v>5940</v>
      </c>
      <c r="F1001" s="11" t="s">
        <v>5939</v>
      </c>
      <c r="G1001" s="11" t="s">
        <v>421</v>
      </c>
      <c r="H1001" s="11" t="s">
        <v>5938</v>
      </c>
      <c r="I1001" s="11" t="s">
        <v>5937</v>
      </c>
      <c r="J1001" s="11" t="s">
        <v>5936</v>
      </c>
      <c r="K1001" s="11" t="s">
        <v>3599</v>
      </c>
      <c r="L1001" s="11"/>
      <c r="M1001" s="12"/>
      <c r="N1001" s="11"/>
      <c r="O1001" s="11" t="s">
        <v>2028</v>
      </c>
    </row>
    <row r="1002" spans="1:15" ht="19.5" customHeight="1" x14ac:dyDescent="0.25">
      <c r="A1002" s="13" t="s">
        <v>421</v>
      </c>
      <c r="B1002" s="13"/>
      <c r="C1002" s="13" t="s">
        <v>5942</v>
      </c>
      <c r="D1002" s="13" t="s">
        <v>1883</v>
      </c>
      <c r="E1002" s="13" t="s">
        <v>5940</v>
      </c>
      <c r="F1002" s="13" t="s">
        <v>5939</v>
      </c>
      <c r="G1002" s="13" t="s">
        <v>421</v>
      </c>
      <c r="H1002" s="13" t="s">
        <v>5938</v>
      </c>
      <c r="I1002" s="13" t="s">
        <v>5937</v>
      </c>
      <c r="J1002" s="13" t="s">
        <v>5936</v>
      </c>
      <c r="K1002" s="13" t="s">
        <v>3599</v>
      </c>
      <c r="L1002" s="13"/>
      <c r="M1002" s="14"/>
      <c r="N1002" s="13"/>
      <c r="O1002" s="13" t="s">
        <v>2028</v>
      </c>
    </row>
    <row r="1003" spans="1:15" ht="19.5" customHeight="1" x14ac:dyDescent="0.25">
      <c r="A1003" s="11" t="s">
        <v>421</v>
      </c>
      <c r="B1003" s="11"/>
      <c r="C1003" s="11" t="s">
        <v>5941</v>
      </c>
      <c r="D1003" s="11" t="s">
        <v>1883</v>
      </c>
      <c r="E1003" s="11" t="s">
        <v>5940</v>
      </c>
      <c r="F1003" s="11" t="s">
        <v>5939</v>
      </c>
      <c r="G1003" s="11" t="s">
        <v>421</v>
      </c>
      <c r="H1003" s="11" t="s">
        <v>5938</v>
      </c>
      <c r="I1003" s="11" t="s">
        <v>5937</v>
      </c>
      <c r="J1003" s="11" t="s">
        <v>5936</v>
      </c>
      <c r="K1003" s="11" t="s">
        <v>3599</v>
      </c>
      <c r="L1003" s="11"/>
      <c r="M1003" s="12"/>
      <c r="N1003" s="11"/>
      <c r="O1003" s="11" t="s">
        <v>2028</v>
      </c>
    </row>
    <row r="1004" spans="1:15" ht="19.5" customHeight="1" x14ac:dyDescent="0.25">
      <c r="A1004" s="13" t="s">
        <v>423</v>
      </c>
      <c r="B1004" s="13"/>
      <c r="C1004" s="13" t="s">
        <v>5935</v>
      </c>
      <c r="D1004" s="13" t="s">
        <v>1883</v>
      </c>
      <c r="E1004" s="13" t="s">
        <v>5930</v>
      </c>
      <c r="F1004" s="13"/>
      <c r="G1004" s="13" t="s">
        <v>423</v>
      </c>
      <c r="H1004" s="13" t="s">
        <v>5929</v>
      </c>
      <c r="I1004" s="13" t="s">
        <v>5841</v>
      </c>
      <c r="J1004" s="13" t="s">
        <v>5928</v>
      </c>
      <c r="K1004" s="13" t="s">
        <v>2033</v>
      </c>
      <c r="L1004" s="13"/>
      <c r="M1004" s="14"/>
      <c r="N1004" s="13"/>
      <c r="O1004" s="13" t="s">
        <v>2028</v>
      </c>
    </row>
    <row r="1005" spans="1:15" ht="19.5" customHeight="1" x14ac:dyDescent="0.25">
      <c r="A1005" s="11" t="s">
        <v>423</v>
      </c>
      <c r="B1005" s="11"/>
      <c r="C1005" s="11" t="s">
        <v>5934</v>
      </c>
      <c r="D1005" s="11" t="s">
        <v>1883</v>
      </c>
      <c r="E1005" s="11" t="s">
        <v>5930</v>
      </c>
      <c r="F1005" s="11"/>
      <c r="G1005" s="11" t="s">
        <v>423</v>
      </c>
      <c r="H1005" s="11" t="s">
        <v>5929</v>
      </c>
      <c r="I1005" s="11" t="s">
        <v>5841</v>
      </c>
      <c r="J1005" s="11" t="s">
        <v>5928</v>
      </c>
      <c r="K1005" s="11" t="s">
        <v>2033</v>
      </c>
      <c r="L1005" s="11"/>
      <c r="M1005" s="12"/>
      <c r="N1005" s="11"/>
      <c r="O1005" s="11" t="s">
        <v>2028</v>
      </c>
    </row>
    <row r="1006" spans="1:15" ht="19.5" customHeight="1" x14ac:dyDescent="0.25">
      <c r="A1006" s="13" t="s">
        <v>423</v>
      </c>
      <c r="B1006" s="13"/>
      <c r="C1006" s="13" t="s">
        <v>5933</v>
      </c>
      <c r="D1006" s="13" t="s">
        <v>1883</v>
      </c>
      <c r="E1006" s="13" t="s">
        <v>5930</v>
      </c>
      <c r="F1006" s="13"/>
      <c r="G1006" s="13" t="s">
        <v>423</v>
      </c>
      <c r="H1006" s="13" t="s">
        <v>5929</v>
      </c>
      <c r="I1006" s="13" t="s">
        <v>5932</v>
      </c>
      <c r="J1006" s="13" t="s">
        <v>5928</v>
      </c>
      <c r="K1006" s="13" t="s">
        <v>2033</v>
      </c>
      <c r="L1006" s="13"/>
      <c r="M1006" s="14"/>
      <c r="N1006" s="13"/>
      <c r="O1006" s="13" t="s">
        <v>1945</v>
      </c>
    </row>
    <row r="1007" spans="1:15" ht="19.5" customHeight="1" x14ac:dyDescent="0.25">
      <c r="A1007" s="11" t="s">
        <v>423</v>
      </c>
      <c r="B1007" s="11"/>
      <c r="C1007" s="11" t="s">
        <v>5931</v>
      </c>
      <c r="D1007" s="11" t="s">
        <v>1883</v>
      </c>
      <c r="E1007" s="11" t="s">
        <v>5930</v>
      </c>
      <c r="F1007" s="11"/>
      <c r="G1007" s="11" t="s">
        <v>423</v>
      </c>
      <c r="H1007" s="11" t="s">
        <v>5929</v>
      </c>
      <c r="I1007" s="11" t="s">
        <v>5841</v>
      </c>
      <c r="J1007" s="11" t="s">
        <v>5928</v>
      </c>
      <c r="K1007" s="11" t="s">
        <v>2033</v>
      </c>
      <c r="L1007" s="11"/>
      <c r="M1007" s="12"/>
      <c r="N1007" s="11"/>
      <c r="O1007" s="11" t="s">
        <v>2028</v>
      </c>
    </row>
    <row r="1008" spans="1:15" ht="19.5" customHeight="1" x14ac:dyDescent="0.25">
      <c r="A1008" s="13" t="s">
        <v>425</v>
      </c>
      <c r="B1008" s="13"/>
      <c r="C1008" s="13" t="s">
        <v>5927</v>
      </c>
      <c r="D1008" s="13" t="s">
        <v>1883</v>
      </c>
      <c r="E1008" s="13" t="s">
        <v>5926</v>
      </c>
      <c r="F1008" s="13" t="s">
        <v>5925</v>
      </c>
      <c r="G1008" s="13" t="s">
        <v>425</v>
      </c>
      <c r="H1008" s="13"/>
      <c r="I1008" s="13" t="s">
        <v>5924</v>
      </c>
      <c r="J1008" s="13" t="s">
        <v>5923</v>
      </c>
      <c r="K1008" s="13" t="s">
        <v>2033</v>
      </c>
      <c r="L1008" s="13"/>
      <c r="M1008" s="14"/>
      <c r="N1008" s="13"/>
      <c r="O1008" s="13" t="s">
        <v>2028</v>
      </c>
    </row>
    <row r="1009" spans="1:15" ht="19.5" customHeight="1" x14ac:dyDescent="0.25">
      <c r="A1009" s="11" t="s">
        <v>5920</v>
      </c>
      <c r="B1009" s="11"/>
      <c r="C1009" s="11" t="s">
        <v>5922</v>
      </c>
      <c r="D1009" s="11" t="s">
        <v>1883</v>
      </c>
      <c r="E1009" s="11" t="s">
        <v>5921</v>
      </c>
      <c r="F1009" s="11"/>
      <c r="G1009" s="11" t="s">
        <v>5920</v>
      </c>
      <c r="H1009" s="11"/>
      <c r="I1009" s="11" t="s">
        <v>5919</v>
      </c>
      <c r="J1009" s="11" t="s">
        <v>5918</v>
      </c>
      <c r="K1009" s="11" t="s">
        <v>1952</v>
      </c>
      <c r="L1009" s="11"/>
      <c r="M1009" s="12"/>
      <c r="N1009" s="11"/>
      <c r="O1009" s="11" t="s">
        <v>2028</v>
      </c>
    </row>
    <row r="1010" spans="1:15" ht="19.5" customHeight="1" x14ac:dyDescent="0.25">
      <c r="A1010" s="13" t="s">
        <v>8831</v>
      </c>
      <c r="B1010" s="13"/>
      <c r="C1010" s="13" t="s">
        <v>8830</v>
      </c>
      <c r="D1010" s="13" t="s">
        <v>1883</v>
      </c>
      <c r="E1010" s="13" t="s">
        <v>8837</v>
      </c>
      <c r="F1010" s="13" t="s">
        <v>8838</v>
      </c>
      <c r="G1010" s="13" t="s">
        <v>8831</v>
      </c>
      <c r="H1010" s="13"/>
      <c r="I1010" s="13" t="s">
        <v>8839</v>
      </c>
      <c r="J1010" s="13" t="s">
        <v>8840</v>
      </c>
      <c r="K1010" s="13" t="s">
        <v>2033</v>
      </c>
      <c r="L1010" s="13"/>
      <c r="M1010" s="14"/>
      <c r="N1010" s="13"/>
      <c r="O1010" s="13" t="s">
        <v>2364</v>
      </c>
    </row>
    <row r="1011" spans="1:15" ht="19.5" customHeight="1" x14ac:dyDescent="0.25">
      <c r="A1011" s="11" t="s">
        <v>1176</v>
      </c>
      <c r="B1011" s="11"/>
      <c r="C1011" s="11" t="s">
        <v>1175</v>
      </c>
      <c r="D1011" s="11" t="s">
        <v>1883</v>
      </c>
      <c r="E1011" s="11" t="s">
        <v>5917</v>
      </c>
      <c r="F1011" s="11"/>
      <c r="G1011" s="11" t="s">
        <v>1176</v>
      </c>
      <c r="H1011" s="11"/>
      <c r="I1011" s="11" t="s">
        <v>5916</v>
      </c>
      <c r="J1011" s="11" t="s">
        <v>5915</v>
      </c>
      <c r="K1011" s="11" t="s">
        <v>2033</v>
      </c>
      <c r="L1011" s="11"/>
      <c r="M1011" s="12"/>
      <c r="N1011" s="11"/>
      <c r="O1011" s="11" t="s">
        <v>1945</v>
      </c>
    </row>
    <row r="1012" spans="1:15" ht="19.5" customHeight="1" x14ac:dyDescent="0.25">
      <c r="A1012" s="13" t="s">
        <v>427</v>
      </c>
      <c r="B1012" s="13"/>
      <c r="C1012" s="13" t="s">
        <v>5914</v>
      </c>
      <c r="D1012" s="13" t="s">
        <v>1883</v>
      </c>
      <c r="E1012" s="13" t="s">
        <v>5911</v>
      </c>
      <c r="F1012" s="13" t="s">
        <v>5910</v>
      </c>
      <c r="G1012" s="13" t="s">
        <v>5909</v>
      </c>
      <c r="H1012" s="13"/>
      <c r="I1012" s="13" t="s">
        <v>5908</v>
      </c>
      <c r="J1012" s="13" t="s">
        <v>5907</v>
      </c>
      <c r="K1012" s="13" t="s">
        <v>2033</v>
      </c>
      <c r="L1012" s="13"/>
      <c r="M1012" s="14"/>
      <c r="N1012" s="13"/>
      <c r="O1012" s="13" t="s">
        <v>2028</v>
      </c>
    </row>
    <row r="1013" spans="1:15" ht="19.5" customHeight="1" x14ac:dyDescent="0.25">
      <c r="A1013" s="11" t="s">
        <v>427</v>
      </c>
      <c r="B1013" s="11"/>
      <c r="C1013" s="11" t="s">
        <v>5913</v>
      </c>
      <c r="D1013" s="11" t="s">
        <v>1883</v>
      </c>
      <c r="E1013" s="11" t="s">
        <v>5911</v>
      </c>
      <c r="F1013" s="11" t="s">
        <v>5910</v>
      </c>
      <c r="G1013" s="11" t="s">
        <v>5909</v>
      </c>
      <c r="H1013" s="11"/>
      <c r="I1013" s="11" t="s">
        <v>5908</v>
      </c>
      <c r="J1013" s="11" t="s">
        <v>5907</v>
      </c>
      <c r="K1013" s="11" t="s">
        <v>2033</v>
      </c>
      <c r="L1013" s="11"/>
      <c r="M1013" s="12"/>
      <c r="N1013" s="11"/>
      <c r="O1013" s="11" t="s">
        <v>2028</v>
      </c>
    </row>
    <row r="1014" spans="1:15" ht="19.5" customHeight="1" x14ac:dyDescent="0.25">
      <c r="A1014" s="13" t="s">
        <v>427</v>
      </c>
      <c r="B1014" s="13"/>
      <c r="C1014" s="13" t="s">
        <v>5912</v>
      </c>
      <c r="D1014" s="13" t="s">
        <v>1883</v>
      </c>
      <c r="E1014" s="13" t="s">
        <v>5911</v>
      </c>
      <c r="F1014" s="13" t="s">
        <v>5910</v>
      </c>
      <c r="G1014" s="13" t="s">
        <v>5909</v>
      </c>
      <c r="H1014" s="13"/>
      <c r="I1014" s="13" t="s">
        <v>5908</v>
      </c>
      <c r="J1014" s="13" t="s">
        <v>5907</v>
      </c>
      <c r="K1014" s="13" t="s">
        <v>2033</v>
      </c>
      <c r="L1014" s="13"/>
      <c r="M1014" s="14"/>
      <c r="N1014" s="13"/>
      <c r="O1014" s="13" t="s">
        <v>2028</v>
      </c>
    </row>
    <row r="1015" spans="1:15" ht="19.5" customHeight="1" x14ac:dyDescent="0.25">
      <c r="A1015" s="11" t="s">
        <v>5905</v>
      </c>
      <c r="B1015" s="11"/>
      <c r="C1015" s="11" t="s">
        <v>5906</v>
      </c>
      <c r="D1015" s="11" t="s">
        <v>1883</v>
      </c>
      <c r="E1015" s="11" t="s">
        <v>5903</v>
      </c>
      <c r="F1015" s="11" t="s">
        <v>5902</v>
      </c>
      <c r="G1015" s="11" t="s">
        <v>5905</v>
      </c>
      <c r="H1015" s="11"/>
      <c r="I1015" s="11" t="s">
        <v>5904</v>
      </c>
      <c r="J1015" s="11" t="s">
        <v>5899</v>
      </c>
      <c r="K1015" s="11" t="s">
        <v>4304</v>
      </c>
      <c r="L1015" s="11"/>
      <c r="M1015" s="12"/>
      <c r="N1015" s="11"/>
      <c r="O1015" s="11" t="s">
        <v>1916</v>
      </c>
    </row>
    <row r="1016" spans="1:15" ht="19.5" customHeight="1" x14ac:dyDescent="0.25">
      <c r="A1016" s="13" t="s">
        <v>753</v>
      </c>
      <c r="B1016" s="13"/>
      <c r="C1016" s="13" t="s">
        <v>752</v>
      </c>
      <c r="D1016" s="13" t="s">
        <v>1883</v>
      </c>
      <c r="E1016" s="13" t="s">
        <v>5903</v>
      </c>
      <c r="F1016" s="13" t="s">
        <v>5902</v>
      </c>
      <c r="G1016" s="13" t="s">
        <v>753</v>
      </c>
      <c r="H1016" s="13" t="s">
        <v>5901</v>
      </c>
      <c r="I1016" s="13" t="s">
        <v>5900</v>
      </c>
      <c r="J1016" s="13" t="s">
        <v>5899</v>
      </c>
      <c r="K1016" s="13" t="s">
        <v>4304</v>
      </c>
      <c r="L1016" s="13"/>
      <c r="M1016" s="14"/>
      <c r="N1016" s="13"/>
      <c r="O1016" s="13" t="s">
        <v>1945</v>
      </c>
    </row>
    <row r="1017" spans="1:15" ht="19.5" customHeight="1" x14ac:dyDescent="0.25">
      <c r="A1017" s="11" t="s">
        <v>5895</v>
      </c>
      <c r="B1017" s="11"/>
      <c r="C1017" s="11" t="s">
        <v>5898</v>
      </c>
      <c r="D1017" s="11" t="s">
        <v>1883</v>
      </c>
      <c r="E1017" s="11" t="s">
        <v>5897</v>
      </c>
      <c r="F1017" s="11" t="s">
        <v>5896</v>
      </c>
      <c r="G1017" s="11" t="s">
        <v>5895</v>
      </c>
      <c r="H1017" s="11" t="s">
        <v>5894</v>
      </c>
      <c r="I1017" s="11" t="s">
        <v>1997</v>
      </c>
      <c r="J1017" s="11" t="s">
        <v>5893</v>
      </c>
      <c r="K1017" s="11" t="s">
        <v>1952</v>
      </c>
      <c r="L1017" s="11"/>
      <c r="M1017" s="12"/>
      <c r="N1017" s="11"/>
      <c r="O1017" s="11" t="s">
        <v>1945</v>
      </c>
    </row>
    <row r="1018" spans="1:15" ht="19.5" customHeight="1" x14ac:dyDescent="0.25">
      <c r="A1018" s="13" t="s">
        <v>999</v>
      </c>
      <c r="B1018" s="13"/>
      <c r="C1018" s="13" t="s">
        <v>5892</v>
      </c>
      <c r="D1018" s="13" t="s">
        <v>1883</v>
      </c>
      <c r="E1018" s="13" t="s">
        <v>5891</v>
      </c>
      <c r="F1018" s="13"/>
      <c r="G1018" s="13" t="s">
        <v>999</v>
      </c>
      <c r="H1018" s="13" t="s">
        <v>5890</v>
      </c>
      <c r="I1018" s="13" t="s">
        <v>5889</v>
      </c>
      <c r="J1018" s="13" t="s">
        <v>5888</v>
      </c>
      <c r="K1018" s="13" t="s">
        <v>1952</v>
      </c>
      <c r="L1018" s="13"/>
      <c r="M1018" s="14"/>
      <c r="N1018" s="13"/>
      <c r="O1018" s="13" t="s">
        <v>2028</v>
      </c>
    </row>
    <row r="1019" spans="1:15" ht="19.5" customHeight="1" x14ac:dyDescent="0.25">
      <c r="A1019" s="11" t="s">
        <v>1306</v>
      </c>
      <c r="B1019" s="11"/>
      <c r="C1019" s="11" t="s">
        <v>1305</v>
      </c>
      <c r="D1019" s="11" t="s">
        <v>1883</v>
      </c>
      <c r="E1019" s="11" t="s">
        <v>5887</v>
      </c>
      <c r="F1019" s="11"/>
      <c r="G1019" s="11" t="s">
        <v>1306</v>
      </c>
      <c r="H1019" s="11"/>
      <c r="I1019" s="11" t="s">
        <v>5886</v>
      </c>
      <c r="J1019" s="11" t="s">
        <v>5885</v>
      </c>
      <c r="K1019" s="11" t="s">
        <v>2033</v>
      </c>
      <c r="L1019" s="11"/>
      <c r="M1019" s="12"/>
      <c r="N1019" s="11"/>
      <c r="O1019" s="11" t="s">
        <v>2028</v>
      </c>
    </row>
    <row r="1020" spans="1:15" ht="19.5" customHeight="1" x14ac:dyDescent="0.25">
      <c r="A1020" s="13" t="s">
        <v>1306</v>
      </c>
      <c r="B1020" s="13"/>
      <c r="C1020" s="13" t="s">
        <v>5884</v>
      </c>
      <c r="D1020" s="13" t="s">
        <v>1883</v>
      </c>
      <c r="E1020" s="13" t="s">
        <v>5883</v>
      </c>
      <c r="F1020" s="13"/>
      <c r="G1020" s="13" t="s">
        <v>1306</v>
      </c>
      <c r="H1020" s="13"/>
      <c r="I1020" s="13"/>
      <c r="J1020" s="13"/>
      <c r="K1020" s="13"/>
      <c r="L1020" s="13"/>
      <c r="M1020" s="14"/>
      <c r="N1020" s="13"/>
      <c r="O1020" s="13" t="s">
        <v>1945</v>
      </c>
    </row>
    <row r="1021" spans="1:15" ht="19.5" customHeight="1" x14ac:dyDescent="0.25">
      <c r="A1021" s="11" t="s">
        <v>5873</v>
      </c>
      <c r="B1021" s="11"/>
      <c r="C1021" s="11" t="s">
        <v>5882</v>
      </c>
      <c r="D1021" s="11" t="s">
        <v>1883</v>
      </c>
      <c r="E1021" s="11" t="s">
        <v>5874</v>
      </c>
      <c r="F1021" s="11" t="s">
        <v>5879</v>
      </c>
      <c r="G1021" s="11" t="s">
        <v>5873</v>
      </c>
      <c r="H1021" s="11" t="s">
        <v>5878</v>
      </c>
      <c r="I1021" s="11" t="s">
        <v>5877</v>
      </c>
      <c r="J1021" s="11" t="s">
        <v>5876</v>
      </c>
      <c r="K1021" s="11" t="s">
        <v>5114</v>
      </c>
      <c r="L1021" s="11"/>
      <c r="M1021" s="12"/>
      <c r="N1021" s="11"/>
      <c r="O1021" s="11" t="s">
        <v>2028</v>
      </c>
    </row>
    <row r="1022" spans="1:15" ht="19.5" customHeight="1" x14ac:dyDescent="0.25">
      <c r="A1022" s="13" t="s">
        <v>5873</v>
      </c>
      <c r="B1022" s="13"/>
      <c r="C1022" s="13" t="s">
        <v>5881</v>
      </c>
      <c r="D1022" s="13" t="s">
        <v>1883</v>
      </c>
      <c r="E1022" s="13" t="s">
        <v>5874</v>
      </c>
      <c r="F1022" s="13" t="s">
        <v>5879</v>
      </c>
      <c r="G1022" s="13" t="s">
        <v>5873</v>
      </c>
      <c r="H1022" s="13" t="s">
        <v>5878</v>
      </c>
      <c r="I1022" s="13" t="s">
        <v>5877</v>
      </c>
      <c r="J1022" s="13" t="s">
        <v>5876</v>
      </c>
      <c r="K1022" s="13" t="s">
        <v>5114</v>
      </c>
      <c r="L1022" s="13"/>
      <c r="M1022" s="14"/>
      <c r="N1022" s="13"/>
      <c r="O1022" s="13" t="s">
        <v>2028</v>
      </c>
    </row>
    <row r="1023" spans="1:15" ht="19.5" customHeight="1" x14ac:dyDescent="0.25">
      <c r="A1023" s="11" t="s">
        <v>5873</v>
      </c>
      <c r="B1023" s="11"/>
      <c r="C1023" s="11" t="s">
        <v>5880</v>
      </c>
      <c r="D1023" s="11" t="s">
        <v>1883</v>
      </c>
      <c r="E1023" s="11" t="s">
        <v>5874</v>
      </c>
      <c r="F1023" s="11" t="s">
        <v>5879</v>
      </c>
      <c r="G1023" s="11" t="s">
        <v>5873</v>
      </c>
      <c r="H1023" s="11" t="s">
        <v>5878</v>
      </c>
      <c r="I1023" s="11" t="s">
        <v>5877</v>
      </c>
      <c r="J1023" s="11" t="s">
        <v>5876</v>
      </c>
      <c r="K1023" s="11" t="s">
        <v>5114</v>
      </c>
      <c r="L1023" s="11"/>
      <c r="M1023" s="12"/>
      <c r="N1023" s="11"/>
      <c r="O1023" s="11" t="s">
        <v>2028</v>
      </c>
    </row>
    <row r="1024" spans="1:15" ht="19.5" customHeight="1" x14ac:dyDescent="0.25">
      <c r="A1024" s="13" t="s">
        <v>5873</v>
      </c>
      <c r="B1024" s="13"/>
      <c r="C1024" s="13" t="s">
        <v>5875</v>
      </c>
      <c r="D1024" s="13" t="s">
        <v>1883</v>
      </c>
      <c r="E1024" s="13" t="s">
        <v>5874</v>
      </c>
      <c r="F1024" s="13"/>
      <c r="G1024" s="13" t="s">
        <v>5873</v>
      </c>
      <c r="H1024" s="13"/>
      <c r="I1024" s="13"/>
      <c r="J1024" s="13"/>
      <c r="K1024" s="13"/>
      <c r="L1024" s="13"/>
      <c r="M1024" s="14"/>
      <c r="N1024" s="13"/>
      <c r="O1024" s="13" t="s">
        <v>1916</v>
      </c>
    </row>
    <row r="1025" spans="1:15" ht="19.5" customHeight="1" x14ac:dyDescent="0.25">
      <c r="A1025" s="11" t="s">
        <v>432</v>
      </c>
      <c r="B1025" s="11"/>
      <c r="C1025" s="11" t="s">
        <v>5863</v>
      </c>
      <c r="D1025" s="11" t="s">
        <v>1883</v>
      </c>
      <c r="E1025" s="11" t="s">
        <v>5862</v>
      </c>
      <c r="F1025" s="11"/>
      <c r="G1025" s="11" t="s">
        <v>432</v>
      </c>
      <c r="H1025" s="11"/>
      <c r="I1025" s="11"/>
      <c r="J1025" s="11"/>
      <c r="K1025" s="11"/>
      <c r="L1025" s="11"/>
      <c r="M1025" s="12"/>
      <c r="N1025" s="11"/>
      <c r="O1025" s="11" t="s">
        <v>2028</v>
      </c>
    </row>
    <row r="1026" spans="1:15" ht="19.5" customHeight="1" x14ac:dyDescent="0.25">
      <c r="A1026" s="13" t="s">
        <v>432</v>
      </c>
      <c r="B1026" s="13"/>
      <c r="C1026" s="13" t="s">
        <v>5868</v>
      </c>
      <c r="D1026" s="13" t="s">
        <v>1883</v>
      </c>
      <c r="E1026" s="13" t="s">
        <v>5867</v>
      </c>
      <c r="F1026" s="13"/>
      <c r="G1026" s="13" t="s">
        <v>432</v>
      </c>
      <c r="H1026" s="13" t="s">
        <v>5866</v>
      </c>
      <c r="I1026" s="13" t="s">
        <v>5865</v>
      </c>
      <c r="J1026" s="13" t="s">
        <v>5864</v>
      </c>
      <c r="K1026" s="13" t="s">
        <v>2033</v>
      </c>
      <c r="L1026" s="13"/>
      <c r="M1026" s="14"/>
      <c r="N1026" s="13"/>
      <c r="O1026" s="13" t="s">
        <v>2028</v>
      </c>
    </row>
    <row r="1027" spans="1:15" ht="19.5" customHeight="1" x14ac:dyDescent="0.25">
      <c r="A1027" s="11" t="s">
        <v>1191</v>
      </c>
      <c r="B1027" s="11"/>
      <c r="C1027" s="11" t="s">
        <v>5861</v>
      </c>
      <c r="D1027" s="11" t="s">
        <v>1883</v>
      </c>
      <c r="E1027" s="11" t="s">
        <v>5860</v>
      </c>
      <c r="F1027" s="11" t="s">
        <v>5859</v>
      </c>
      <c r="G1027" s="11" t="s">
        <v>1191</v>
      </c>
      <c r="H1027" s="11"/>
      <c r="I1027" s="11" t="s">
        <v>5858</v>
      </c>
      <c r="J1027" s="11" t="s">
        <v>5857</v>
      </c>
      <c r="K1027" s="11" t="s">
        <v>1952</v>
      </c>
      <c r="L1027" s="11"/>
      <c r="M1027" s="12"/>
      <c r="N1027" s="11"/>
      <c r="O1027" s="11" t="s">
        <v>2028</v>
      </c>
    </row>
    <row r="1028" spans="1:15" ht="19.5" customHeight="1" x14ac:dyDescent="0.25">
      <c r="A1028" s="13" t="s">
        <v>434</v>
      </c>
      <c r="B1028" s="13"/>
      <c r="C1028" s="13" t="s">
        <v>5856</v>
      </c>
      <c r="D1028" s="13" t="s">
        <v>1883</v>
      </c>
      <c r="E1028" s="13" t="s">
        <v>5851</v>
      </c>
      <c r="F1028" s="13"/>
      <c r="G1028" s="13" t="s">
        <v>5850</v>
      </c>
      <c r="H1028" s="13"/>
      <c r="I1028" s="13" t="s">
        <v>5849</v>
      </c>
      <c r="J1028" s="13" t="s">
        <v>5848</v>
      </c>
      <c r="K1028" s="13" t="s">
        <v>2033</v>
      </c>
      <c r="L1028" s="13"/>
      <c r="M1028" s="14"/>
      <c r="N1028" s="13"/>
      <c r="O1028" s="13" t="s">
        <v>2028</v>
      </c>
    </row>
    <row r="1029" spans="1:15" ht="19.5" customHeight="1" x14ac:dyDescent="0.25">
      <c r="A1029" s="11" t="s">
        <v>434</v>
      </c>
      <c r="B1029" s="11"/>
      <c r="C1029" s="11" t="s">
        <v>5855</v>
      </c>
      <c r="D1029" s="11" t="s">
        <v>1883</v>
      </c>
      <c r="E1029" s="11" t="s">
        <v>5851</v>
      </c>
      <c r="F1029" s="11" t="s">
        <v>5854</v>
      </c>
      <c r="G1029" s="11" t="s">
        <v>5850</v>
      </c>
      <c r="H1029" s="11"/>
      <c r="I1029" s="11" t="s">
        <v>5849</v>
      </c>
      <c r="J1029" s="11" t="s">
        <v>5848</v>
      </c>
      <c r="K1029" s="11" t="s">
        <v>2033</v>
      </c>
      <c r="L1029" s="11"/>
      <c r="M1029" s="12"/>
      <c r="N1029" s="11"/>
      <c r="O1029" s="11" t="s">
        <v>2028</v>
      </c>
    </row>
    <row r="1030" spans="1:15" ht="19.5" customHeight="1" x14ac:dyDescent="0.25">
      <c r="A1030" s="13" t="s">
        <v>434</v>
      </c>
      <c r="B1030" s="13"/>
      <c r="C1030" s="13" t="s">
        <v>5853</v>
      </c>
      <c r="D1030" s="13" t="s">
        <v>1883</v>
      </c>
      <c r="E1030" s="13" t="s">
        <v>5851</v>
      </c>
      <c r="F1030" s="13"/>
      <c r="G1030" s="13" t="s">
        <v>434</v>
      </c>
      <c r="H1030" s="13"/>
      <c r="I1030" s="13"/>
      <c r="J1030" s="13"/>
      <c r="K1030" s="13"/>
      <c r="L1030" s="13"/>
      <c r="M1030" s="14"/>
      <c r="N1030" s="13"/>
      <c r="O1030" s="13" t="s">
        <v>1916</v>
      </c>
    </row>
    <row r="1031" spans="1:15" ht="19.5" customHeight="1" x14ac:dyDescent="0.25">
      <c r="A1031" s="11" t="s">
        <v>434</v>
      </c>
      <c r="B1031" s="11"/>
      <c r="C1031" s="11" t="s">
        <v>5852</v>
      </c>
      <c r="D1031" s="11" t="s">
        <v>1883</v>
      </c>
      <c r="E1031" s="11" t="s">
        <v>5851</v>
      </c>
      <c r="F1031" s="11"/>
      <c r="G1031" s="11" t="s">
        <v>5850</v>
      </c>
      <c r="H1031" s="11"/>
      <c r="I1031" s="11" t="s">
        <v>5849</v>
      </c>
      <c r="J1031" s="11" t="s">
        <v>5848</v>
      </c>
      <c r="K1031" s="11" t="s">
        <v>2033</v>
      </c>
      <c r="L1031" s="11"/>
      <c r="M1031" s="12"/>
      <c r="N1031" s="11"/>
      <c r="O1031" s="11" t="s">
        <v>2028</v>
      </c>
    </row>
    <row r="1032" spans="1:15" ht="19.5" customHeight="1" x14ac:dyDescent="0.25">
      <c r="A1032" s="13" t="s">
        <v>438</v>
      </c>
      <c r="B1032" s="13"/>
      <c r="C1032" s="13" t="s">
        <v>5847</v>
      </c>
      <c r="D1032" s="13" t="s">
        <v>1883</v>
      </c>
      <c r="E1032" s="13" t="s">
        <v>5844</v>
      </c>
      <c r="F1032" s="13" t="s">
        <v>5843</v>
      </c>
      <c r="G1032" s="13" t="s">
        <v>438</v>
      </c>
      <c r="H1032" s="13" t="s">
        <v>5842</v>
      </c>
      <c r="I1032" s="13" t="s">
        <v>5841</v>
      </c>
      <c r="J1032" s="13" t="s">
        <v>5840</v>
      </c>
      <c r="K1032" s="13" t="s">
        <v>2033</v>
      </c>
      <c r="L1032" s="13"/>
      <c r="M1032" s="14"/>
      <c r="N1032" s="13"/>
      <c r="O1032" s="13" t="s">
        <v>2028</v>
      </c>
    </row>
    <row r="1033" spans="1:15" ht="19.5" customHeight="1" x14ac:dyDescent="0.25">
      <c r="A1033" s="11" t="s">
        <v>438</v>
      </c>
      <c r="B1033" s="11"/>
      <c r="C1033" s="11" t="s">
        <v>5846</v>
      </c>
      <c r="D1033" s="11" t="s">
        <v>1883</v>
      </c>
      <c r="E1033" s="11" t="s">
        <v>5844</v>
      </c>
      <c r="F1033" s="11" t="s">
        <v>5843</v>
      </c>
      <c r="G1033" s="11" t="s">
        <v>438</v>
      </c>
      <c r="H1033" s="11" t="s">
        <v>5842</v>
      </c>
      <c r="I1033" s="11" t="s">
        <v>5841</v>
      </c>
      <c r="J1033" s="11" t="s">
        <v>5840</v>
      </c>
      <c r="K1033" s="11" t="s">
        <v>2033</v>
      </c>
      <c r="L1033" s="11"/>
      <c r="M1033" s="12"/>
      <c r="N1033" s="11"/>
      <c r="O1033" s="11" t="s">
        <v>2028</v>
      </c>
    </row>
    <row r="1034" spans="1:15" ht="19.5" customHeight="1" x14ac:dyDescent="0.25">
      <c r="A1034" s="13" t="s">
        <v>438</v>
      </c>
      <c r="B1034" s="13"/>
      <c r="C1034" s="13" t="s">
        <v>5845</v>
      </c>
      <c r="D1034" s="13" t="s">
        <v>1883</v>
      </c>
      <c r="E1034" s="13" t="s">
        <v>5844</v>
      </c>
      <c r="F1034" s="13" t="s">
        <v>5843</v>
      </c>
      <c r="G1034" s="13" t="s">
        <v>438</v>
      </c>
      <c r="H1034" s="13" t="s">
        <v>5842</v>
      </c>
      <c r="I1034" s="13" t="s">
        <v>5841</v>
      </c>
      <c r="J1034" s="13" t="s">
        <v>5840</v>
      </c>
      <c r="K1034" s="13" t="s">
        <v>2033</v>
      </c>
      <c r="L1034" s="13"/>
      <c r="M1034" s="14"/>
      <c r="N1034" s="13"/>
      <c r="O1034" s="13" t="s">
        <v>2028</v>
      </c>
    </row>
    <row r="1035" spans="1:15" ht="19.5" customHeight="1" x14ac:dyDescent="0.25">
      <c r="A1035" s="11" t="s">
        <v>440</v>
      </c>
      <c r="B1035" s="11"/>
      <c r="C1035" s="11" t="s">
        <v>5839</v>
      </c>
      <c r="D1035" s="11" t="s">
        <v>1883</v>
      </c>
      <c r="E1035" s="11" t="s">
        <v>5838</v>
      </c>
      <c r="F1035" s="11"/>
      <c r="G1035" s="11" t="s">
        <v>440</v>
      </c>
      <c r="H1035" s="11"/>
      <c r="I1035" s="11" t="s">
        <v>5837</v>
      </c>
      <c r="J1035" s="16" t="s">
        <v>5836</v>
      </c>
      <c r="K1035" s="11" t="s">
        <v>4304</v>
      </c>
      <c r="L1035" s="11"/>
      <c r="M1035" s="12"/>
      <c r="N1035" s="11"/>
      <c r="O1035" s="11" t="s">
        <v>2028</v>
      </c>
    </row>
    <row r="1036" spans="1:15" ht="19.5" customHeight="1" x14ac:dyDescent="0.25">
      <c r="A1036" s="13" t="s">
        <v>1799</v>
      </c>
      <c r="B1036" s="13"/>
      <c r="C1036" s="13" t="s">
        <v>5835</v>
      </c>
      <c r="D1036" s="13" t="s">
        <v>1883</v>
      </c>
      <c r="E1036" s="13" t="s">
        <v>5834</v>
      </c>
      <c r="F1036" s="13" t="s">
        <v>5833</v>
      </c>
      <c r="G1036" s="13" t="s">
        <v>1799</v>
      </c>
      <c r="H1036" s="13"/>
      <c r="I1036" s="13" t="s">
        <v>5832</v>
      </c>
      <c r="J1036" s="13" t="s">
        <v>5831</v>
      </c>
      <c r="K1036" s="13" t="s">
        <v>5830</v>
      </c>
      <c r="L1036" s="13"/>
      <c r="M1036" s="14"/>
      <c r="N1036" s="13"/>
      <c r="O1036" s="13" t="s">
        <v>2466</v>
      </c>
    </row>
    <row r="1037" spans="1:15" ht="19.5" customHeight="1" x14ac:dyDescent="0.25">
      <c r="A1037" s="11" t="s">
        <v>5826</v>
      </c>
      <c r="B1037" s="11"/>
      <c r="C1037" s="11" t="s">
        <v>5829</v>
      </c>
      <c r="D1037" s="11" t="s">
        <v>1950</v>
      </c>
      <c r="E1037" s="11" t="s">
        <v>5828</v>
      </c>
      <c r="F1037" s="11" t="s">
        <v>5827</v>
      </c>
      <c r="G1037" s="11" t="s">
        <v>5826</v>
      </c>
      <c r="H1037" s="11" t="s">
        <v>5825</v>
      </c>
      <c r="I1037" s="11" t="s">
        <v>3978</v>
      </c>
      <c r="J1037" s="11" t="s">
        <v>5824</v>
      </c>
      <c r="K1037" s="11" t="s">
        <v>1952</v>
      </c>
      <c r="L1037" s="11"/>
      <c r="M1037" s="12"/>
      <c r="N1037" s="11"/>
      <c r="O1037" s="11"/>
    </row>
    <row r="1038" spans="1:15" ht="19.5" customHeight="1" x14ac:dyDescent="0.25">
      <c r="A1038" s="13" t="s">
        <v>1775</v>
      </c>
      <c r="B1038" s="13"/>
      <c r="C1038" s="13" t="s">
        <v>5823</v>
      </c>
      <c r="D1038" s="13" t="s">
        <v>1883</v>
      </c>
      <c r="E1038" s="13" t="s">
        <v>5822</v>
      </c>
      <c r="F1038" s="13"/>
      <c r="G1038" s="13" t="s">
        <v>1775</v>
      </c>
      <c r="H1038" s="13"/>
      <c r="I1038" s="13" t="s">
        <v>5821</v>
      </c>
      <c r="J1038" s="13" t="s">
        <v>5817</v>
      </c>
      <c r="K1038" s="13" t="s">
        <v>3599</v>
      </c>
      <c r="L1038" s="13"/>
      <c r="M1038" s="14"/>
      <c r="N1038" s="13"/>
      <c r="O1038" s="13" t="s">
        <v>2028</v>
      </c>
    </row>
    <row r="1039" spans="1:15" ht="19.5" customHeight="1" x14ac:dyDescent="0.25">
      <c r="A1039" s="11" t="s">
        <v>1775</v>
      </c>
      <c r="B1039" s="11"/>
      <c r="C1039" s="11" t="s">
        <v>5820</v>
      </c>
      <c r="D1039" s="11" t="s">
        <v>1883</v>
      </c>
      <c r="E1039" s="11" t="s">
        <v>5819</v>
      </c>
      <c r="F1039" s="11"/>
      <c r="G1039" s="11"/>
      <c r="H1039" s="11"/>
      <c r="I1039" s="11" t="s">
        <v>5818</v>
      </c>
      <c r="J1039" s="11" t="s">
        <v>5817</v>
      </c>
      <c r="K1039" s="11" t="s">
        <v>3599</v>
      </c>
      <c r="L1039" s="11"/>
      <c r="M1039" s="12"/>
      <c r="N1039" s="11"/>
      <c r="O1039" s="11" t="s">
        <v>2028</v>
      </c>
    </row>
    <row r="1040" spans="1:15" ht="19.5" customHeight="1" x14ac:dyDescent="0.25">
      <c r="A1040" s="13" t="s">
        <v>5814</v>
      </c>
      <c r="B1040" s="13"/>
      <c r="C1040" s="13" t="s">
        <v>5816</v>
      </c>
      <c r="D1040" s="13" t="s">
        <v>1883</v>
      </c>
      <c r="E1040" s="13" t="s">
        <v>5815</v>
      </c>
      <c r="F1040" s="13"/>
      <c r="G1040" s="13" t="s">
        <v>5814</v>
      </c>
      <c r="H1040" s="13" t="s">
        <v>5813</v>
      </c>
      <c r="I1040" s="13"/>
      <c r="J1040" s="13"/>
      <c r="K1040" s="13"/>
      <c r="L1040" s="13"/>
      <c r="M1040" s="14"/>
      <c r="N1040" s="13"/>
      <c r="O1040" s="13" t="s">
        <v>2028</v>
      </c>
    </row>
    <row r="1041" spans="1:15" ht="19.5" customHeight="1" x14ac:dyDescent="0.25">
      <c r="A1041" s="11" t="s">
        <v>1376</v>
      </c>
      <c r="B1041" s="11"/>
      <c r="C1041" s="11" t="s">
        <v>5812</v>
      </c>
      <c r="D1041" s="11" t="s">
        <v>1883</v>
      </c>
      <c r="E1041" s="11" t="s">
        <v>5811</v>
      </c>
      <c r="F1041" s="11" t="s">
        <v>5810</v>
      </c>
      <c r="G1041" s="11" t="s">
        <v>1376</v>
      </c>
      <c r="H1041" s="11"/>
      <c r="I1041" s="11" t="s">
        <v>5809</v>
      </c>
      <c r="J1041" s="11" t="s">
        <v>5808</v>
      </c>
      <c r="K1041" s="11" t="s">
        <v>2033</v>
      </c>
      <c r="L1041" s="11"/>
      <c r="M1041" s="12"/>
      <c r="N1041" s="11"/>
      <c r="O1041" s="11" t="s">
        <v>2028</v>
      </c>
    </row>
    <row r="1042" spans="1:15" ht="19.5" customHeight="1" x14ac:dyDescent="0.25">
      <c r="A1042" s="13" t="s">
        <v>1332</v>
      </c>
      <c r="B1042" s="13"/>
      <c r="C1042" s="13" t="s">
        <v>5807</v>
      </c>
      <c r="D1042" s="13" t="s">
        <v>1883</v>
      </c>
      <c r="E1042" s="13" t="s">
        <v>5804</v>
      </c>
      <c r="F1042" s="13" t="s">
        <v>5803</v>
      </c>
      <c r="G1042" s="13" t="s">
        <v>1332</v>
      </c>
      <c r="H1042" s="13" t="s">
        <v>5806</v>
      </c>
      <c r="I1042" s="13" t="s">
        <v>5802</v>
      </c>
      <c r="J1042" s="13" t="s">
        <v>5801</v>
      </c>
      <c r="K1042" s="13" t="s">
        <v>3599</v>
      </c>
      <c r="L1042" s="13"/>
      <c r="M1042" s="14"/>
      <c r="N1042" s="13"/>
      <c r="O1042" s="13" t="s">
        <v>2028</v>
      </c>
    </row>
    <row r="1043" spans="1:15" ht="19.5" customHeight="1" x14ac:dyDescent="0.25">
      <c r="A1043" s="11" t="s">
        <v>1332</v>
      </c>
      <c r="B1043" s="11"/>
      <c r="C1043" s="11" t="s">
        <v>5805</v>
      </c>
      <c r="D1043" s="11" t="s">
        <v>1883</v>
      </c>
      <c r="E1043" s="11" t="s">
        <v>5804</v>
      </c>
      <c r="F1043" s="11" t="s">
        <v>5803</v>
      </c>
      <c r="G1043" s="11" t="s">
        <v>1332</v>
      </c>
      <c r="H1043" s="11"/>
      <c r="I1043" s="11" t="s">
        <v>5802</v>
      </c>
      <c r="J1043" s="11" t="s">
        <v>5801</v>
      </c>
      <c r="K1043" s="11" t="s">
        <v>3599</v>
      </c>
      <c r="L1043" s="11"/>
      <c r="M1043" s="12"/>
      <c r="N1043" s="11"/>
      <c r="O1043" s="11" t="s">
        <v>2028</v>
      </c>
    </row>
    <row r="1044" spans="1:15" ht="19.5" customHeight="1" x14ac:dyDescent="0.25">
      <c r="A1044" s="13" t="s">
        <v>1374</v>
      </c>
      <c r="B1044" s="13"/>
      <c r="C1044" s="13" t="s">
        <v>5800</v>
      </c>
      <c r="D1044" s="13" t="s">
        <v>1883</v>
      </c>
      <c r="E1044" s="13" t="s">
        <v>5799</v>
      </c>
      <c r="F1044" s="13" t="s">
        <v>5798</v>
      </c>
      <c r="G1044" s="13" t="s">
        <v>1374</v>
      </c>
      <c r="H1044" s="13" t="s">
        <v>5797</v>
      </c>
      <c r="I1044" s="13" t="s">
        <v>5796</v>
      </c>
      <c r="J1044" s="13" t="s">
        <v>5795</v>
      </c>
      <c r="K1044" s="13" t="s">
        <v>3599</v>
      </c>
      <c r="L1044" s="13"/>
      <c r="M1044" s="14"/>
      <c r="N1044" s="13"/>
      <c r="O1044" s="13" t="s">
        <v>2028</v>
      </c>
    </row>
    <row r="1045" spans="1:15" ht="19.5" customHeight="1" x14ac:dyDescent="0.25">
      <c r="A1045" s="11" t="s">
        <v>444</v>
      </c>
      <c r="B1045" s="11"/>
      <c r="C1045" s="11" t="s">
        <v>5794</v>
      </c>
      <c r="D1045" s="11" t="s">
        <v>1883</v>
      </c>
      <c r="E1045" s="11" t="s">
        <v>5791</v>
      </c>
      <c r="F1045" s="11" t="s">
        <v>5790</v>
      </c>
      <c r="G1045" s="11" t="s">
        <v>444</v>
      </c>
      <c r="H1045" s="11" t="s">
        <v>5789</v>
      </c>
      <c r="I1045" s="11" t="s">
        <v>5788</v>
      </c>
      <c r="J1045" s="11" t="s">
        <v>5787</v>
      </c>
      <c r="K1045" s="11" t="s">
        <v>1952</v>
      </c>
      <c r="L1045" s="11"/>
      <c r="M1045" s="12"/>
      <c r="N1045" s="11"/>
      <c r="O1045" s="11" t="s">
        <v>2028</v>
      </c>
    </row>
    <row r="1046" spans="1:15" ht="19.5" customHeight="1" x14ac:dyDescent="0.25">
      <c r="A1046" s="13" t="s">
        <v>444</v>
      </c>
      <c r="B1046" s="13"/>
      <c r="C1046" s="13" t="s">
        <v>5793</v>
      </c>
      <c r="D1046" s="13" t="s">
        <v>1883</v>
      </c>
      <c r="E1046" s="13" t="s">
        <v>5791</v>
      </c>
      <c r="F1046" s="13" t="s">
        <v>5790</v>
      </c>
      <c r="G1046" s="13" t="s">
        <v>444</v>
      </c>
      <c r="H1046" s="13" t="s">
        <v>5789</v>
      </c>
      <c r="I1046" s="13" t="s">
        <v>5788</v>
      </c>
      <c r="J1046" s="13" t="s">
        <v>5787</v>
      </c>
      <c r="K1046" s="13" t="s">
        <v>1952</v>
      </c>
      <c r="L1046" s="13"/>
      <c r="M1046" s="14"/>
      <c r="N1046" s="13"/>
      <c r="O1046" s="13" t="s">
        <v>2028</v>
      </c>
    </row>
    <row r="1047" spans="1:15" ht="19.5" customHeight="1" x14ac:dyDescent="0.25">
      <c r="A1047" s="11" t="s">
        <v>444</v>
      </c>
      <c r="B1047" s="11"/>
      <c r="C1047" s="11" t="s">
        <v>5792</v>
      </c>
      <c r="D1047" s="11" t="s">
        <v>1883</v>
      </c>
      <c r="E1047" s="11" t="s">
        <v>5791</v>
      </c>
      <c r="F1047" s="11" t="s">
        <v>5790</v>
      </c>
      <c r="G1047" s="11" t="s">
        <v>444</v>
      </c>
      <c r="H1047" s="11" t="s">
        <v>5789</v>
      </c>
      <c r="I1047" s="11" t="s">
        <v>5788</v>
      </c>
      <c r="J1047" s="11" t="s">
        <v>5787</v>
      </c>
      <c r="K1047" s="11" t="s">
        <v>1952</v>
      </c>
      <c r="L1047" s="11"/>
      <c r="M1047" s="12"/>
      <c r="N1047" s="11"/>
      <c r="O1047" s="11" t="s">
        <v>2028</v>
      </c>
    </row>
    <row r="1048" spans="1:15" ht="19.5" customHeight="1" x14ac:dyDescent="0.25">
      <c r="A1048" s="13" t="s">
        <v>446</v>
      </c>
      <c r="B1048" s="13"/>
      <c r="C1048" s="13" t="s">
        <v>445</v>
      </c>
      <c r="D1048" s="13" t="s">
        <v>1883</v>
      </c>
      <c r="E1048" s="13" t="s">
        <v>5786</v>
      </c>
      <c r="F1048" s="13"/>
      <c r="G1048" s="13" t="s">
        <v>446</v>
      </c>
      <c r="H1048" s="13"/>
      <c r="I1048" s="13"/>
      <c r="J1048" s="13"/>
      <c r="K1048" s="13"/>
      <c r="L1048" s="13"/>
      <c r="M1048" s="14"/>
      <c r="N1048" s="13"/>
      <c r="O1048" s="13" t="s">
        <v>2028</v>
      </c>
    </row>
    <row r="1049" spans="1:15" ht="19.5" customHeight="1" x14ac:dyDescent="0.25">
      <c r="A1049" s="11" t="s">
        <v>5782</v>
      </c>
      <c r="B1049" s="11"/>
      <c r="C1049" s="11" t="s">
        <v>5785</v>
      </c>
      <c r="D1049" s="11" t="s">
        <v>1883</v>
      </c>
      <c r="E1049" s="11" t="s">
        <v>5784</v>
      </c>
      <c r="F1049" s="11" t="s">
        <v>5783</v>
      </c>
      <c r="G1049" s="11" t="s">
        <v>5782</v>
      </c>
      <c r="H1049" s="11" t="s">
        <v>5781</v>
      </c>
      <c r="I1049" s="11" t="s">
        <v>5780</v>
      </c>
      <c r="J1049" s="11" t="s">
        <v>5779</v>
      </c>
      <c r="K1049" s="11" t="s">
        <v>1952</v>
      </c>
      <c r="L1049" s="11"/>
      <c r="M1049" s="12"/>
      <c r="N1049" s="11"/>
      <c r="O1049" s="11" t="s">
        <v>2028</v>
      </c>
    </row>
    <row r="1050" spans="1:15" ht="19.5" customHeight="1" x14ac:dyDescent="0.25">
      <c r="A1050" s="13" t="s">
        <v>448</v>
      </c>
      <c r="B1050" s="13"/>
      <c r="C1050" s="13" t="s">
        <v>5778</v>
      </c>
      <c r="D1050" s="13" t="s">
        <v>1883</v>
      </c>
      <c r="E1050" s="13" t="s">
        <v>5777</v>
      </c>
      <c r="F1050" s="13"/>
      <c r="G1050" s="13" t="s">
        <v>448</v>
      </c>
      <c r="H1050" s="13" t="s">
        <v>5776</v>
      </c>
      <c r="I1050" s="13" t="s">
        <v>5775</v>
      </c>
      <c r="J1050" s="13" t="s">
        <v>5774</v>
      </c>
      <c r="K1050" s="13" t="s">
        <v>1952</v>
      </c>
      <c r="L1050" s="13"/>
      <c r="M1050" s="14"/>
      <c r="N1050" s="13"/>
      <c r="O1050" s="13" t="s">
        <v>2028</v>
      </c>
    </row>
    <row r="1051" spans="1:15" ht="19.5" customHeight="1" x14ac:dyDescent="0.25">
      <c r="A1051" s="11" t="s">
        <v>450</v>
      </c>
      <c r="B1051" s="11"/>
      <c r="C1051" s="11" t="s">
        <v>5773</v>
      </c>
      <c r="D1051" s="11" t="s">
        <v>1883</v>
      </c>
      <c r="E1051" s="11" t="s">
        <v>5770</v>
      </c>
      <c r="F1051" s="11" t="s">
        <v>5769</v>
      </c>
      <c r="G1051" s="11" t="s">
        <v>5768</v>
      </c>
      <c r="H1051" s="11" t="s">
        <v>5767</v>
      </c>
      <c r="I1051" s="11" t="s">
        <v>5766</v>
      </c>
      <c r="J1051" s="11" t="s">
        <v>5765</v>
      </c>
      <c r="K1051" s="11" t="s">
        <v>1952</v>
      </c>
      <c r="L1051" s="11"/>
      <c r="M1051" s="12"/>
      <c r="N1051" s="11"/>
      <c r="O1051" s="11" t="s">
        <v>2028</v>
      </c>
    </row>
    <row r="1052" spans="1:15" ht="19.5" customHeight="1" x14ac:dyDescent="0.25">
      <c r="A1052" s="13" t="s">
        <v>450</v>
      </c>
      <c r="B1052" s="13"/>
      <c r="C1052" s="13" t="s">
        <v>5772</v>
      </c>
      <c r="D1052" s="13" t="s">
        <v>1883</v>
      </c>
      <c r="E1052" s="13" t="s">
        <v>5770</v>
      </c>
      <c r="F1052" s="13" t="s">
        <v>5769</v>
      </c>
      <c r="G1052" s="13" t="s">
        <v>5768</v>
      </c>
      <c r="H1052" s="13" t="s">
        <v>5767</v>
      </c>
      <c r="I1052" s="13" t="s">
        <v>5766</v>
      </c>
      <c r="J1052" s="13" t="s">
        <v>5765</v>
      </c>
      <c r="K1052" s="13" t="s">
        <v>1952</v>
      </c>
      <c r="L1052" s="13"/>
      <c r="M1052" s="14"/>
      <c r="N1052" s="13"/>
      <c r="O1052" s="13" t="s">
        <v>2028</v>
      </c>
    </row>
    <row r="1053" spans="1:15" ht="19.5" customHeight="1" x14ac:dyDescent="0.25">
      <c r="A1053" s="11" t="s">
        <v>450</v>
      </c>
      <c r="B1053" s="11"/>
      <c r="C1053" s="11" t="s">
        <v>5771</v>
      </c>
      <c r="D1053" s="11" t="s">
        <v>1883</v>
      </c>
      <c r="E1053" s="11" t="s">
        <v>5770</v>
      </c>
      <c r="F1053" s="11" t="s">
        <v>5769</v>
      </c>
      <c r="G1053" s="11" t="s">
        <v>5768</v>
      </c>
      <c r="H1053" s="11" t="s">
        <v>5767</v>
      </c>
      <c r="I1053" s="11" t="s">
        <v>5766</v>
      </c>
      <c r="J1053" s="11" t="s">
        <v>5765</v>
      </c>
      <c r="K1053" s="11" t="s">
        <v>1952</v>
      </c>
      <c r="L1053" s="11"/>
      <c r="M1053" s="12"/>
      <c r="N1053" s="11"/>
      <c r="O1053" s="11" t="s">
        <v>2028</v>
      </c>
    </row>
    <row r="1054" spans="1:15" ht="19.5" customHeight="1" x14ac:dyDescent="0.25">
      <c r="A1054" s="13" t="s">
        <v>453</v>
      </c>
      <c r="B1054" s="13"/>
      <c r="C1054" s="13" t="s">
        <v>5764</v>
      </c>
      <c r="D1054" s="13" t="s">
        <v>1883</v>
      </c>
      <c r="E1054" s="13" t="s">
        <v>5763</v>
      </c>
      <c r="F1054" s="13"/>
      <c r="G1054" s="13" t="s">
        <v>453</v>
      </c>
      <c r="H1054" s="13"/>
      <c r="I1054" s="13"/>
      <c r="J1054" s="13"/>
      <c r="K1054" s="13"/>
      <c r="L1054" s="13"/>
      <c r="M1054" s="14"/>
      <c r="N1054" s="13"/>
      <c r="O1054" s="13" t="s">
        <v>1916</v>
      </c>
    </row>
    <row r="1055" spans="1:15" ht="19.5" customHeight="1" x14ac:dyDescent="0.25">
      <c r="A1055" s="11" t="s">
        <v>453</v>
      </c>
      <c r="B1055" s="11"/>
      <c r="C1055" s="11" t="s">
        <v>5762</v>
      </c>
      <c r="D1055" s="11" t="s">
        <v>1883</v>
      </c>
      <c r="E1055" s="11" t="s">
        <v>5759</v>
      </c>
      <c r="F1055" s="11" t="s">
        <v>5758</v>
      </c>
      <c r="G1055" s="11" t="s">
        <v>453</v>
      </c>
      <c r="H1055" s="11"/>
      <c r="I1055" s="11" t="s">
        <v>5757</v>
      </c>
      <c r="J1055" s="11" t="s">
        <v>5756</v>
      </c>
      <c r="K1055" s="11" t="s">
        <v>3599</v>
      </c>
      <c r="L1055" s="11"/>
      <c r="M1055" s="12"/>
      <c r="N1055" s="11"/>
      <c r="O1055" s="11" t="s">
        <v>2028</v>
      </c>
    </row>
    <row r="1056" spans="1:15" ht="19.5" customHeight="1" x14ac:dyDescent="0.25">
      <c r="A1056" s="13" t="s">
        <v>453</v>
      </c>
      <c r="B1056" s="13"/>
      <c r="C1056" s="13" t="s">
        <v>5761</v>
      </c>
      <c r="D1056" s="13" t="s">
        <v>1883</v>
      </c>
      <c r="E1056" s="13" t="s">
        <v>5759</v>
      </c>
      <c r="F1056" s="13" t="s">
        <v>5758</v>
      </c>
      <c r="G1056" s="13" t="s">
        <v>453</v>
      </c>
      <c r="H1056" s="13"/>
      <c r="I1056" s="13" t="s">
        <v>5757</v>
      </c>
      <c r="J1056" s="13" t="s">
        <v>5756</v>
      </c>
      <c r="K1056" s="13" t="s">
        <v>3599</v>
      </c>
      <c r="L1056" s="13"/>
      <c r="M1056" s="14"/>
      <c r="N1056" s="13"/>
      <c r="O1056" s="13" t="s">
        <v>2028</v>
      </c>
    </row>
    <row r="1057" spans="1:15" ht="19.5" customHeight="1" x14ac:dyDescent="0.25">
      <c r="A1057" s="11" t="s">
        <v>453</v>
      </c>
      <c r="B1057" s="11"/>
      <c r="C1057" s="11" t="s">
        <v>5760</v>
      </c>
      <c r="D1057" s="11" t="s">
        <v>1883</v>
      </c>
      <c r="E1057" s="11" t="s">
        <v>5759</v>
      </c>
      <c r="F1057" s="11" t="s">
        <v>5758</v>
      </c>
      <c r="G1057" s="11" t="s">
        <v>453</v>
      </c>
      <c r="H1057" s="11"/>
      <c r="I1057" s="11" t="s">
        <v>5757</v>
      </c>
      <c r="J1057" s="11" t="s">
        <v>5756</v>
      </c>
      <c r="K1057" s="11" t="s">
        <v>3599</v>
      </c>
      <c r="L1057" s="11"/>
      <c r="M1057" s="12"/>
      <c r="N1057" s="11"/>
      <c r="O1057" s="11" t="s">
        <v>2028</v>
      </c>
    </row>
    <row r="1058" spans="1:15" ht="19.5" customHeight="1" x14ac:dyDescent="0.25">
      <c r="A1058" s="13" t="s">
        <v>455</v>
      </c>
      <c r="B1058" s="13"/>
      <c r="C1058" s="13" t="s">
        <v>5755</v>
      </c>
      <c r="D1058" s="13" t="s">
        <v>1883</v>
      </c>
      <c r="E1058" s="13" t="s">
        <v>5751</v>
      </c>
      <c r="F1058" s="13"/>
      <c r="G1058" s="13" t="s">
        <v>455</v>
      </c>
      <c r="H1058" s="13"/>
      <c r="I1058" s="13"/>
      <c r="J1058" s="13"/>
      <c r="K1058" s="13"/>
      <c r="L1058" s="13"/>
      <c r="M1058" s="14"/>
      <c r="N1058" s="13"/>
      <c r="O1058" s="13" t="s">
        <v>1916</v>
      </c>
    </row>
    <row r="1059" spans="1:15" ht="19.5" customHeight="1" x14ac:dyDescent="0.25">
      <c r="A1059" s="11" t="s">
        <v>455</v>
      </c>
      <c r="B1059" s="11"/>
      <c r="C1059" s="11" t="s">
        <v>5754</v>
      </c>
      <c r="D1059" s="11" t="s">
        <v>1883</v>
      </c>
      <c r="E1059" s="11" t="s">
        <v>5751</v>
      </c>
      <c r="F1059" s="11" t="s">
        <v>5750</v>
      </c>
      <c r="G1059" s="11" t="s">
        <v>455</v>
      </c>
      <c r="H1059" s="11" t="s">
        <v>5749</v>
      </c>
      <c r="I1059" s="11" t="s">
        <v>3056</v>
      </c>
      <c r="J1059" s="11" t="s">
        <v>5748</v>
      </c>
      <c r="K1059" s="11" t="s">
        <v>1952</v>
      </c>
      <c r="L1059" s="11"/>
      <c r="M1059" s="12"/>
      <c r="N1059" s="11"/>
      <c r="O1059" s="11" t="s">
        <v>2028</v>
      </c>
    </row>
    <row r="1060" spans="1:15" ht="19.5" customHeight="1" x14ac:dyDescent="0.25">
      <c r="A1060" s="13" t="s">
        <v>455</v>
      </c>
      <c r="B1060" s="13"/>
      <c r="C1060" s="13" t="s">
        <v>5753</v>
      </c>
      <c r="D1060" s="13" t="s">
        <v>1883</v>
      </c>
      <c r="E1060" s="13" t="s">
        <v>5751</v>
      </c>
      <c r="F1060" s="13" t="s">
        <v>5750</v>
      </c>
      <c r="G1060" s="13" t="s">
        <v>455</v>
      </c>
      <c r="H1060" s="13" t="s">
        <v>5749</v>
      </c>
      <c r="I1060" s="13" t="s">
        <v>3056</v>
      </c>
      <c r="J1060" s="13" t="s">
        <v>5748</v>
      </c>
      <c r="K1060" s="13" t="s">
        <v>1952</v>
      </c>
      <c r="L1060" s="13"/>
      <c r="M1060" s="14"/>
      <c r="N1060" s="13"/>
      <c r="O1060" s="13" t="s">
        <v>2028</v>
      </c>
    </row>
    <row r="1061" spans="1:15" ht="19.5" customHeight="1" x14ac:dyDescent="0.25">
      <c r="A1061" s="11" t="s">
        <v>455</v>
      </c>
      <c r="B1061" s="11"/>
      <c r="C1061" s="11" t="s">
        <v>5752</v>
      </c>
      <c r="D1061" s="11" t="s">
        <v>1883</v>
      </c>
      <c r="E1061" s="11" t="s">
        <v>5751</v>
      </c>
      <c r="F1061" s="11" t="s">
        <v>5750</v>
      </c>
      <c r="G1061" s="11" t="s">
        <v>455</v>
      </c>
      <c r="H1061" s="11" t="s">
        <v>5749</v>
      </c>
      <c r="I1061" s="11" t="s">
        <v>3056</v>
      </c>
      <c r="J1061" s="11" t="s">
        <v>5748</v>
      </c>
      <c r="K1061" s="11" t="s">
        <v>1952</v>
      </c>
      <c r="L1061" s="11"/>
      <c r="M1061" s="12"/>
      <c r="N1061" s="11"/>
      <c r="O1061" s="11" t="s">
        <v>2028</v>
      </c>
    </row>
    <row r="1062" spans="1:15" ht="19.5" customHeight="1" x14ac:dyDescent="0.25">
      <c r="A1062" s="13" t="s">
        <v>5745</v>
      </c>
      <c r="B1062" s="13"/>
      <c r="C1062" s="13" t="s">
        <v>5747</v>
      </c>
      <c r="D1062" s="13" t="s">
        <v>1883</v>
      </c>
      <c r="E1062" s="13" t="s">
        <v>5746</v>
      </c>
      <c r="F1062" s="13"/>
      <c r="G1062" s="13" t="s">
        <v>5745</v>
      </c>
      <c r="H1062" s="13"/>
      <c r="I1062" s="13"/>
      <c r="J1062" s="13"/>
      <c r="K1062" s="13"/>
      <c r="L1062" s="13"/>
      <c r="M1062" s="14"/>
      <c r="N1062" s="13"/>
      <c r="O1062" s="13" t="s">
        <v>2028</v>
      </c>
    </row>
    <row r="1063" spans="1:15" ht="19.5" customHeight="1" x14ac:dyDescent="0.25">
      <c r="A1063" s="11" t="s">
        <v>457</v>
      </c>
      <c r="B1063" s="11"/>
      <c r="C1063" s="11" t="s">
        <v>5744</v>
      </c>
      <c r="D1063" s="11" t="s">
        <v>1883</v>
      </c>
      <c r="E1063" s="11" t="s">
        <v>5741</v>
      </c>
      <c r="F1063" s="11" t="s">
        <v>5740</v>
      </c>
      <c r="G1063" s="11" t="s">
        <v>457</v>
      </c>
      <c r="H1063" s="11" t="s">
        <v>5739</v>
      </c>
      <c r="I1063" s="11" t="s">
        <v>5738</v>
      </c>
      <c r="J1063" s="11" t="s">
        <v>5737</v>
      </c>
      <c r="K1063" s="11" t="s">
        <v>2033</v>
      </c>
      <c r="L1063" s="11"/>
      <c r="M1063" s="12"/>
      <c r="N1063" s="11"/>
      <c r="O1063" s="11" t="s">
        <v>2028</v>
      </c>
    </row>
    <row r="1064" spans="1:15" ht="19.5" customHeight="1" x14ac:dyDescent="0.25">
      <c r="A1064" s="13" t="s">
        <v>457</v>
      </c>
      <c r="B1064" s="13"/>
      <c r="C1064" s="13" t="s">
        <v>5743</v>
      </c>
      <c r="D1064" s="13" t="s">
        <v>1883</v>
      </c>
      <c r="E1064" s="13" t="s">
        <v>5741</v>
      </c>
      <c r="F1064" s="13" t="s">
        <v>5740</v>
      </c>
      <c r="G1064" s="13" t="s">
        <v>457</v>
      </c>
      <c r="H1064" s="13" t="s">
        <v>5739</v>
      </c>
      <c r="I1064" s="13" t="s">
        <v>5738</v>
      </c>
      <c r="J1064" s="13" t="s">
        <v>5737</v>
      </c>
      <c r="K1064" s="13" t="s">
        <v>2033</v>
      </c>
      <c r="L1064" s="13"/>
      <c r="M1064" s="14"/>
      <c r="N1064" s="13"/>
      <c r="O1064" s="13" t="s">
        <v>2028</v>
      </c>
    </row>
    <row r="1065" spans="1:15" ht="19.5" customHeight="1" x14ac:dyDescent="0.25">
      <c r="A1065" s="11" t="s">
        <v>457</v>
      </c>
      <c r="B1065" s="11"/>
      <c r="C1065" s="11" t="s">
        <v>5742</v>
      </c>
      <c r="D1065" s="11" t="s">
        <v>1883</v>
      </c>
      <c r="E1065" s="11" t="s">
        <v>5741</v>
      </c>
      <c r="F1065" s="11" t="s">
        <v>5740</v>
      </c>
      <c r="G1065" s="11" t="s">
        <v>457</v>
      </c>
      <c r="H1065" s="11" t="s">
        <v>5739</v>
      </c>
      <c r="I1065" s="11" t="s">
        <v>5738</v>
      </c>
      <c r="J1065" s="11" t="s">
        <v>5737</v>
      </c>
      <c r="K1065" s="11" t="s">
        <v>2033</v>
      </c>
      <c r="L1065" s="11"/>
      <c r="M1065" s="12"/>
      <c r="N1065" s="11"/>
      <c r="O1065" s="11" t="s">
        <v>2028</v>
      </c>
    </row>
    <row r="1066" spans="1:15" ht="19.5" customHeight="1" x14ac:dyDescent="0.25">
      <c r="A1066" s="13" t="s">
        <v>459</v>
      </c>
      <c r="B1066" s="13"/>
      <c r="C1066" s="13" t="s">
        <v>5736</v>
      </c>
      <c r="D1066" s="13" t="s">
        <v>1883</v>
      </c>
      <c r="E1066" s="13" t="s">
        <v>5735</v>
      </c>
      <c r="F1066" s="13"/>
      <c r="G1066" s="13" t="s">
        <v>459</v>
      </c>
      <c r="H1066" s="13"/>
      <c r="I1066" s="13"/>
      <c r="J1066" s="13"/>
      <c r="K1066" s="13"/>
      <c r="L1066" s="13"/>
      <c r="M1066" s="14"/>
      <c r="N1066" s="13"/>
      <c r="O1066" s="13" t="s">
        <v>2028</v>
      </c>
    </row>
    <row r="1067" spans="1:15" ht="19.5" customHeight="1" x14ac:dyDescent="0.25">
      <c r="A1067" s="11" t="s">
        <v>5731</v>
      </c>
      <c r="B1067" s="11"/>
      <c r="C1067" s="11" t="s">
        <v>5734</v>
      </c>
      <c r="D1067" s="11" t="s">
        <v>1883</v>
      </c>
      <c r="E1067" s="11" t="s">
        <v>5733</v>
      </c>
      <c r="F1067" s="11" t="s">
        <v>5732</v>
      </c>
      <c r="G1067" s="11" t="s">
        <v>5731</v>
      </c>
      <c r="H1067" s="11"/>
      <c r="I1067" s="11" t="s">
        <v>5730</v>
      </c>
      <c r="J1067" s="11" t="s">
        <v>5729</v>
      </c>
      <c r="K1067" s="11" t="s">
        <v>2033</v>
      </c>
      <c r="L1067" s="11"/>
      <c r="M1067" s="12"/>
      <c r="N1067" s="11"/>
      <c r="O1067" s="11" t="s">
        <v>1945</v>
      </c>
    </row>
    <row r="1068" spans="1:15" ht="19.5" customHeight="1" x14ac:dyDescent="0.25">
      <c r="A1068" s="13" t="s">
        <v>5731</v>
      </c>
      <c r="B1068" s="13"/>
      <c r="C1068" s="13" t="s">
        <v>458</v>
      </c>
      <c r="D1068" s="13" t="s">
        <v>1883</v>
      </c>
      <c r="E1068" s="13" t="s">
        <v>5733</v>
      </c>
      <c r="F1068" s="13" t="s">
        <v>5732</v>
      </c>
      <c r="G1068" s="13" t="s">
        <v>5731</v>
      </c>
      <c r="H1068" s="13"/>
      <c r="I1068" s="13" t="s">
        <v>5730</v>
      </c>
      <c r="J1068" s="13" t="s">
        <v>5729</v>
      </c>
      <c r="K1068" s="13" t="s">
        <v>2033</v>
      </c>
      <c r="L1068" s="13"/>
      <c r="M1068" s="14"/>
      <c r="N1068" s="13"/>
      <c r="O1068" s="13" t="s">
        <v>2028</v>
      </c>
    </row>
    <row r="1069" spans="1:15" ht="19.5" customHeight="1" x14ac:dyDescent="0.25">
      <c r="A1069" s="11" t="s">
        <v>459</v>
      </c>
      <c r="B1069" s="11"/>
      <c r="C1069" s="11" t="s">
        <v>5728</v>
      </c>
      <c r="D1069" s="11" t="s">
        <v>1883</v>
      </c>
      <c r="E1069" s="11" t="s">
        <v>5727</v>
      </c>
      <c r="F1069" s="11"/>
      <c r="G1069" s="11" t="s">
        <v>459</v>
      </c>
      <c r="H1069" s="11"/>
      <c r="I1069" s="11"/>
      <c r="J1069" s="11"/>
      <c r="K1069" s="11"/>
      <c r="L1069" s="11"/>
      <c r="M1069" s="12"/>
      <c r="N1069" s="11"/>
      <c r="O1069" s="11" t="s">
        <v>1916</v>
      </c>
    </row>
    <row r="1070" spans="1:15" ht="19.5" customHeight="1" x14ac:dyDescent="0.25">
      <c r="A1070" s="13" t="s">
        <v>5724</v>
      </c>
      <c r="B1070" s="13"/>
      <c r="C1070" s="13" t="s">
        <v>5726</v>
      </c>
      <c r="D1070" s="13" t="s">
        <v>1883</v>
      </c>
      <c r="E1070" s="13" t="s">
        <v>5725</v>
      </c>
      <c r="F1070" s="13"/>
      <c r="G1070" s="13" t="s">
        <v>5724</v>
      </c>
      <c r="H1070" s="13"/>
      <c r="I1070" s="13" t="s">
        <v>4852</v>
      </c>
      <c r="J1070" s="13" t="s">
        <v>5723</v>
      </c>
      <c r="K1070" s="13" t="s">
        <v>1952</v>
      </c>
      <c r="L1070" s="13"/>
      <c r="M1070" s="14"/>
      <c r="N1070" s="13"/>
      <c r="O1070" s="13" t="s">
        <v>2028</v>
      </c>
    </row>
    <row r="1071" spans="1:15" ht="19.5" customHeight="1" x14ac:dyDescent="0.25">
      <c r="A1071" s="11" t="s">
        <v>461</v>
      </c>
      <c r="B1071" s="11"/>
      <c r="C1071" s="11" t="s">
        <v>5722</v>
      </c>
      <c r="D1071" s="11" t="s">
        <v>1883</v>
      </c>
      <c r="E1071" s="11" t="s">
        <v>5719</v>
      </c>
      <c r="F1071" s="11"/>
      <c r="G1071" s="11" t="s">
        <v>461</v>
      </c>
      <c r="H1071" s="11" t="s">
        <v>5718</v>
      </c>
      <c r="I1071" s="11" t="s">
        <v>5717</v>
      </c>
      <c r="J1071" s="11" t="s">
        <v>5716</v>
      </c>
      <c r="K1071" s="11" t="s">
        <v>2033</v>
      </c>
      <c r="L1071" s="11"/>
      <c r="M1071" s="12"/>
      <c r="N1071" s="11"/>
      <c r="O1071" s="11" t="s">
        <v>2028</v>
      </c>
    </row>
    <row r="1072" spans="1:15" ht="19.5" customHeight="1" x14ac:dyDescent="0.25">
      <c r="A1072" s="13" t="s">
        <v>461</v>
      </c>
      <c r="B1072" s="13"/>
      <c r="C1072" s="13" t="s">
        <v>5721</v>
      </c>
      <c r="D1072" s="13" t="s">
        <v>1883</v>
      </c>
      <c r="E1072" s="13" t="s">
        <v>5719</v>
      </c>
      <c r="F1072" s="13"/>
      <c r="G1072" s="13" t="s">
        <v>461</v>
      </c>
      <c r="H1072" s="13" t="s">
        <v>5718</v>
      </c>
      <c r="I1072" s="13" t="s">
        <v>5717</v>
      </c>
      <c r="J1072" s="13" t="s">
        <v>5716</v>
      </c>
      <c r="K1072" s="13" t="s">
        <v>2033</v>
      </c>
      <c r="L1072" s="13"/>
      <c r="M1072" s="14"/>
      <c r="N1072" s="13"/>
      <c r="O1072" s="13" t="s">
        <v>2028</v>
      </c>
    </row>
    <row r="1073" spans="1:15" ht="19.5" customHeight="1" x14ac:dyDescent="0.25">
      <c r="A1073" s="11" t="s">
        <v>461</v>
      </c>
      <c r="B1073" s="11"/>
      <c r="C1073" s="11" t="s">
        <v>5720</v>
      </c>
      <c r="D1073" s="11" t="s">
        <v>1883</v>
      </c>
      <c r="E1073" s="11" t="s">
        <v>5719</v>
      </c>
      <c r="F1073" s="11"/>
      <c r="G1073" s="11" t="s">
        <v>461</v>
      </c>
      <c r="H1073" s="11" t="s">
        <v>5718</v>
      </c>
      <c r="I1073" s="11" t="s">
        <v>5717</v>
      </c>
      <c r="J1073" s="11" t="s">
        <v>5716</v>
      </c>
      <c r="K1073" s="11" t="s">
        <v>2033</v>
      </c>
      <c r="L1073" s="11"/>
      <c r="M1073" s="12"/>
      <c r="N1073" s="11"/>
      <c r="O1073" s="11" t="s">
        <v>2028</v>
      </c>
    </row>
    <row r="1074" spans="1:15" ht="19.5" customHeight="1" x14ac:dyDescent="0.25">
      <c r="A1074" s="13" t="s">
        <v>1261</v>
      </c>
      <c r="B1074" s="13"/>
      <c r="C1074" s="13" t="s">
        <v>5715</v>
      </c>
      <c r="D1074" s="13" t="s">
        <v>1883</v>
      </c>
      <c r="E1074" s="13" t="s">
        <v>5714</v>
      </c>
      <c r="F1074" s="13"/>
      <c r="G1074" s="13" t="s">
        <v>1261</v>
      </c>
      <c r="H1074" s="13"/>
      <c r="I1074" s="13" t="s">
        <v>5713</v>
      </c>
      <c r="J1074" s="13" t="s">
        <v>5712</v>
      </c>
      <c r="K1074" s="13" t="s">
        <v>1952</v>
      </c>
      <c r="L1074" s="13"/>
      <c r="M1074" s="14"/>
      <c r="N1074" s="13"/>
      <c r="O1074" s="13" t="s">
        <v>2028</v>
      </c>
    </row>
    <row r="1075" spans="1:15" ht="19.5" customHeight="1" x14ac:dyDescent="0.25">
      <c r="A1075" s="11" t="s">
        <v>463</v>
      </c>
      <c r="B1075" s="11"/>
      <c r="C1075" s="11" t="s">
        <v>5711</v>
      </c>
      <c r="D1075" s="11" t="s">
        <v>1883</v>
      </c>
      <c r="E1075" s="11" t="s">
        <v>5710</v>
      </c>
      <c r="F1075" s="11"/>
      <c r="G1075" s="11" t="s">
        <v>463</v>
      </c>
      <c r="H1075" s="11" t="s">
        <v>5707</v>
      </c>
      <c r="I1075" s="11" t="s">
        <v>5706</v>
      </c>
      <c r="J1075" s="11" t="s">
        <v>5705</v>
      </c>
      <c r="K1075" s="11" t="s">
        <v>2033</v>
      </c>
      <c r="L1075" s="11"/>
      <c r="M1075" s="12"/>
      <c r="N1075" s="11"/>
      <c r="O1075" s="11" t="s">
        <v>2028</v>
      </c>
    </row>
    <row r="1076" spans="1:15" ht="19.5" customHeight="1" x14ac:dyDescent="0.25">
      <c r="A1076" s="13" t="s">
        <v>463</v>
      </c>
      <c r="B1076" s="13"/>
      <c r="C1076" s="13" t="s">
        <v>5709</v>
      </c>
      <c r="D1076" s="13" t="s">
        <v>1883</v>
      </c>
      <c r="E1076" s="13" t="s">
        <v>5708</v>
      </c>
      <c r="F1076" s="13"/>
      <c r="G1076" s="13" t="s">
        <v>463</v>
      </c>
      <c r="H1076" s="13" t="s">
        <v>5707</v>
      </c>
      <c r="I1076" s="13" t="s">
        <v>5706</v>
      </c>
      <c r="J1076" s="13" t="s">
        <v>5705</v>
      </c>
      <c r="K1076" s="13" t="s">
        <v>2033</v>
      </c>
      <c r="L1076" s="13"/>
      <c r="M1076" s="14"/>
      <c r="N1076" s="13"/>
      <c r="O1076" s="13" t="s">
        <v>2028</v>
      </c>
    </row>
    <row r="1077" spans="1:15" ht="19.5" customHeight="1" x14ac:dyDescent="0.25">
      <c r="A1077" s="11" t="s">
        <v>1448</v>
      </c>
      <c r="B1077" s="11"/>
      <c r="C1077" s="11" t="s">
        <v>8793</v>
      </c>
      <c r="D1077" s="11" t="s">
        <v>1883</v>
      </c>
      <c r="E1077" s="11" t="s">
        <v>5703</v>
      </c>
      <c r="F1077" s="11"/>
      <c r="G1077" s="11" t="s">
        <v>1448</v>
      </c>
      <c r="H1077" s="11"/>
      <c r="I1077" s="11" t="s">
        <v>4936</v>
      </c>
      <c r="J1077" s="11" t="s">
        <v>5702</v>
      </c>
      <c r="K1077" s="11" t="s">
        <v>2033</v>
      </c>
      <c r="L1077" s="11"/>
      <c r="M1077" s="12"/>
      <c r="N1077" s="11"/>
      <c r="O1077" s="11" t="s">
        <v>2028</v>
      </c>
    </row>
    <row r="1078" spans="1:15" ht="19.5" customHeight="1" x14ac:dyDescent="0.25">
      <c r="A1078" s="13" t="s">
        <v>1448</v>
      </c>
      <c r="B1078" s="13"/>
      <c r="C1078" s="13" t="s">
        <v>5704</v>
      </c>
      <c r="D1078" s="13" t="s">
        <v>1883</v>
      </c>
      <c r="E1078" s="13" t="s">
        <v>5703</v>
      </c>
      <c r="F1078" s="13"/>
      <c r="G1078" s="13" t="s">
        <v>1448</v>
      </c>
      <c r="H1078" s="13"/>
      <c r="I1078" s="13" t="s">
        <v>4936</v>
      </c>
      <c r="J1078" s="13" t="s">
        <v>5702</v>
      </c>
      <c r="K1078" s="13" t="s">
        <v>2033</v>
      </c>
      <c r="L1078" s="13"/>
      <c r="M1078" s="14"/>
      <c r="N1078" s="13"/>
      <c r="O1078" s="13" t="s">
        <v>2028</v>
      </c>
    </row>
    <row r="1079" spans="1:15" ht="19.5" customHeight="1" x14ac:dyDescent="0.25">
      <c r="A1079" s="11" t="s">
        <v>465</v>
      </c>
      <c r="B1079" s="11"/>
      <c r="C1079" s="11" t="s">
        <v>5701</v>
      </c>
      <c r="D1079" s="11" t="s">
        <v>1883</v>
      </c>
      <c r="E1079" s="11" t="s">
        <v>5700</v>
      </c>
      <c r="F1079" s="11"/>
      <c r="G1079" s="11" t="s">
        <v>465</v>
      </c>
      <c r="H1079" s="11"/>
      <c r="I1079" s="11" t="s">
        <v>5699</v>
      </c>
      <c r="J1079" s="11" t="s">
        <v>8826</v>
      </c>
      <c r="K1079" s="11" t="s">
        <v>2033</v>
      </c>
      <c r="L1079" s="11"/>
      <c r="M1079" s="12"/>
      <c r="N1079" s="11"/>
      <c r="O1079" s="11" t="s">
        <v>2028</v>
      </c>
    </row>
    <row r="1080" spans="1:15" ht="19.5" customHeight="1" x14ac:dyDescent="0.25">
      <c r="A1080" s="13" t="s">
        <v>465</v>
      </c>
      <c r="B1080" s="13"/>
      <c r="C1080" s="13" t="s">
        <v>5698</v>
      </c>
      <c r="D1080" s="13" t="s">
        <v>1883</v>
      </c>
      <c r="E1080" s="13" t="s">
        <v>5697</v>
      </c>
      <c r="F1080" s="13"/>
      <c r="G1080" s="13" t="s">
        <v>465</v>
      </c>
      <c r="H1080" s="13"/>
      <c r="I1080" s="13" t="s">
        <v>5699</v>
      </c>
      <c r="J1080" s="13" t="s">
        <v>8826</v>
      </c>
      <c r="K1080" s="13" t="s">
        <v>2033</v>
      </c>
      <c r="L1080" s="13"/>
      <c r="M1080" s="14"/>
      <c r="N1080" s="13"/>
      <c r="O1080" s="13" t="s">
        <v>2028</v>
      </c>
    </row>
    <row r="1081" spans="1:15" ht="19.5" customHeight="1" x14ac:dyDescent="0.25">
      <c r="A1081" s="11" t="s">
        <v>5694</v>
      </c>
      <c r="B1081" s="11"/>
      <c r="C1081" s="11" t="s">
        <v>5696</v>
      </c>
      <c r="D1081" s="11" t="s">
        <v>1883</v>
      </c>
      <c r="E1081" s="11" t="s">
        <v>5695</v>
      </c>
      <c r="F1081" s="11"/>
      <c r="G1081" s="11" t="s">
        <v>5694</v>
      </c>
      <c r="H1081" s="11"/>
      <c r="I1081" s="11" t="s">
        <v>5693</v>
      </c>
      <c r="J1081" s="11" t="s">
        <v>5692</v>
      </c>
      <c r="K1081" s="11" t="s">
        <v>2033</v>
      </c>
      <c r="L1081" s="11"/>
      <c r="M1081" s="12"/>
      <c r="N1081" s="11"/>
      <c r="O1081" s="11" t="s">
        <v>2028</v>
      </c>
    </row>
    <row r="1082" spans="1:15" ht="19.5" customHeight="1" x14ac:dyDescent="0.25">
      <c r="A1082" s="13" t="s">
        <v>5689</v>
      </c>
      <c r="B1082" s="13"/>
      <c r="C1082" s="13" t="s">
        <v>5691</v>
      </c>
      <c r="D1082" s="13" t="s">
        <v>1883</v>
      </c>
      <c r="E1082" s="13" t="s">
        <v>5690</v>
      </c>
      <c r="F1082" s="13"/>
      <c r="G1082" s="13" t="s">
        <v>5689</v>
      </c>
      <c r="H1082" s="13"/>
      <c r="I1082" s="13" t="s">
        <v>5688</v>
      </c>
      <c r="J1082" s="13" t="s">
        <v>5687</v>
      </c>
      <c r="K1082" s="13" t="s">
        <v>2033</v>
      </c>
      <c r="L1082" s="13"/>
      <c r="M1082" s="14"/>
      <c r="N1082" s="13"/>
      <c r="O1082" s="13" t="s">
        <v>2028</v>
      </c>
    </row>
    <row r="1083" spans="1:15" ht="19.5" customHeight="1" x14ac:dyDescent="0.25">
      <c r="A1083" s="11" t="s">
        <v>467</v>
      </c>
      <c r="B1083" s="11"/>
      <c r="C1083" s="11" t="s">
        <v>5686</v>
      </c>
      <c r="D1083" s="11" t="s">
        <v>1883</v>
      </c>
      <c r="E1083" s="11" t="s">
        <v>5683</v>
      </c>
      <c r="F1083" s="11" t="s">
        <v>4537</v>
      </c>
      <c r="G1083" s="11" t="s">
        <v>467</v>
      </c>
      <c r="H1083" s="11" t="s">
        <v>4535</v>
      </c>
      <c r="I1083" s="11" t="s">
        <v>5682</v>
      </c>
      <c r="J1083" s="11" t="s">
        <v>5681</v>
      </c>
      <c r="K1083" s="11" t="s">
        <v>3599</v>
      </c>
      <c r="L1083" s="11"/>
      <c r="M1083" s="12"/>
      <c r="N1083" s="11"/>
      <c r="O1083" s="11" t="s">
        <v>2028</v>
      </c>
    </row>
    <row r="1084" spans="1:15" ht="19.5" customHeight="1" x14ac:dyDescent="0.25">
      <c r="A1084" s="13" t="s">
        <v>467</v>
      </c>
      <c r="B1084" s="13"/>
      <c r="C1084" s="13" t="s">
        <v>5685</v>
      </c>
      <c r="D1084" s="13" t="s">
        <v>1883</v>
      </c>
      <c r="E1084" s="13" t="s">
        <v>5683</v>
      </c>
      <c r="F1084" s="13" t="s">
        <v>4537</v>
      </c>
      <c r="G1084" s="13" t="s">
        <v>467</v>
      </c>
      <c r="H1084" s="13" t="s">
        <v>4535</v>
      </c>
      <c r="I1084" s="13" t="s">
        <v>5682</v>
      </c>
      <c r="J1084" s="13" t="s">
        <v>5681</v>
      </c>
      <c r="K1084" s="13" t="s">
        <v>3599</v>
      </c>
      <c r="L1084" s="13"/>
      <c r="M1084" s="14"/>
      <c r="N1084" s="13"/>
      <c r="O1084" s="13" t="s">
        <v>2028</v>
      </c>
    </row>
    <row r="1085" spans="1:15" ht="19.5" customHeight="1" x14ac:dyDescent="0.25">
      <c r="A1085" s="11" t="s">
        <v>467</v>
      </c>
      <c r="B1085" s="11"/>
      <c r="C1085" s="11" t="s">
        <v>5684</v>
      </c>
      <c r="D1085" s="11" t="s">
        <v>1883</v>
      </c>
      <c r="E1085" s="11" t="s">
        <v>5683</v>
      </c>
      <c r="F1085" s="11" t="s">
        <v>4537</v>
      </c>
      <c r="G1085" s="11" t="s">
        <v>467</v>
      </c>
      <c r="H1085" s="11" t="s">
        <v>4535</v>
      </c>
      <c r="I1085" s="11" t="s">
        <v>5682</v>
      </c>
      <c r="J1085" s="11" t="s">
        <v>5681</v>
      </c>
      <c r="K1085" s="11" t="s">
        <v>3599</v>
      </c>
      <c r="L1085" s="11"/>
      <c r="M1085" s="12"/>
      <c r="N1085" s="11"/>
      <c r="O1085" s="11" t="s">
        <v>2028</v>
      </c>
    </row>
    <row r="1086" spans="1:15" ht="19.5" customHeight="1" x14ac:dyDescent="0.25">
      <c r="A1086" s="13" t="s">
        <v>469</v>
      </c>
      <c r="B1086" s="13"/>
      <c r="C1086" s="13" t="s">
        <v>5680</v>
      </c>
      <c r="D1086" s="13" t="s">
        <v>1883</v>
      </c>
      <c r="E1086" s="13" t="s">
        <v>5677</v>
      </c>
      <c r="F1086" s="13" t="s">
        <v>5676</v>
      </c>
      <c r="G1086" s="13" t="s">
        <v>469</v>
      </c>
      <c r="H1086" s="13" t="s">
        <v>5675</v>
      </c>
      <c r="I1086" s="13" t="s">
        <v>5674</v>
      </c>
      <c r="J1086" s="13" t="s">
        <v>5673</v>
      </c>
      <c r="K1086" s="13" t="s">
        <v>2033</v>
      </c>
      <c r="L1086" s="13"/>
      <c r="M1086" s="14"/>
      <c r="N1086" s="13"/>
      <c r="O1086" s="13" t="s">
        <v>2028</v>
      </c>
    </row>
    <row r="1087" spans="1:15" ht="19.5" customHeight="1" x14ac:dyDescent="0.25">
      <c r="A1087" s="11" t="s">
        <v>469</v>
      </c>
      <c r="B1087" s="11"/>
      <c r="C1087" s="11" t="s">
        <v>5679</v>
      </c>
      <c r="D1087" s="11" t="s">
        <v>1883</v>
      </c>
      <c r="E1087" s="11" t="s">
        <v>5677</v>
      </c>
      <c r="F1087" s="11" t="s">
        <v>5676</v>
      </c>
      <c r="G1087" s="11" t="s">
        <v>469</v>
      </c>
      <c r="H1087" s="11" t="s">
        <v>5675</v>
      </c>
      <c r="I1087" s="11" t="s">
        <v>5674</v>
      </c>
      <c r="J1087" s="11" t="s">
        <v>5673</v>
      </c>
      <c r="K1087" s="11" t="s">
        <v>2033</v>
      </c>
      <c r="L1087" s="11"/>
      <c r="M1087" s="12"/>
      <c r="N1087" s="11"/>
      <c r="O1087" s="11" t="s">
        <v>2028</v>
      </c>
    </row>
    <row r="1088" spans="1:15" ht="19.5" customHeight="1" x14ac:dyDescent="0.25">
      <c r="A1088" s="13" t="s">
        <v>469</v>
      </c>
      <c r="B1088" s="13"/>
      <c r="C1088" s="13" t="s">
        <v>5678</v>
      </c>
      <c r="D1088" s="13" t="s">
        <v>1883</v>
      </c>
      <c r="E1088" s="13" t="s">
        <v>5677</v>
      </c>
      <c r="F1088" s="13" t="s">
        <v>5676</v>
      </c>
      <c r="G1088" s="13" t="s">
        <v>469</v>
      </c>
      <c r="H1088" s="13" t="s">
        <v>5675</v>
      </c>
      <c r="I1088" s="13" t="s">
        <v>5674</v>
      </c>
      <c r="J1088" s="13" t="s">
        <v>5673</v>
      </c>
      <c r="K1088" s="13" t="s">
        <v>2033</v>
      </c>
      <c r="L1088" s="13"/>
      <c r="M1088" s="14"/>
      <c r="N1088" s="13"/>
      <c r="O1088" s="13" t="s">
        <v>2028</v>
      </c>
    </row>
    <row r="1089" spans="1:15" ht="19.5" customHeight="1" x14ac:dyDescent="0.25">
      <c r="A1089" s="11" t="s">
        <v>471</v>
      </c>
      <c r="B1089" s="11"/>
      <c r="C1089" s="11" t="s">
        <v>5672</v>
      </c>
      <c r="D1089" s="11" t="s">
        <v>1883</v>
      </c>
      <c r="E1089" s="11" t="s">
        <v>5669</v>
      </c>
      <c r="F1089" s="11" t="s">
        <v>5668</v>
      </c>
      <c r="G1089" s="11" t="s">
        <v>471</v>
      </c>
      <c r="H1089" s="11" t="s">
        <v>5667</v>
      </c>
      <c r="I1089" s="11" t="s">
        <v>5666</v>
      </c>
      <c r="J1089" s="11" t="s">
        <v>5665</v>
      </c>
      <c r="K1089" s="11" t="s">
        <v>2033</v>
      </c>
      <c r="L1089" s="11"/>
      <c r="M1089" s="12"/>
      <c r="N1089" s="11"/>
      <c r="O1089" s="11" t="s">
        <v>2028</v>
      </c>
    </row>
    <row r="1090" spans="1:15" ht="19.5" customHeight="1" x14ac:dyDescent="0.25">
      <c r="A1090" s="13" t="s">
        <v>471</v>
      </c>
      <c r="B1090" s="13"/>
      <c r="C1090" s="13" t="s">
        <v>5671</v>
      </c>
      <c r="D1090" s="13" t="s">
        <v>1883</v>
      </c>
      <c r="E1090" s="13" t="s">
        <v>5669</v>
      </c>
      <c r="F1090" s="13" t="s">
        <v>5668</v>
      </c>
      <c r="G1090" s="13" t="s">
        <v>471</v>
      </c>
      <c r="H1090" s="13" t="s">
        <v>5667</v>
      </c>
      <c r="I1090" s="13" t="s">
        <v>5666</v>
      </c>
      <c r="J1090" s="13" t="s">
        <v>5665</v>
      </c>
      <c r="K1090" s="13" t="s">
        <v>2033</v>
      </c>
      <c r="L1090" s="13"/>
      <c r="M1090" s="14"/>
      <c r="N1090" s="13"/>
      <c r="O1090" s="13" t="s">
        <v>2028</v>
      </c>
    </row>
    <row r="1091" spans="1:15" ht="19.5" customHeight="1" x14ac:dyDescent="0.25">
      <c r="A1091" s="11" t="s">
        <v>471</v>
      </c>
      <c r="B1091" s="11"/>
      <c r="C1091" s="11" t="s">
        <v>5670</v>
      </c>
      <c r="D1091" s="11" t="s">
        <v>1883</v>
      </c>
      <c r="E1091" s="11" t="s">
        <v>5669</v>
      </c>
      <c r="F1091" s="11" t="s">
        <v>5668</v>
      </c>
      <c r="G1091" s="11" t="s">
        <v>471</v>
      </c>
      <c r="H1091" s="11" t="s">
        <v>5667</v>
      </c>
      <c r="I1091" s="11" t="s">
        <v>5666</v>
      </c>
      <c r="J1091" s="11" t="s">
        <v>5665</v>
      </c>
      <c r="K1091" s="11" t="s">
        <v>2033</v>
      </c>
      <c r="L1091" s="11"/>
      <c r="M1091" s="12"/>
      <c r="N1091" s="11"/>
      <c r="O1091" s="11" t="s">
        <v>2028</v>
      </c>
    </row>
    <row r="1092" spans="1:15" ht="19.5" customHeight="1" x14ac:dyDescent="0.25">
      <c r="A1092" s="13" t="s">
        <v>473</v>
      </c>
      <c r="B1092" s="13"/>
      <c r="C1092" s="13" t="s">
        <v>5664</v>
      </c>
      <c r="D1092" s="13" t="s">
        <v>1883</v>
      </c>
      <c r="E1092" s="13" t="s">
        <v>5661</v>
      </c>
      <c r="F1092" s="13" t="s">
        <v>5660</v>
      </c>
      <c r="G1092" s="13" t="s">
        <v>473</v>
      </c>
      <c r="H1092" s="13" t="s">
        <v>5659</v>
      </c>
      <c r="I1092" s="13" t="s">
        <v>5658</v>
      </c>
      <c r="J1092" s="13" t="s">
        <v>5657</v>
      </c>
      <c r="K1092" s="13" t="s">
        <v>2033</v>
      </c>
      <c r="L1092" s="13"/>
      <c r="M1092" s="14"/>
      <c r="N1092" s="13"/>
      <c r="O1092" s="13" t="s">
        <v>2028</v>
      </c>
    </row>
    <row r="1093" spans="1:15" ht="19.5" customHeight="1" x14ac:dyDescent="0.25">
      <c r="A1093" s="11" t="s">
        <v>473</v>
      </c>
      <c r="B1093" s="11"/>
      <c r="C1093" s="11" t="s">
        <v>5663</v>
      </c>
      <c r="D1093" s="11" t="s">
        <v>1883</v>
      </c>
      <c r="E1093" s="11" t="s">
        <v>5661</v>
      </c>
      <c r="F1093" s="11" t="s">
        <v>5660</v>
      </c>
      <c r="G1093" s="11" t="s">
        <v>473</v>
      </c>
      <c r="H1093" s="11" t="s">
        <v>5659</v>
      </c>
      <c r="I1093" s="11" t="s">
        <v>5658</v>
      </c>
      <c r="J1093" s="11" t="s">
        <v>5657</v>
      </c>
      <c r="K1093" s="11" t="s">
        <v>2033</v>
      </c>
      <c r="L1093" s="11"/>
      <c r="M1093" s="12"/>
      <c r="N1093" s="11"/>
      <c r="O1093" s="11" t="s">
        <v>2028</v>
      </c>
    </row>
    <row r="1094" spans="1:15" ht="19.5" customHeight="1" x14ac:dyDescent="0.25">
      <c r="A1094" s="13" t="s">
        <v>473</v>
      </c>
      <c r="B1094" s="13"/>
      <c r="C1094" s="13" t="s">
        <v>5662</v>
      </c>
      <c r="D1094" s="13" t="s">
        <v>1883</v>
      </c>
      <c r="E1094" s="13" t="s">
        <v>5661</v>
      </c>
      <c r="F1094" s="13" t="s">
        <v>5660</v>
      </c>
      <c r="G1094" s="13" t="s">
        <v>473</v>
      </c>
      <c r="H1094" s="13" t="s">
        <v>5659</v>
      </c>
      <c r="I1094" s="13" t="s">
        <v>5658</v>
      </c>
      <c r="J1094" s="13" t="s">
        <v>5657</v>
      </c>
      <c r="K1094" s="13" t="s">
        <v>2033</v>
      </c>
      <c r="L1094" s="13"/>
      <c r="M1094" s="14"/>
      <c r="N1094" s="13"/>
      <c r="O1094" s="13" t="s">
        <v>2028</v>
      </c>
    </row>
    <row r="1095" spans="1:15" ht="19.5" customHeight="1" x14ac:dyDescent="0.25">
      <c r="A1095" s="11" t="s">
        <v>475</v>
      </c>
      <c r="B1095" s="11"/>
      <c r="C1095" s="11" t="s">
        <v>5656</v>
      </c>
      <c r="D1095" s="11" t="s">
        <v>1883</v>
      </c>
      <c r="E1095" s="11" t="s">
        <v>5655</v>
      </c>
      <c r="F1095" s="11"/>
      <c r="G1095" s="11" t="s">
        <v>475</v>
      </c>
      <c r="H1095" s="11"/>
      <c r="I1095" s="11"/>
      <c r="J1095" s="11"/>
      <c r="K1095" s="11"/>
      <c r="L1095" s="11"/>
      <c r="M1095" s="12"/>
      <c r="N1095" s="11"/>
      <c r="O1095" s="11" t="s">
        <v>2028</v>
      </c>
    </row>
    <row r="1096" spans="1:15" ht="19.5" customHeight="1" x14ac:dyDescent="0.25">
      <c r="A1096" s="13" t="s">
        <v>1215</v>
      </c>
      <c r="B1096" s="13"/>
      <c r="C1096" s="13" t="s">
        <v>5654</v>
      </c>
      <c r="D1096" s="13" t="s">
        <v>1883</v>
      </c>
      <c r="E1096" s="13" t="s">
        <v>5652</v>
      </c>
      <c r="F1096" s="13"/>
      <c r="G1096" s="13" t="s">
        <v>1215</v>
      </c>
      <c r="H1096" s="13"/>
      <c r="I1096" s="13"/>
      <c r="J1096" s="13"/>
      <c r="K1096" s="13" t="s">
        <v>1952</v>
      </c>
      <c r="L1096" s="13"/>
      <c r="M1096" s="14"/>
      <c r="N1096" s="13"/>
      <c r="O1096" s="13" t="s">
        <v>2028</v>
      </c>
    </row>
    <row r="1097" spans="1:15" ht="19.5" customHeight="1" x14ac:dyDescent="0.25">
      <c r="A1097" s="11" t="s">
        <v>1215</v>
      </c>
      <c r="B1097" s="11"/>
      <c r="C1097" s="11" t="s">
        <v>5653</v>
      </c>
      <c r="D1097" s="11" t="s">
        <v>1883</v>
      </c>
      <c r="E1097" s="11" t="s">
        <v>5652</v>
      </c>
      <c r="F1097" s="11"/>
      <c r="G1097" s="11" t="s">
        <v>1215</v>
      </c>
      <c r="H1097" s="11"/>
      <c r="I1097" s="11"/>
      <c r="J1097" s="11"/>
      <c r="K1097" s="11" t="s">
        <v>1952</v>
      </c>
      <c r="L1097" s="11"/>
      <c r="M1097" s="12"/>
      <c r="N1097" s="11"/>
      <c r="O1097" s="11" t="s">
        <v>2028</v>
      </c>
    </row>
    <row r="1098" spans="1:15" ht="19.5" customHeight="1" x14ac:dyDescent="0.25">
      <c r="A1098" s="13" t="s">
        <v>1090</v>
      </c>
      <c r="B1098" s="13"/>
      <c r="C1098" s="13" t="s">
        <v>1089</v>
      </c>
      <c r="D1098" s="13" t="s">
        <v>1883</v>
      </c>
      <c r="E1098" s="13" t="s">
        <v>5651</v>
      </c>
      <c r="F1098" s="13" t="s">
        <v>5650</v>
      </c>
      <c r="G1098" s="13" t="s">
        <v>1090</v>
      </c>
      <c r="H1098" s="13" t="s">
        <v>5649</v>
      </c>
      <c r="I1098" s="13" t="s">
        <v>5648</v>
      </c>
      <c r="J1098" s="13" t="s">
        <v>5647</v>
      </c>
      <c r="K1098" s="13" t="s">
        <v>3599</v>
      </c>
      <c r="L1098" s="13"/>
      <c r="M1098" s="14"/>
      <c r="N1098" s="13"/>
      <c r="O1098" s="13" t="s">
        <v>1945</v>
      </c>
    </row>
    <row r="1099" spans="1:15" ht="19.5" customHeight="1" x14ac:dyDescent="0.25">
      <c r="A1099" s="11" t="s">
        <v>477</v>
      </c>
      <c r="B1099" s="11"/>
      <c r="C1099" s="11" t="s">
        <v>5646</v>
      </c>
      <c r="D1099" s="11" t="s">
        <v>1883</v>
      </c>
      <c r="E1099" s="11" t="s">
        <v>5641</v>
      </c>
      <c r="F1099" s="11" t="s">
        <v>5640</v>
      </c>
      <c r="G1099" s="11" t="s">
        <v>477</v>
      </c>
      <c r="H1099" s="11"/>
      <c r="I1099" s="11" t="s">
        <v>5639</v>
      </c>
      <c r="J1099" s="11" t="s">
        <v>5638</v>
      </c>
      <c r="K1099" s="11" t="s">
        <v>3599</v>
      </c>
      <c r="L1099" s="11"/>
      <c r="M1099" s="12"/>
      <c r="N1099" s="11"/>
      <c r="O1099" s="11" t="s">
        <v>2470</v>
      </c>
    </row>
    <row r="1100" spans="1:15" ht="19.5" customHeight="1" x14ac:dyDescent="0.25">
      <c r="A1100" s="13" t="s">
        <v>477</v>
      </c>
      <c r="B1100" s="13"/>
      <c r="C1100" s="13" t="s">
        <v>5645</v>
      </c>
      <c r="D1100" s="13" t="s">
        <v>2368</v>
      </c>
      <c r="E1100" s="13" t="s">
        <v>5644</v>
      </c>
      <c r="F1100" s="13"/>
      <c r="G1100" s="13" t="s">
        <v>477</v>
      </c>
      <c r="H1100" s="13"/>
      <c r="I1100" s="13"/>
      <c r="J1100" s="13"/>
      <c r="K1100" s="13"/>
      <c r="L1100" s="13"/>
      <c r="M1100" s="14"/>
      <c r="N1100" s="13"/>
      <c r="O1100" s="13" t="s">
        <v>2466</v>
      </c>
    </row>
    <row r="1101" spans="1:15" ht="19.5" customHeight="1" x14ac:dyDescent="0.25">
      <c r="A1101" s="11" t="s">
        <v>477</v>
      </c>
      <c r="B1101" s="11"/>
      <c r="C1101" s="11" t="s">
        <v>5643</v>
      </c>
      <c r="D1101" s="11" t="s">
        <v>1883</v>
      </c>
      <c r="E1101" s="11" t="s">
        <v>5641</v>
      </c>
      <c r="F1101" s="11" t="s">
        <v>5640</v>
      </c>
      <c r="G1101" s="11" t="s">
        <v>477</v>
      </c>
      <c r="H1101" s="11"/>
      <c r="I1101" s="11" t="s">
        <v>5639</v>
      </c>
      <c r="J1101" s="11" t="s">
        <v>5638</v>
      </c>
      <c r="K1101" s="11" t="s">
        <v>3599</v>
      </c>
      <c r="L1101" s="11"/>
      <c r="M1101" s="12"/>
      <c r="N1101" s="11"/>
      <c r="O1101" s="11" t="s">
        <v>2470</v>
      </c>
    </row>
    <row r="1102" spans="1:15" ht="19.5" customHeight="1" x14ac:dyDescent="0.25">
      <c r="A1102" s="13" t="s">
        <v>477</v>
      </c>
      <c r="B1102" s="13"/>
      <c r="C1102" s="13" t="s">
        <v>5642</v>
      </c>
      <c r="D1102" s="13" t="s">
        <v>1883</v>
      </c>
      <c r="E1102" s="13" t="s">
        <v>5641</v>
      </c>
      <c r="F1102" s="13" t="s">
        <v>5640</v>
      </c>
      <c r="G1102" s="13" t="s">
        <v>477</v>
      </c>
      <c r="H1102" s="13"/>
      <c r="I1102" s="13" t="s">
        <v>5639</v>
      </c>
      <c r="J1102" s="13" t="s">
        <v>5638</v>
      </c>
      <c r="K1102" s="13" t="s">
        <v>3599</v>
      </c>
      <c r="L1102" s="13"/>
      <c r="M1102" s="14"/>
      <c r="N1102" s="13"/>
      <c r="O1102" s="13" t="s">
        <v>2470</v>
      </c>
    </row>
    <row r="1103" spans="1:15" ht="19.5" customHeight="1" x14ac:dyDescent="0.25">
      <c r="A1103" s="11" t="s">
        <v>479</v>
      </c>
      <c r="B1103" s="11"/>
      <c r="C1103" s="11" t="s">
        <v>5637</v>
      </c>
      <c r="D1103" s="11" t="s">
        <v>1883</v>
      </c>
      <c r="E1103" s="11" t="s">
        <v>5635</v>
      </c>
      <c r="F1103" s="11"/>
      <c r="G1103" s="11" t="s">
        <v>479</v>
      </c>
      <c r="H1103" s="11" t="s">
        <v>5634</v>
      </c>
      <c r="I1103" s="11" t="s">
        <v>5633</v>
      </c>
      <c r="J1103" s="11" t="s">
        <v>5632</v>
      </c>
      <c r="K1103" s="11" t="s">
        <v>3599</v>
      </c>
      <c r="L1103" s="11"/>
      <c r="M1103" s="12"/>
      <c r="N1103" s="11"/>
      <c r="O1103" s="11" t="s">
        <v>2028</v>
      </c>
    </row>
    <row r="1104" spans="1:15" ht="19.5" customHeight="1" x14ac:dyDescent="0.25">
      <c r="A1104" s="13" t="s">
        <v>479</v>
      </c>
      <c r="B1104" s="13"/>
      <c r="C1104" s="13" t="s">
        <v>5636</v>
      </c>
      <c r="D1104" s="13" t="s">
        <v>1883</v>
      </c>
      <c r="E1104" s="13" t="s">
        <v>5635</v>
      </c>
      <c r="F1104" s="13"/>
      <c r="G1104" s="13" t="s">
        <v>479</v>
      </c>
      <c r="H1104" s="13" t="s">
        <v>5634</v>
      </c>
      <c r="I1104" s="13" t="s">
        <v>5633</v>
      </c>
      <c r="J1104" s="13" t="s">
        <v>5632</v>
      </c>
      <c r="K1104" s="13" t="s">
        <v>3599</v>
      </c>
      <c r="L1104" s="13"/>
      <c r="M1104" s="14"/>
      <c r="N1104" s="13"/>
      <c r="O1104" s="13" t="s">
        <v>2028</v>
      </c>
    </row>
    <row r="1105" spans="1:15" ht="19.5" customHeight="1" x14ac:dyDescent="0.25">
      <c r="A1105" s="11" t="s">
        <v>481</v>
      </c>
      <c r="B1105" s="11"/>
      <c r="C1105" s="11" t="s">
        <v>5631</v>
      </c>
      <c r="D1105" s="11" t="s">
        <v>1883</v>
      </c>
      <c r="E1105" s="11" t="s">
        <v>5630</v>
      </c>
      <c r="F1105" s="11"/>
      <c r="G1105" s="11" t="s">
        <v>481</v>
      </c>
      <c r="H1105" s="11" t="s">
        <v>5629</v>
      </c>
      <c r="I1105" s="11" t="s">
        <v>5628</v>
      </c>
      <c r="J1105" s="11" t="s">
        <v>5627</v>
      </c>
      <c r="K1105" s="11" t="s">
        <v>3599</v>
      </c>
      <c r="L1105" s="11"/>
      <c r="M1105" s="12"/>
      <c r="N1105" s="11"/>
      <c r="O1105" s="11" t="s">
        <v>2028</v>
      </c>
    </row>
    <row r="1106" spans="1:15" ht="19.5" customHeight="1" x14ac:dyDescent="0.25">
      <c r="A1106" s="13" t="s">
        <v>1863</v>
      </c>
      <c r="B1106" s="13"/>
      <c r="C1106" s="13" t="s">
        <v>5626</v>
      </c>
      <c r="D1106" s="13" t="s">
        <v>1883</v>
      </c>
      <c r="E1106" s="13" t="s">
        <v>5625</v>
      </c>
      <c r="F1106" s="13" t="s">
        <v>5624</v>
      </c>
      <c r="G1106" s="13" t="s">
        <v>1863</v>
      </c>
      <c r="H1106" s="13"/>
      <c r="I1106" s="13" t="s">
        <v>5623</v>
      </c>
      <c r="J1106" s="13" t="s">
        <v>5622</v>
      </c>
      <c r="K1106" s="13" t="s">
        <v>2033</v>
      </c>
      <c r="L1106" s="13"/>
      <c r="M1106" s="14"/>
      <c r="N1106" s="13"/>
      <c r="O1106" s="13"/>
    </row>
    <row r="1107" spans="1:15" ht="19.5" customHeight="1" x14ac:dyDescent="0.25">
      <c r="A1107" s="11" t="s">
        <v>483</v>
      </c>
      <c r="B1107" s="11"/>
      <c r="C1107" s="11" t="s">
        <v>5621</v>
      </c>
      <c r="D1107" s="11" t="s">
        <v>1883</v>
      </c>
      <c r="E1107" s="11" t="s">
        <v>5618</v>
      </c>
      <c r="F1107" s="11" t="s">
        <v>5617</v>
      </c>
      <c r="G1107" s="11" t="s">
        <v>483</v>
      </c>
      <c r="H1107" s="11" t="s">
        <v>5616</v>
      </c>
      <c r="I1107" s="11" t="s">
        <v>5615</v>
      </c>
      <c r="J1107" s="11" t="s">
        <v>5614</v>
      </c>
      <c r="K1107" s="11" t="s">
        <v>2033</v>
      </c>
      <c r="L1107" s="11"/>
      <c r="M1107" s="12"/>
      <c r="N1107" s="11"/>
      <c r="O1107" s="11" t="s">
        <v>2028</v>
      </c>
    </row>
    <row r="1108" spans="1:15" ht="19.5" customHeight="1" x14ac:dyDescent="0.25">
      <c r="A1108" s="13" t="s">
        <v>483</v>
      </c>
      <c r="B1108" s="13"/>
      <c r="C1108" s="13" t="s">
        <v>5620</v>
      </c>
      <c r="D1108" s="13" t="s">
        <v>1883</v>
      </c>
      <c r="E1108" s="13" t="s">
        <v>5618</v>
      </c>
      <c r="F1108" s="13" t="s">
        <v>5617</v>
      </c>
      <c r="G1108" s="13" t="s">
        <v>483</v>
      </c>
      <c r="H1108" s="13" t="s">
        <v>5616</v>
      </c>
      <c r="I1108" s="13" t="s">
        <v>5615</v>
      </c>
      <c r="J1108" s="13" t="s">
        <v>5614</v>
      </c>
      <c r="K1108" s="13" t="s">
        <v>2033</v>
      </c>
      <c r="L1108" s="13"/>
      <c r="M1108" s="14"/>
      <c r="N1108" s="13"/>
      <c r="O1108" s="13" t="s">
        <v>2028</v>
      </c>
    </row>
    <row r="1109" spans="1:15" ht="19.5" customHeight="1" x14ac:dyDescent="0.25">
      <c r="A1109" s="11" t="s">
        <v>483</v>
      </c>
      <c r="B1109" s="11"/>
      <c r="C1109" s="11" t="s">
        <v>5619</v>
      </c>
      <c r="D1109" s="11" t="s">
        <v>1883</v>
      </c>
      <c r="E1109" s="11" t="s">
        <v>5618</v>
      </c>
      <c r="F1109" s="11" t="s">
        <v>5617</v>
      </c>
      <c r="G1109" s="11" t="s">
        <v>483</v>
      </c>
      <c r="H1109" s="11" t="s">
        <v>5616</v>
      </c>
      <c r="I1109" s="11" t="s">
        <v>5615</v>
      </c>
      <c r="J1109" s="11" t="s">
        <v>5614</v>
      </c>
      <c r="K1109" s="11" t="s">
        <v>2033</v>
      </c>
      <c r="L1109" s="11"/>
      <c r="M1109" s="12"/>
      <c r="N1109" s="11"/>
      <c r="O1109" s="11" t="s">
        <v>2028</v>
      </c>
    </row>
    <row r="1110" spans="1:15" ht="19.5" customHeight="1" x14ac:dyDescent="0.25">
      <c r="A1110" s="13" t="s">
        <v>485</v>
      </c>
      <c r="B1110" s="13"/>
      <c r="C1110" s="13" t="s">
        <v>5613</v>
      </c>
      <c r="D1110" s="13" t="s">
        <v>1883</v>
      </c>
      <c r="E1110" s="13" t="s">
        <v>5612</v>
      </c>
      <c r="F1110" s="13"/>
      <c r="G1110" s="13" t="s">
        <v>485</v>
      </c>
      <c r="H1110" s="13" t="s">
        <v>5611</v>
      </c>
      <c r="I1110" s="13" t="s">
        <v>5610</v>
      </c>
      <c r="J1110" s="13" t="s">
        <v>5609</v>
      </c>
      <c r="K1110" s="13" t="s">
        <v>3599</v>
      </c>
      <c r="L1110" s="13"/>
      <c r="M1110" s="14"/>
      <c r="N1110" s="13"/>
      <c r="O1110" s="13" t="s">
        <v>2028</v>
      </c>
    </row>
    <row r="1111" spans="1:15" ht="19.5" customHeight="1" x14ac:dyDescent="0.25">
      <c r="A1111" s="11" t="s">
        <v>5605</v>
      </c>
      <c r="B1111" s="11"/>
      <c r="C1111" s="11" t="s">
        <v>5608</v>
      </c>
      <c r="D1111" s="11" t="s">
        <v>1883</v>
      </c>
      <c r="E1111" s="11" t="s">
        <v>5607</v>
      </c>
      <c r="F1111" s="11" t="s">
        <v>5606</v>
      </c>
      <c r="G1111" s="11" t="s">
        <v>5605</v>
      </c>
      <c r="H1111" s="11"/>
      <c r="I1111" s="11" t="s">
        <v>5604</v>
      </c>
      <c r="J1111" s="11" t="s">
        <v>5603</v>
      </c>
      <c r="K1111" s="11" t="s">
        <v>5114</v>
      </c>
      <c r="L1111" s="11"/>
      <c r="M1111" s="12"/>
      <c r="N1111" s="11"/>
      <c r="O1111" s="11" t="s">
        <v>2028</v>
      </c>
    </row>
    <row r="1112" spans="1:15" ht="19.5" customHeight="1" x14ac:dyDescent="0.25">
      <c r="A1112" s="13" t="s">
        <v>1669</v>
      </c>
      <c r="B1112" s="13"/>
      <c r="C1112" s="13" t="s">
        <v>5602</v>
      </c>
      <c r="D1112" s="13" t="s">
        <v>1883</v>
      </c>
      <c r="E1112" s="13" t="s">
        <v>5601</v>
      </c>
      <c r="F1112" s="13"/>
      <c r="G1112" s="13" t="s">
        <v>1669</v>
      </c>
      <c r="H1112" s="13"/>
      <c r="I1112" s="13" t="s">
        <v>5600</v>
      </c>
      <c r="J1112" s="13" t="s">
        <v>5599</v>
      </c>
      <c r="K1112" s="13" t="s">
        <v>3599</v>
      </c>
      <c r="L1112" s="13"/>
      <c r="M1112" s="14"/>
      <c r="N1112" s="13"/>
      <c r="O1112" s="13" t="s">
        <v>2028</v>
      </c>
    </row>
    <row r="1113" spans="1:15" ht="19.5" customHeight="1" x14ac:dyDescent="0.25">
      <c r="A1113" s="11" t="s">
        <v>487</v>
      </c>
      <c r="B1113" s="11"/>
      <c r="C1113" s="11" t="s">
        <v>5598</v>
      </c>
      <c r="D1113" s="11" t="s">
        <v>1883</v>
      </c>
      <c r="E1113" s="11" t="s">
        <v>5597</v>
      </c>
      <c r="F1113" s="11"/>
      <c r="G1113" s="11" t="s">
        <v>487</v>
      </c>
      <c r="H1113" s="11"/>
      <c r="I1113" s="11" t="s">
        <v>5596</v>
      </c>
      <c r="J1113" s="11" t="s">
        <v>5595</v>
      </c>
      <c r="K1113" s="11" t="s">
        <v>4943</v>
      </c>
      <c r="L1113" s="11"/>
      <c r="M1113" s="12"/>
      <c r="N1113" s="11"/>
      <c r="O1113" s="11" t="s">
        <v>2028</v>
      </c>
    </row>
    <row r="1114" spans="1:15" ht="19.5" customHeight="1" x14ac:dyDescent="0.25">
      <c r="A1114" s="13" t="s">
        <v>489</v>
      </c>
      <c r="B1114" s="13"/>
      <c r="C1114" s="13" t="s">
        <v>5594</v>
      </c>
      <c r="D1114" s="13" t="s">
        <v>1883</v>
      </c>
      <c r="E1114" s="13" t="s">
        <v>5591</v>
      </c>
      <c r="F1114" s="13" t="s">
        <v>5590</v>
      </c>
      <c r="G1114" s="13" t="s">
        <v>489</v>
      </c>
      <c r="H1114" s="13" t="s">
        <v>5589</v>
      </c>
      <c r="I1114" s="13" t="s">
        <v>5588</v>
      </c>
      <c r="J1114" s="13" t="s">
        <v>5587</v>
      </c>
      <c r="K1114" s="13" t="s">
        <v>3599</v>
      </c>
      <c r="L1114" s="13"/>
      <c r="M1114" s="14"/>
      <c r="N1114" s="13"/>
      <c r="O1114" s="13" t="s">
        <v>2028</v>
      </c>
    </row>
    <row r="1115" spans="1:15" ht="19.5" customHeight="1" x14ac:dyDescent="0.25">
      <c r="A1115" s="11" t="s">
        <v>489</v>
      </c>
      <c r="B1115" s="11"/>
      <c r="C1115" s="11" t="s">
        <v>5593</v>
      </c>
      <c r="D1115" s="11" t="s">
        <v>1883</v>
      </c>
      <c r="E1115" s="11" t="s">
        <v>5591</v>
      </c>
      <c r="F1115" s="11" t="s">
        <v>5590</v>
      </c>
      <c r="G1115" s="11" t="s">
        <v>489</v>
      </c>
      <c r="H1115" s="11" t="s">
        <v>5589</v>
      </c>
      <c r="I1115" s="11" t="s">
        <v>5588</v>
      </c>
      <c r="J1115" s="11" t="s">
        <v>5587</v>
      </c>
      <c r="K1115" s="11" t="s">
        <v>3599</v>
      </c>
      <c r="L1115" s="11"/>
      <c r="M1115" s="12"/>
      <c r="N1115" s="11"/>
      <c r="O1115" s="11" t="s">
        <v>2028</v>
      </c>
    </row>
    <row r="1116" spans="1:15" ht="19.5" customHeight="1" x14ac:dyDescent="0.25">
      <c r="A1116" s="13" t="s">
        <v>489</v>
      </c>
      <c r="B1116" s="13"/>
      <c r="C1116" s="13" t="s">
        <v>5592</v>
      </c>
      <c r="D1116" s="13" t="s">
        <v>1883</v>
      </c>
      <c r="E1116" s="13" t="s">
        <v>5591</v>
      </c>
      <c r="F1116" s="13" t="s">
        <v>5590</v>
      </c>
      <c r="G1116" s="13" t="s">
        <v>489</v>
      </c>
      <c r="H1116" s="13" t="s">
        <v>5589</v>
      </c>
      <c r="I1116" s="13" t="s">
        <v>5588</v>
      </c>
      <c r="J1116" s="13" t="s">
        <v>5587</v>
      </c>
      <c r="K1116" s="13" t="s">
        <v>3599</v>
      </c>
      <c r="L1116" s="13"/>
      <c r="M1116" s="14"/>
      <c r="N1116" s="13"/>
      <c r="O1116" s="13" t="s">
        <v>2028</v>
      </c>
    </row>
    <row r="1117" spans="1:15" ht="19.5" customHeight="1" x14ac:dyDescent="0.25">
      <c r="A1117" s="11" t="s">
        <v>1610</v>
      </c>
      <c r="B1117" s="11"/>
      <c r="C1117" s="11" t="s">
        <v>5586</v>
      </c>
      <c r="D1117" s="11" t="s">
        <v>1883</v>
      </c>
      <c r="E1117" s="11" t="s">
        <v>5585</v>
      </c>
      <c r="F1117" s="11"/>
      <c r="G1117" s="11" t="s">
        <v>1610</v>
      </c>
      <c r="H1117" s="11"/>
      <c r="I1117" s="11" t="s">
        <v>5584</v>
      </c>
      <c r="J1117" s="11" t="s">
        <v>5583</v>
      </c>
      <c r="K1117" s="11" t="s">
        <v>2033</v>
      </c>
      <c r="L1117" s="11"/>
      <c r="M1117" s="12"/>
      <c r="N1117" s="11"/>
      <c r="O1117" s="11" t="s">
        <v>2028</v>
      </c>
    </row>
    <row r="1118" spans="1:15" ht="19.5" customHeight="1" x14ac:dyDescent="0.25">
      <c r="A1118" s="13" t="s">
        <v>1488</v>
      </c>
      <c r="B1118" s="13"/>
      <c r="C1118" s="13" t="s">
        <v>5582</v>
      </c>
      <c r="D1118" s="13" t="s">
        <v>1883</v>
      </c>
      <c r="E1118" s="13" t="s">
        <v>5581</v>
      </c>
      <c r="F1118" s="13"/>
      <c r="G1118" s="13" t="s">
        <v>1488</v>
      </c>
      <c r="H1118" s="13"/>
      <c r="I1118" s="13" t="s">
        <v>5580</v>
      </c>
      <c r="J1118" s="13" t="s">
        <v>5579</v>
      </c>
      <c r="K1118" s="13" t="s">
        <v>5009</v>
      </c>
      <c r="L1118" s="13"/>
      <c r="M1118" s="14"/>
      <c r="N1118" s="13"/>
      <c r="O1118" s="13" t="s">
        <v>2028</v>
      </c>
    </row>
    <row r="1119" spans="1:15" ht="19.5" customHeight="1" x14ac:dyDescent="0.25">
      <c r="A1119" s="11" t="s">
        <v>491</v>
      </c>
      <c r="B1119" s="11"/>
      <c r="C1119" s="11" t="s">
        <v>5578</v>
      </c>
      <c r="D1119" s="11" t="s">
        <v>1883</v>
      </c>
      <c r="E1119" s="11" t="s">
        <v>5575</v>
      </c>
      <c r="F1119" s="11" t="s">
        <v>5574</v>
      </c>
      <c r="G1119" s="11" t="s">
        <v>491</v>
      </c>
      <c r="H1119" s="11"/>
      <c r="I1119" s="11" t="s">
        <v>5573</v>
      </c>
      <c r="J1119" s="11" t="s">
        <v>5572</v>
      </c>
      <c r="K1119" s="11" t="s">
        <v>2033</v>
      </c>
      <c r="L1119" s="11"/>
      <c r="M1119" s="12"/>
      <c r="N1119" s="11"/>
      <c r="O1119" s="11" t="s">
        <v>2028</v>
      </c>
    </row>
    <row r="1120" spans="1:15" ht="19.5" customHeight="1" x14ac:dyDescent="0.25">
      <c r="A1120" s="13" t="s">
        <v>491</v>
      </c>
      <c r="B1120" s="13"/>
      <c r="C1120" s="13" t="s">
        <v>5577</v>
      </c>
      <c r="D1120" s="13" t="s">
        <v>1883</v>
      </c>
      <c r="E1120" s="13" t="s">
        <v>5575</v>
      </c>
      <c r="F1120" s="13" t="s">
        <v>5574</v>
      </c>
      <c r="G1120" s="13" t="s">
        <v>491</v>
      </c>
      <c r="H1120" s="13"/>
      <c r="I1120" s="13" t="s">
        <v>5573</v>
      </c>
      <c r="J1120" s="13" t="s">
        <v>5572</v>
      </c>
      <c r="K1120" s="13" t="s">
        <v>2033</v>
      </c>
      <c r="L1120" s="13"/>
      <c r="M1120" s="14"/>
      <c r="N1120" s="13"/>
      <c r="O1120" s="13" t="s">
        <v>2028</v>
      </c>
    </row>
    <row r="1121" spans="1:15" ht="19.5" customHeight="1" x14ac:dyDescent="0.25">
      <c r="A1121" s="11" t="s">
        <v>491</v>
      </c>
      <c r="B1121" s="11"/>
      <c r="C1121" s="11" t="s">
        <v>5576</v>
      </c>
      <c r="D1121" s="11" t="s">
        <v>1883</v>
      </c>
      <c r="E1121" s="11" t="s">
        <v>5575</v>
      </c>
      <c r="F1121" s="11" t="s">
        <v>5574</v>
      </c>
      <c r="G1121" s="11" t="s">
        <v>491</v>
      </c>
      <c r="H1121" s="11"/>
      <c r="I1121" s="11" t="s">
        <v>5573</v>
      </c>
      <c r="J1121" s="11" t="s">
        <v>5572</v>
      </c>
      <c r="K1121" s="11" t="s">
        <v>2033</v>
      </c>
      <c r="L1121" s="11"/>
      <c r="M1121" s="12"/>
      <c r="N1121" s="11"/>
      <c r="O1121" s="11" t="s">
        <v>2028</v>
      </c>
    </row>
    <row r="1122" spans="1:15" ht="19.5" customHeight="1" x14ac:dyDescent="0.25">
      <c r="A1122" s="13" t="s">
        <v>493</v>
      </c>
      <c r="B1122" s="13"/>
      <c r="C1122" s="13" t="s">
        <v>5571</v>
      </c>
      <c r="D1122" s="13" t="s">
        <v>1883</v>
      </c>
      <c r="E1122" s="13" t="s">
        <v>5570</v>
      </c>
      <c r="F1122" s="13"/>
      <c r="G1122" s="13" t="s">
        <v>493</v>
      </c>
      <c r="H1122" s="13"/>
      <c r="I1122" s="13" t="s">
        <v>5569</v>
      </c>
      <c r="J1122" s="13" t="s">
        <v>5568</v>
      </c>
      <c r="K1122" s="13" t="s">
        <v>3599</v>
      </c>
      <c r="L1122" s="13"/>
      <c r="M1122" s="14"/>
      <c r="N1122" s="13"/>
      <c r="O1122" s="13" t="s">
        <v>2028</v>
      </c>
    </row>
    <row r="1123" spans="1:15" ht="19.5" customHeight="1" x14ac:dyDescent="0.25">
      <c r="A1123" s="11" t="s">
        <v>1793</v>
      </c>
      <c r="B1123" s="11"/>
      <c r="C1123" s="11" t="s">
        <v>1792</v>
      </c>
      <c r="D1123" s="11" t="s">
        <v>1883</v>
      </c>
      <c r="E1123" s="11" t="s">
        <v>5566</v>
      </c>
      <c r="F1123" s="11"/>
      <c r="G1123" s="11" t="s">
        <v>1793</v>
      </c>
      <c r="H1123" s="11"/>
      <c r="I1123" s="11" t="s">
        <v>5565</v>
      </c>
      <c r="J1123" s="11" t="s">
        <v>5564</v>
      </c>
      <c r="K1123" s="11" t="s">
        <v>4943</v>
      </c>
      <c r="L1123" s="11"/>
      <c r="M1123" s="12"/>
      <c r="N1123" s="11"/>
      <c r="O1123" s="11" t="s">
        <v>2028</v>
      </c>
    </row>
    <row r="1124" spans="1:15" ht="19.5" customHeight="1" x14ac:dyDescent="0.25">
      <c r="A1124" s="13" t="s">
        <v>1793</v>
      </c>
      <c r="B1124" s="13"/>
      <c r="C1124" s="13" t="s">
        <v>5567</v>
      </c>
      <c r="D1124" s="13" t="s">
        <v>1883</v>
      </c>
      <c r="E1124" s="13" t="s">
        <v>5566</v>
      </c>
      <c r="F1124" s="13"/>
      <c r="G1124" s="13" t="s">
        <v>1793</v>
      </c>
      <c r="H1124" s="13"/>
      <c r="I1124" s="13" t="s">
        <v>5565</v>
      </c>
      <c r="J1124" s="13" t="s">
        <v>5564</v>
      </c>
      <c r="K1124" s="13" t="s">
        <v>4943</v>
      </c>
      <c r="L1124" s="13"/>
      <c r="M1124" s="14"/>
      <c r="N1124" s="13"/>
      <c r="O1124" s="13" t="s">
        <v>2028</v>
      </c>
    </row>
    <row r="1125" spans="1:15" ht="19.5" customHeight="1" x14ac:dyDescent="0.25">
      <c r="A1125" s="11" t="s">
        <v>1744</v>
      </c>
      <c r="B1125" s="11"/>
      <c r="C1125" s="11" t="s">
        <v>5563</v>
      </c>
      <c r="D1125" s="11" t="s">
        <v>1883</v>
      </c>
      <c r="E1125" s="11" t="s">
        <v>5562</v>
      </c>
      <c r="F1125" s="11"/>
      <c r="G1125" s="11" t="s">
        <v>1744</v>
      </c>
      <c r="H1125" s="11"/>
      <c r="I1125" s="11" t="s">
        <v>5561</v>
      </c>
      <c r="J1125" s="11" t="s">
        <v>5560</v>
      </c>
      <c r="K1125" s="11" t="s">
        <v>2033</v>
      </c>
      <c r="L1125" s="11"/>
      <c r="M1125" s="12"/>
      <c r="N1125" s="11"/>
      <c r="O1125" s="11" t="s">
        <v>2028</v>
      </c>
    </row>
    <row r="1126" spans="1:15" ht="19.5" customHeight="1" x14ac:dyDescent="0.25">
      <c r="A1126" s="13" t="s">
        <v>1643</v>
      </c>
      <c r="B1126" s="13"/>
      <c r="C1126" s="13" t="s">
        <v>5559</v>
      </c>
      <c r="D1126" s="13" t="s">
        <v>1883</v>
      </c>
      <c r="E1126" s="13" t="s">
        <v>5558</v>
      </c>
      <c r="F1126" s="13"/>
      <c r="G1126" s="13" t="s">
        <v>1643</v>
      </c>
      <c r="H1126" s="13"/>
      <c r="I1126" s="13" t="s">
        <v>5557</v>
      </c>
      <c r="J1126" s="13" t="s">
        <v>5556</v>
      </c>
      <c r="K1126" s="13" t="s">
        <v>5555</v>
      </c>
      <c r="L1126" s="13"/>
      <c r="M1126" s="14"/>
      <c r="N1126" s="13"/>
      <c r="O1126" s="13" t="s">
        <v>2028</v>
      </c>
    </row>
    <row r="1127" spans="1:15" ht="19.5" customHeight="1" x14ac:dyDescent="0.25">
      <c r="A1127" s="11" t="s">
        <v>5552</v>
      </c>
      <c r="B1127" s="11"/>
      <c r="C1127" s="11" t="s">
        <v>5554</v>
      </c>
      <c r="D1127" s="11" t="s">
        <v>1883</v>
      </c>
      <c r="E1127" s="11" t="s">
        <v>5553</v>
      </c>
      <c r="F1127" s="11"/>
      <c r="G1127" s="11" t="s">
        <v>5552</v>
      </c>
      <c r="H1127" s="11"/>
      <c r="I1127" s="11" t="s">
        <v>5551</v>
      </c>
      <c r="J1127" s="11" t="s">
        <v>5550</v>
      </c>
      <c r="K1127" s="11" t="s">
        <v>2033</v>
      </c>
      <c r="L1127" s="11"/>
      <c r="M1127" s="12"/>
      <c r="N1127" s="11"/>
      <c r="O1127" s="11" t="s">
        <v>2028</v>
      </c>
    </row>
    <row r="1128" spans="1:15" ht="19.5" customHeight="1" x14ac:dyDescent="0.25">
      <c r="A1128" s="13" t="s">
        <v>1736</v>
      </c>
      <c r="B1128" s="13"/>
      <c r="C1128" s="13" t="s">
        <v>5549</v>
      </c>
      <c r="D1128" s="13" t="s">
        <v>1883</v>
      </c>
      <c r="E1128" s="13" t="s">
        <v>5548</v>
      </c>
      <c r="F1128" s="13"/>
      <c r="G1128" s="13" t="s">
        <v>1736</v>
      </c>
      <c r="H1128" s="13"/>
      <c r="I1128" s="13" t="s">
        <v>5547</v>
      </c>
      <c r="J1128" s="13" t="s">
        <v>5546</v>
      </c>
      <c r="K1128" s="13" t="s">
        <v>3599</v>
      </c>
      <c r="L1128" s="13"/>
      <c r="M1128" s="14"/>
      <c r="N1128" s="13"/>
      <c r="O1128" s="13" t="s">
        <v>2028</v>
      </c>
    </row>
    <row r="1129" spans="1:15" ht="19.5" customHeight="1" x14ac:dyDescent="0.25">
      <c r="A1129" s="11" t="s">
        <v>1170</v>
      </c>
      <c r="B1129" s="11"/>
      <c r="C1129" s="11" t="s">
        <v>5545</v>
      </c>
      <c r="D1129" s="11" t="s">
        <v>1883</v>
      </c>
      <c r="E1129" s="11" t="s">
        <v>5544</v>
      </c>
      <c r="F1129" s="11" t="s">
        <v>5543</v>
      </c>
      <c r="G1129" s="11" t="s">
        <v>1170</v>
      </c>
      <c r="H1129" s="11"/>
      <c r="I1129" s="11" t="s">
        <v>5542</v>
      </c>
      <c r="J1129" s="11" t="s">
        <v>5541</v>
      </c>
      <c r="K1129" s="11" t="s">
        <v>3599</v>
      </c>
      <c r="L1129" s="11"/>
      <c r="M1129" s="12"/>
      <c r="N1129" s="11"/>
      <c r="O1129" s="11" t="s">
        <v>2028</v>
      </c>
    </row>
    <row r="1130" spans="1:15" ht="19.5" customHeight="1" x14ac:dyDescent="0.25">
      <c r="A1130" s="13" t="s">
        <v>495</v>
      </c>
      <c r="B1130" s="13"/>
      <c r="C1130" s="13" t="s">
        <v>5540</v>
      </c>
      <c r="D1130" s="13" t="s">
        <v>1883</v>
      </c>
      <c r="E1130" s="13" t="s">
        <v>5536</v>
      </c>
      <c r="F1130" s="13" t="s">
        <v>5535</v>
      </c>
      <c r="G1130" s="13" t="s">
        <v>495</v>
      </c>
      <c r="H1130" s="13" t="s">
        <v>5534</v>
      </c>
      <c r="I1130" s="13" t="s">
        <v>5539</v>
      </c>
      <c r="J1130" s="13" t="s">
        <v>5532</v>
      </c>
      <c r="K1130" s="13" t="s">
        <v>1952</v>
      </c>
      <c r="L1130" s="13"/>
      <c r="M1130" s="14"/>
      <c r="N1130" s="13"/>
      <c r="O1130" s="13" t="s">
        <v>2028</v>
      </c>
    </row>
    <row r="1131" spans="1:15" ht="19.5" customHeight="1" x14ac:dyDescent="0.25">
      <c r="A1131" s="11" t="s">
        <v>495</v>
      </c>
      <c r="B1131" s="11"/>
      <c r="C1131" s="11" t="s">
        <v>5538</v>
      </c>
      <c r="D1131" s="11" t="s">
        <v>1883</v>
      </c>
      <c r="E1131" s="11" t="s">
        <v>5536</v>
      </c>
      <c r="F1131" s="11" t="s">
        <v>5535</v>
      </c>
      <c r="G1131" s="11" t="s">
        <v>495</v>
      </c>
      <c r="H1131" s="11" t="s">
        <v>5534</v>
      </c>
      <c r="I1131" s="11" t="s">
        <v>5533</v>
      </c>
      <c r="J1131" s="11" t="s">
        <v>5532</v>
      </c>
      <c r="K1131" s="11" t="s">
        <v>1952</v>
      </c>
      <c r="L1131" s="11"/>
      <c r="M1131" s="12"/>
      <c r="N1131" s="11"/>
      <c r="O1131" s="11" t="s">
        <v>2028</v>
      </c>
    </row>
    <row r="1132" spans="1:15" ht="19.5" customHeight="1" x14ac:dyDescent="0.25">
      <c r="A1132" s="13" t="s">
        <v>495</v>
      </c>
      <c r="B1132" s="13"/>
      <c r="C1132" s="13" t="s">
        <v>5537</v>
      </c>
      <c r="D1132" s="13" t="s">
        <v>1883</v>
      </c>
      <c r="E1132" s="13" t="s">
        <v>5536</v>
      </c>
      <c r="F1132" s="13" t="s">
        <v>5535</v>
      </c>
      <c r="G1132" s="13" t="s">
        <v>495</v>
      </c>
      <c r="H1132" s="13" t="s">
        <v>5534</v>
      </c>
      <c r="I1132" s="13" t="s">
        <v>5533</v>
      </c>
      <c r="J1132" s="13" t="s">
        <v>5532</v>
      </c>
      <c r="K1132" s="13" t="s">
        <v>1952</v>
      </c>
      <c r="L1132" s="13"/>
      <c r="M1132" s="14"/>
      <c r="N1132" s="13"/>
      <c r="O1132" s="13" t="s">
        <v>2028</v>
      </c>
    </row>
    <row r="1133" spans="1:15" ht="19.5" customHeight="1" x14ac:dyDescent="0.25">
      <c r="A1133" s="11" t="s">
        <v>497</v>
      </c>
      <c r="B1133" s="11"/>
      <c r="C1133" s="11" t="s">
        <v>5531</v>
      </c>
      <c r="D1133" s="11" t="s">
        <v>1883</v>
      </c>
      <c r="E1133" s="11" t="s">
        <v>5528</v>
      </c>
      <c r="F1133" s="11" t="s">
        <v>5527</v>
      </c>
      <c r="G1133" s="11" t="s">
        <v>497</v>
      </c>
      <c r="H1133" s="11" t="s">
        <v>5526</v>
      </c>
      <c r="I1133" s="11" t="s">
        <v>8773</v>
      </c>
      <c r="J1133" s="11" t="s">
        <v>8774</v>
      </c>
      <c r="K1133" s="11" t="s">
        <v>3599</v>
      </c>
      <c r="L1133" s="11"/>
      <c r="M1133" s="12"/>
      <c r="N1133" s="11"/>
      <c r="O1133" s="11" t="s">
        <v>2028</v>
      </c>
    </row>
    <row r="1134" spans="1:15" ht="19.5" customHeight="1" x14ac:dyDescent="0.25">
      <c r="A1134" s="13" t="s">
        <v>497</v>
      </c>
      <c r="B1134" s="13"/>
      <c r="C1134" s="13" t="s">
        <v>5530</v>
      </c>
      <c r="D1134" s="13" t="s">
        <v>1883</v>
      </c>
      <c r="E1134" s="13" t="s">
        <v>5528</v>
      </c>
      <c r="F1134" s="13" t="s">
        <v>5527</v>
      </c>
      <c r="G1134" s="13" t="s">
        <v>497</v>
      </c>
      <c r="H1134" s="13" t="s">
        <v>5526</v>
      </c>
      <c r="I1134" s="13" t="s">
        <v>8773</v>
      </c>
      <c r="J1134" s="13" t="s">
        <v>8774</v>
      </c>
      <c r="K1134" s="13" t="s">
        <v>3599</v>
      </c>
      <c r="L1134" s="13"/>
      <c r="M1134" s="14"/>
      <c r="N1134" s="13"/>
      <c r="O1134" s="13" t="s">
        <v>2028</v>
      </c>
    </row>
    <row r="1135" spans="1:15" ht="19.5" customHeight="1" x14ac:dyDescent="0.25">
      <c r="A1135" s="11" t="s">
        <v>497</v>
      </c>
      <c r="B1135" s="11"/>
      <c r="C1135" s="11" t="s">
        <v>5529</v>
      </c>
      <c r="D1135" s="11" t="s">
        <v>1883</v>
      </c>
      <c r="E1135" s="11" t="s">
        <v>5528</v>
      </c>
      <c r="F1135" s="11" t="s">
        <v>5527</v>
      </c>
      <c r="G1135" s="11" t="s">
        <v>497</v>
      </c>
      <c r="H1135" s="11" t="s">
        <v>5526</v>
      </c>
      <c r="I1135" s="11" t="s">
        <v>8773</v>
      </c>
      <c r="J1135" s="11" t="s">
        <v>8774</v>
      </c>
      <c r="K1135" s="11" t="s">
        <v>3599</v>
      </c>
      <c r="L1135" s="11"/>
      <c r="M1135" s="12"/>
      <c r="N1135" s="11"/>
      <c r="O1135" s="11" t="s">
        <v>2028</v>
      </c>
    </row>
    <row r="1136" spans="1:15" ht="19.5" customHeight="1" x14ac:dyDescent="0.25">
      <c r="A1136" s="13" t="s">
        <v>1213</v>
      </c>
      <c r="B1136" s="13"/>
      <c r="C1136" s="13" t="s">
        <v>5525</v>
      </c>
      <c r="D1136" s="13" t="s">
        <v>1883</v>
      </c>
      <c r="E1136" s="13" t="s">
        <v>5524</v>
      </c>
      <c r="F1136" s="13" t="s">
        <v>5523</v>
      </c>
      <c r="G1136" s="13" t="s">
        <v>1213</v>
      </c>
      <c r="H1136" s="13" t="s">
        <v>5522</v>
      </c>
      <c r="I1136" s="13" t="s">
        <v>5521</v>
      </c>
      <c r="J1136" s="13" t="s">
        <v>5520</v>
      </c>
      <c r="K1136" s="13" t="s">
        <v>3599</v>
      </c>
      <c r="L1136" s="13"/>
      <c r="M1136" s="14"/>
      <c r="N1136" s="13"/>
      <c r="O1136" s="13" t="s">
        <v>2028</v>
      </c>
    </row>
    <row r="1137" spans="1:15" ht="19.5" customHeight="1" x14ac:dyDescent="0.25">
      <c r="A1137" s="11" t="s">
        <v>5509</v>
      </c>
      <c r="B1137" s="11"/>
      <c r="C1137" s="11" t="s">
        <v>5519</v>
      </c>
      <c r="D1137" s="11" t="s">
        <v>1883</v>
      </c>
      <c r="E1137" s="11" t="s">
        <v>5516</v>
      </c>
      <c r="F1137" s="11" t="s">
        <v>5515</v>
      </c>
      <c r="G1137" s="11" t="s">
        <v>5509</v>
      </c>
      <c r="H1137" s="11" t="s">
        <v>5514</v>
      </c>
      <c r="I1137" s="11" t="s">
        <v>5513</v>
      </c>
      <c r="J1137" s="11" t="s">
        <v>5512</v>
      </c>
      <c r="K1137" s="11" t="s">
        <v>3599</v>
      </c>
      <c r="L1137" s="11"/>
      <c r="M1137" s="12"/>
      <c r="N1137" s="11"/>
      <c r="O1137" s="11" t="s">
        <v>2028</v>
      </c>
    </row>
    <row r="1138" spans="1:15" ht="19.5" customHeight="1" x14ac:dyDescent="0.25">
      <c r="A1138" s="13" t="s">
        <v>5509</v>
      </c>
      <c r="B1138" s="13"/>
      <c r="C1138" s="13" t="s">
        <v>5518</v>
      </c>
      <c r="D1138" s="13" t="s">
        <v>1883</v>
      </c>
      <c r="E1138" s="13" t="s">
        <v>5516</v>
      </c>
      <c r="F1138" s="13" t="s">
        <v>5515</v>
      </c>
      <c r="G1138" s="13" t="s">
        <v>5509</v>
      </c>
      <c r="H1138" s="13" t="s">
        <v>5514</v>
      </c>
      <c r="I1138" s="13" t="s">
        <v>5513</v>
      </c>
      <c r="J1138" s="13" t="s">
        <v>5512</v>
      </c>
      <c r="K1138" s="13" t="s">
        <v>3599</v>
      </c>
      <c r="L1138" s="13"/>
      <c r="M1138" s="14"/>
      <c r="N1138" s="13"/>
      <c r="O1138" s="13" t="s">
        <v>2028</v>
      </c>
    </row>
    <row r="1139" spans="1:15" ht="19.5" customHeight="1" x14ac:dyDescent="0.25">
      <c r="A1139" s="11" t="s">
        <v>5509</v>
      </c>
      <c r="B1139" s="11"/>
      <c r="C1139" s="11" t="s">
        <v>5517</v>
      </c>
      <c r="D1139" s="11" t="s">
        <v>1883</v>
      </c>
      <c r="E1139" s="11" t="s">
        <v>5516</v>
      </c>
      <c r="F1139" s="11" t="s">
        <v>5515</v>
      </c>
      <c r="G1139" s="11" t="s">
        <v>5509</v>
      </c>
      <c r="H1139" s="11" t="s">
        <v>5514</v>
      </c>
      <c r="I1139" s="11" t="s">
        <v>5513</v>
      </c>
      <c r="J1139" s="11" t="s">
        <v>5512</v>
      </c>
      <c r="K1139" s="11" t="s">
        <v>3599</v>
      </c>
      <c r="L1139" s="11"/>
      <c r="M1139" s="12"/>
      <c r="N1139" s="11"/>
      <c r="O1139" s="11" t="s">
        <v>2028</v>
      </c>
    </row>
    <row r="1140" spans="1:15" ht="19.5" customHeight="1" x14ac:dyDescent="0.25">
      <c r="A1140" s="13" t="s">
        <v>5509</v>
      </c>
      <c r="B1140" s="13"/>
      <c r="C1140" s="13" t="s">
        <v>5511</v>
      </c>
      <c r="D1140" s="13" t="s">
        <v>1883</v>
      </c>
      <c r="E1140" s="13" t="s">
        <v>5510</v>
      </c>
      <c r="F1140" s="13"/>
      <c r="G1140" s="13" t="s">
        <v>5509</v>
      </c>
      <c r="H1140" s="13"/>
      <c r="I1140" s="13"/>
      <c r="J1140" s="13"/>
      <c r="K1140" s="13"/>
      <c r="L1140" s="13"/>
      <c r="M1140" s="14"/>
      <c r="N1140" s="13"/>
      <c r="O1140" s="13" t="s">
        <v>1916</v>
      </c>
    </row>
    <row r="1141" spans="1:15" ht="19.5" customHeight="1" x14ac:dyDescent="0.25">
      <c r="A1141" s="11" t="s">
        <v>499</v>
      </c>
      <c r="B1141" s="11"/>
      <c r="C1141" s="11" t="s">
        <v>5508</v>
      </c>
      <c r="D1141" s="11" t="s">
        <v>1883</v>
      </c>
      <c r="E1141" s="11" t="s">
        <v>5505</v>
      </c>
      <c r="F1141" s="11" t="s">
        <v>5504</v>
      </c>
      <c r="G1141" s="11" t="s">
        <v>499</v>
      </c>
      <c r="H1141" s="11" t="s">
        <v>5503</v>
      </c>
      <c r="I1141" s="11" t="s">
        <v>5502</v>
      </c>
      <c r="J1141" s="11" t="s">
        <v>5496</v>
      </c>
      <c r="K1141" s="11" t="s">
        <v>3599</v>
      </c>
      <c r="L1141" s="11"/>
      <c r="M1141" s="12"/>
      <c r="N1141" s="11"/>
      <c r="O1141" s="11" t="s">
        <v>2028</v>
      </c>
    </row>
    <row r="1142" spans="1:15" ht="19.5" customHeight="1" x14ac:dyDescent="0.25">
      <c r="A1142" s="13" t="s">
        <v>499</v>
      </c>
      <c r="B1142" s="13"/>
      <c r="C1142" s="13" t="s">
        <v>5507</v>
      </c>
      <c r="D1142" s="13" t="s">
        <v>1883</v>
      </c>
      <c r="E1142" s="13" t="s">
        <v>5505</v>
      </c>
      <c r="F1142" s="13" t="s">
        <v>5504</v>
      </c>
      <c r="G1142" s="13" t="s">
        <v>499</v>
      </c>
      <c r="H1142" s="13" t="s">
        <v>5503</v>
      </c>
      <c r="I1142" s="13" t="s">
        <v>5502</v>
      </c>
      <c r="J1142" s="13" t="s">
        <v>5496</v>
      </c>
      <c r="K1142" s="13" t="s">
        <v>3599</v>
      </c>
      <c r="L1142" s="13"/>
      <c r="M1142" s="14"/>
      <c r="N1142" s="13"/>
      <c r="O1142" s="13" t="s">
        <v>2028</v>
      </c>
    </row>
    <row r="1143" spans="1:15" ht="19.5" customHeight="1" x14ac:dyDescent="0.25">
      <c r="A1143" s="11" t="s">
        <v>499</v>
      </c>
      <c r="B1143" s="11"/>
      <c r="C1143" s="11" t="s">
        <v>5506</v>
      </c>
      <c r="D1143" s="11" t="s">
        <v>1883</v>
      </c>
      <c r="E1143" s="11" t="s">
        <v>5505</v>
      </c>
      <c r="F1143" s="11" t="s">
        <v>5504</v>
      </c>
      <c r="G1143" s="11" t="s">
        <v>499</v>
      </c>
      <c r="H1143" s="11" t="s">
        <v>5503</v>
      </c>
      <c r="I1143" s="11" t="s">
        <v>5502</v>
      </c>
      <c r="J1143" s="11" t="s">
        <v>5496</v>
      </c>
      <c r="K1143" s="11" t="s">
        <v>3599</v>
      </c>
      <c r="L1143" s="11"/>
      <c r="M1143" s="12"/>
      <c r="N1143" s="11"/>
      <c r="O1143" s="11" t="s">
        <v>2028</v>
      </c>
    </row>
    <row r="1144" spans="1:15" ht="19.5" customHeight="1" x14ac:dyDescent="0.25">
      <c r="A1144" s="13" t="s">
        <v>5498</v>
      </c>
      <c r="B1144" s="13"/>
      <c r="C1144" s="13" t="s">
        <v>5501</v>
      </c>
      <c r="D1144" s="13" t="s">
        <v>1883</v>
      </c>
      <c r="E1144" s="13" t="s">
        <v>5500</v>
      </c>
      <c r="F1144" s="13" t="s">
        <v>5499</v>
      </c>
      <c r="G1144" s="13" t="s">
        <v>5498</v>
      </c>
      <c r="H1144" s="13"/>
      <c r="I1144" s="13" t="s">
        <v>5497</v>
      </c>
      <c r="J1144" s="13" t="s">
        <v>5496</v>
      </c>
      <c r="K1144" s="13" t="s">
        <v>3599</v>
      </c>
      <c r="L1144" s="13"/>
      <c r="M1144" s="14"/>
      <c r="N1144" s="13"/>
      <c r="O1144" s="13" t="s">
        <v>2028</v>
      </c>
    </row>
    <row r="1145" spans="1:15" ht="19.5" customHeight="1" x14ac:dyDescent="0.25">
      <c r="A1145" s="11" t="s">
        <v>501</v>
      </c>
      <c r="B1145" s="11"/>
      <c r="C1145" s="11" t="s">
        <v>5495</v>
      </c>
      <c r="D1145" s="11" t="s">
        <v>1883</v>
      </c>
      <c r="E1145" s="11" t="s">
        <v>5493</v>
      </c>
      <c r="F1145" s="11" t="s">
        <v>5492</v>
      </c>
      <c r="G1145" s="11" t="s">
        <v>501</v>
      </c>
      <c r="H1145" s="11"/>
      <c r="I1145" s="11" t="s">
        <v>5491</v>
      </c>
      <c r="J1145" s="11" t="s">
        <v>8841</v>
      </c>
      <c r="K1145" s="11" t="s">
        <v>3599</v>
      </c>
      <c r="L1145" s="11"/>
      <c r="M1145" s="12"/>
      <c r="N1145" s="11"/>
      <c r="O1145" s="11" t="s">
        <v>2028</v>
      </c>
    </row>
    <row r="1146" spans="1:15" ht="19.5" customHeight="1" x14ac:dyDescent="0.25">
      <c r="A1146" s="13" t="s">
        <v>501</v>
      </c>
      <c r="B1146" s="13"/>
      <c r="C1146" s="13" t="s">
        <v>5494</v>
      </c>
      <c r="D1146" s="13" t="s">
        <v>1883</v>
      </c>
      <c r="E1146" s="13" t="s">
        <v>5493</v>
      </c>
      <c r="F1146" s="13" t="s">
        <v>5492</v>
      </c>
      <c r="G1146" s="13" t="s">
        <v>501</v>
      </c>
      <c r="H1146" s="13"/>
      <c r="I1146" s="13" t="s">
        <v>5491</v>
      </c>
      <c r="J1146" s="13" t="s">
        <v>8841</v>
      </c>
      <c r="K1146" s="13" t="s">
        <v>3599</v>
      </c>
      <c r="L1146" s="13"/>
      <c r="M1146" s="14"/>
      <c r="N1146" s="13"/>
      <c r="O1146" s="13" t="s">
        <v>2028</v>
      </c>
    </row>
    <row r="1147" spans="1:15" ht="19.5" customHeight="1" x14ac:dyDescent="0.25">
      <c r="A1147" s="11" t="s">
        <v>5483</v>
      </c>
      <c r="B1147" s="11"/>
      <c r="C1147" s="11" t="s">
        <v>5490</v>
      </c>
      <c r="D1147" s="11" t="s">
        <v>1883</v>
      </c>
      <c r="E1147" s="11" t="s">
        <v>5485</v>
      </c>
      <c r="F1147" s="11" t="s">
        <v>5484</v>
      </c>
      <c r="G1147" s="11" t="s">
        <v>5483</v>
      </c>
      <c r="H1147" s="11" t="s">
        <v>5482</v>
      </c>
      <c r="I1147" s="11" t="s">
        <v>5481</v>
      </c>
      <c r="J1147" s="11" t="s">
        <v>5480</v>
      </c>
      <c r="K1147" s="11" t="s">
        <v>3599</v>
      </c>
      <c r="L1147" s="11"/>
      <c r="M1147" s="12"/>
      <c r="N1147" s="11"/>
      <c r="O1147" s="11" t="s">
        <v>2028</v>
      </c>
    </row>
    <row r="1148" spans="1:15" ht="19.5" customHeight="1" x14ac:dyDescent="0.25">
      <c r="A1148" s="13" t="s">
        <v>5483</v>
      </c>
      <c r="B1148" s="13"/>
      <c r="C1148" s="13" t="s">
        <v>5489</v>
      </c>
      <c r="D1148" s="13" t="s">
        <v>1883</v>
      </c>
      <c r="E1148" s="13" t="s">
        <v>5485</v>
      </c>
      <c r="F1148" s="13" t="s">
        <v>5484</v>
      </c>
      <c r="G1148" s="13" t="s">
        <v>5483</v>
      </c>
      <c r="H1148" s="13" t="s">
        <v>5482</v>
      </c>
      <c r="I1148" s="13" t="s">
        <v>5481</v>
      </c>
      <c r="J1148" s="13" t="s">
        <v>5480</v>
      </c>
      <c r="K1148" s="13" t="s">
        <v>3599</v>
      </c>
      <c r="L1148" s="13"/>
      <c r="M1148" s="14"/>
      <c r="N1148" s="13"/>
      <c r="O1148" s="13" t="s">
        <v>2028</v>
      </c>
    </row>
    <row r="1149" spans="1:15" ht="19.5" customHeight="1" x14ac:dyDescent="0.25">
      <c r="A1149" s="11" t="s">
        <v>5483</v>
      </c>
      <c r="B1149" s="11"/>
      <c r="C1149" s="11" t="s">
        <v>5488</v>
      </c>
      <c r="D1149" s="11" t="s">
        <v>1883</v>
      </c>
      <c r="E1149" s="11" t="s">
        <v>5485</v>
      </c>
      <c r="F1149" s="11" t="s">
        <v>5484</v>
      </c>
      <c r="G1149" s="11" t="s">
        <v>5483</v>
      </c>
      <c r="H1149" s="11" t="s">
        <v>5482</v>
      </c>
      <c r="I1149" s="11" t="s">
        <v>5481</v>
      </c>
      <c r="J1149" s="11" t="s">
        <v>5480</v>
      </c>
      <c r="K1149" s="11" t="s">
        <v>3599</v>
      </c>
      <c r="L1149" s="11"/>
      <c r="M1149" s="12"/>
      <c r="N1149" s="11"/>
      <c r="O1149" s="11" t="s">
        <v>2028</v>
      </c>
    </row>
    <row r="1150" spans="1:15" ht="19.5" customHeight="1" x14ac:dyDescent="0.25">
      <c r="A1150" s="13" t="s">
        <v>5483</v>
      </c>
      <c r="B1150" s="13"/>
      <c r="C1150" s="13" t="s">
        <v>5487</v>
      </c>
      <c r="D1150" s="13" t="s">
        <v>1883</v>
      </c>
      <c r="E1150" s="13" t="s">
        <v>5485</v>
      </c>
      <c r="F1150" s="13" t="s">
        <v>5484</v>
      </c>
      <c r="G1150" s="13" t="s">
        <v>5483</v>
      </c>
      <c r="H1150" s="13" t="s">
        <v>5482</v>
      </c>
      <c r="I1150" s="13" t="s">
        <v>5481</v>
      </c>
      <c r="J1150" s="13" t="s">
        <v>5480</v>
      </c>
      <c r="K1150" s="13" t="s">
        <v>3599</v>
      </c>
      <c r="L1150" s="13"/>
      <c r="M1150" s="14"/>
      <c r="N1150" s="13"/>
      <c r="O1150" s="13" t="s">
        <v>2028</v>
      </c>
    </row>
    <row r="1151" spans="1:15" ht="19.5" customHeight="1" x14ac:dyDescent="0.25">
      <c r="A1151" s="11" t="s">
        <v>5483</v>
      </c>
      <c r="B1151" s="11"/>
      <c r="C1151" s="11" t="s">
        <v>5486</v>
      </c>
      <c r="D1151" s="11" t="s">
        <v>1883</v>
      </c>
      <c r="E1151" s="11" t="s">
        <v>5485</v>
      </c>
      <c r="F1151" s="11" t="s">
        <v>5484</v>
      </c>
      <c r="G1151" s="11" t="s">
        <v>5483</v>
      </c>
      <c r="H1151" s="11" t="s">
        <v>5482</v>
      </c>
      <c r="I1151" s="11" t="s">
        <v>5481</v>
      </c>
      <c r="J1151" s="11" t="s">
        <v>5480</v>
      </c>
      <c r="K1151" s="11" t="s">
        <v>3599</v>
      </c>
      <c r="L1151" s="11"/>
      <c r="M1151" s="12"/>
      <c r="N1151" s="11"/>
      <c r="O1151" s="11" t="s">
        <v>2028</v>
      </c>
    </row>
    <row r="1152" spans="1:15" ht="19.5" customHeight="1" x14ac:dyDescent="0.25">
      <c r="A1152" s="13" t="s">
        <v>503</v>
      </c>
      <c r="B1152" s="13"/>
      <c r="C1152" s="13" t="s">
        <v>5479</v>
      </c>
      <c r="D1152" s="13" t="s">
        <v>1883</v>
      </c>
      <c r="E1152" s="13" t="s">
        <v>5478</v>
      </c>
      <c r="F1152" s="13" t="s">
        <v>5477</v>
      </c>
      <c r="G1152" s="13" t="s">
        <v>503</v>
      </c>
      <c r="H1152" s="13"/>
      <c r="I1152" s="13" t="s">
        <v>5476</v>
      </c>
      <c r="J1152" s="13" t="s">
        <v>5475</v>
      </c>
      <c r="K1152" s="13" t="s">
        <v>2122</v>
      </c>
      <c r="L1152" s="13"/>
      <c r="M1152" s="14"/>
      <c r="N1152" s="13"/>
      <c r="O1152" s="13" t="s">
        <v>2028</v>
      </c>
    </row>
    <row r="1153" spans="1:15" ht="19.5" customHeight="1" x14ac:dyDescent="0.25">
      <c r="A1153" s="11" t="s">
        <v>5472</v>
      </c>
      <c r="B1153" s="11"/>
      <c r="C1153" s="11" t="s">
        <v>5474</v>
      </c>
      <c r="D1153" s="11" t="s">
        <v>1883</v>
      </c>
      <c r="E1153" s="11" t="s">
        <v>5473</v>
      </c>
      <c r="F1153" s="11"/>
      <c r="G1153" s="11" t="s">
        <v>5472</v>
      </c>
      <c r="H1153" s="11"/>
      <c r="I1153" s="11" t="s">
        <v>5471</v>
      </c>
      <c r="J1153" s="11" t="s">
        <v>5470</v>
      </c>
      <c r="K1153" s="11" t="s">
        <v>3599</v>
      </c>
      <c r="L1153" s="11"/>
      <c r="M1153" s="12"/>
      <c r="N1153" s="11"/>
      <c r="O1153" s="11" t="s">
        <v>2028</v>
      </c>
    </row>
    <row r="1154" spans="1:15" ht="19.5" customHeight="1" x14ac:dyDescent="0.25">
      <c r="A1154" s="13" t="s">
        <v>505</v>
      </c>
      <c r="B1154" s="13"/>
      <c r="C1154" s="13" t="s">
        <v>5469</v>
      </c>
      <c r="D1154" s="13" t="s">
        <v>1883</v>
      </c>
      <c r="E1154" s="13" t="s">
        <v>5468</v>
      </c>
      <c r="F1154" s="13"/>
      <c r="G1154" s="13" t="s">
        <v>505</v>
      </c>
      <c r="H1154" s="13" t="s">
        <v>5467</v>
      </c>
      <c r="I1154" s="13" t="s">
        <v>5466</v>
      </c>
      <c r="J1154" s="13" t="s">
        <v>5465</v>
      </c>
      <c r="K1154" s="13" t="s">
        <v>2033</v>
      </c>
      <c r="L1154" s="13"/>
      <c r="M1154" s="14"/>
      <c r="N1154" s="13"/>
      <c r="O1154" s="13" t="s">
        <v>2028</v>
      </c>
    </row>
    <row r="1155" spans="1:15" ht="19.5" customHeight="1" x14ac:dyDescent="0.25">
      <c r="A1155" s="11" t="s">
        <v>1431</v>
      </c>
      <c r="B1155" s="11"/>
      <c r="C1155" s="11" t="s">
        <v>5464</v>
      </c>
      <c r="D1155" s="11" t="s">
        <v>1883</v>
      </c>
      <c r="E1155" s="11" t="s">
        <v>5463</v>
      </c>
      <c r="F1155" s="11"/>
      <c r="G1155" s="11" t="s">
        <v>1431</v>
      </c>
      <c r="H1155" s="11"/>
      <c r="I1155" s="11" t="s">
        <v>5462</v>
      </c>
      <c r="J1155" s="11" t="s">
        <v>5461</v>
      </c>
      <c r="K1155" s="11" t="s">
        <v>4943</v>
      </c>
      <c r="L1155" s="11"/>
      <c r="M1155" s="12"/>
      <c r="N1155" s="11"/>
      <c r="O1155" s="11" t="s">
        <v>2028</v>
      </c>
    </row>
    <row r="1156" spans="1:15" ht="19.5" customHeight="1" x14ac:dyDescent="0.25">
      <c r="A1156" s="13" t="s">
        <v>1034</v>
      </c>
      <c r="B1156" s="13"/>
      <c r="C1156" s="13" t="s">
        <v>5460</v>
      </c>
      <c r="D1156" s="13" t="s">
        <v>1883</v>
      </c>
      <c r="E1156" s="13" t="s">
        <v>5459</v>
      </c>
      <c r="F1156" s="13"/>
      <c r="G1156" s="13" t="s">
        <v>1034</v>
      </c>
      <c r="H1156" s="13"/>
      <c r="I1156" s="13"/>
      <c r="J1156" s="13"/>
      <c r="K1156" s="13"/>
      <c r="L1156" s="13"/>
      <c r="M1156" s="14"/>
      <c r="N1156" s="13"/>
      <c r="O1156" s="13" t="s">
        <v>1916</v>
      </c>
    </row>
    <row r="1157" spans="1:15" ht="19.5" customHeight="1" x14ac:dyDescent="0.25">
      <c r="A1157" s="11" t="s">
        <v>1034</v>
      </c>
      <c r="B1157" s="11"/>
      <c r="C1157" s="11" t="s">
        <v>1033</v>
      </c>
      <c r="D1157" s="11" t="s">
        <v>1883</v>
      </c>
      <c r="E1157" s="11" t="s">
        <v>5459</v>
      </c>
      <c r="F1157" s="11" t="s">
        <v>5458</v>
      </c>
      <c r="G1157" s="11" t="s">
        <v>1034</v>
      </c>
      <c r="H1157" s="11" t="s">
        <v>5457</v>
      </c>
      <c r="I1157" s="11" t="s">
        <v>5456</v>
      </c>
      <c r="J1157" s="11" t="s">
        <v>5455</v>
      </c>
      <c r="K1157" s="11" t="s">
        <v>1952</v>
      </c>
      <c r="L1157" s="11"/>
      <c r="M1157" s="12"/>
      <c r="N1157" s="11"/>
      <c r="O1157" s="11" t="s">
        <v>1945</v>
      </c>
    </row>
    <row r="1158" spans="1:15" ht="19.5" customHeight="1" x14ac:dyDescent="0.25">
      <c r="A1158" s="13" t="s">
        <v>507</v>
      </c>
      <c r="B1158" s="13"/>
      <c r="C1158" s="13" t="s">
        <v>5454</v>
      </c>
      <c r="D1158" s="13" t="s">
        <v>1883</v>
      </c>
      <c r="E1158" s="13" t="s">
        <v>5453</v>
      </c>
      <c r="F1158" s="13"/>
      <c r="G1158" s="13" t="s">
        <v>507</v>
      </c>
      <c r="H1158" s="13" t="s">
        <v>5452</v>
      </c>
      <c r="I1158" s="13" t="s">
        <v>5451</v>
      </c>
      <c r="J1158" s="13" t="s">
        <v>5450</v>
      </c>
      <c r="K1158" s="13" t="s">
        <v>3599</v>
      </c>
      <c r="L1158" s="13"/>
      <c r="M1158" s="14"/>
      <c r="N1158" s="13"/>
      <c r="O1158" s="13" t="s">
        <v>2028</v>
      </c>
    </row>
    <row r="1159" spans="1:15" ht="19.5" customHeight="1" x14ac:dyDescent="0.25">
      <c r="A1159" s="11" t="s">
        <v>509</v>
      </c>
      <c r="B1159" s="11"/>
      <c r="C1159" s="11" t="s">
        <v>5449</v>
      </c>
      <c r="D1159" s="11" t="s">
        <v>1883</v>
      </c>
      <c r="E1159" s="11" t="s">
        <v>5446</v>
      </c>
      <c r="F1159" s="11" t="s">
        <v>5445</v>
      </c>
      <c r="G1159" s="11" t="s">
        <v>509</v>
      </c>
      <c r="H1159" s="11" t="s">
        <v>5444</v>
      </c>
      <c r="I1159" s="11" t="s">
        <v>5443</v>
      </c>
      <c r="J1159" s="11" t="s">
        <v>5442</v>
      </c>
      <c r="K1159" s="11" t="s">
        <v>2033</v>
      </c>
      <c r="L1159" s="11"/>
      <c r="M1159" s="12"/>
      <c r="N1159" s="11"/>
      <c r="O1159" s="11" t="s">
        <v>2028</v>
      </c>
    </row>
    <row r="1160" spans="1:15" ht="19.5" customHeight="1" x14ac:dyDescent="0.25">
      <c r="A1160" s="13" t="s">
        <v>509</v>
      </c>
      <c r="B1160" s="13"/>
      <c r="C1160" s="13" t="s">
        <v>5448</v>
      </c>
      <c r="D1160" s="13" t="s">
        <v>1883</v>
      </c>
      <c r="E1160" s="13" t="s">
        <v>5446</v>
      </c>
      <c r="F1160" s="13" t="s">
        <v>5445</v>
      </c>
      <c r="G1160" s="13" t="s">
        <v>509</v>
      </c>
      <c r="H1160" s="13" t="s">
        <v>5444</v>
      </c>
      <c r="I1160" s="13" t="s">
        <v>5443</v>
      </c>
      <c r="J1160" s="13" t="s">
        <v>5442</v>
      </c>
      <c r="K1160" s="13" t="s">
        <v>2033</v>
      </c>
      <c r="L1160" s="13"/>
      <c r="M1160" s="14"/>
      <c r="N1160" s="13"/>
      <c r="O1160" s="13" t="s">
        <v>2028</v>
      </c>
    </row>
    <row r="1161" spans="1:15" ht="19.5" customHeight="1" x14ac:dyDescent="0.25">
      <c r="A1161" s="11" t="s">
        <v>509</v>
      </c>
      <c r="B1161" s="11"/>
      <c r="C1161" s="11" t="s">
        <v>5447</v>
      </c>
      <c r="D1161" s="11" t="s">
        <v>1883</v>
      </c>
      <c r="E1161" s="11" t="s">
        <v>5446</v>
      </c>
      <c r="F1161" s="11" t="s">
        <v>5445</v>
      </c>
      <c r="G1161" s="11" t="s">
        <v>509</v>
      </c>
      <c r="H1161" s="11" t="s">
        <v>5444</v>
      </c>
      <c r="I1161" s="11" t="s">
        <v>5443</v>
      </c>
      <c r="J1161" s="11" t="s">
        <v>5442</v>
      </c>
      <c r="K1161" s="11" t="s">
        <v>2033</v>
      </c>
      <c r="L1161" s="11"/>
      <c r="M1161" s="12"/>
      <c r="N1161" s="11"/>
      <c r="O1161" s="11" t="s">
        <v>2028</v>
      </c>
    </row>
    <row r="1162" spans="1:15" ht="19.5" customHeight="1" x14ac:dyDescent="0.25">
      <c r="A1162" s="13" t="s">
        <v>511</v>
      </c>
      <c r="B1162" s="13"/>
      <c r="C1162" s="13" t="s">
        <v>5441</v>
      </c>
      <c r="D1162" s="13" t="s">
        <v>1883</v>
      </c>
      <c r="E1162" s="13" t="s">
        <v>5438</v>
      </c>
      <c r="F1162" s="13" t="s">
        <v>5437</v>
      </c>
      <c r="G1162" s="13" t="s">
        <v>511</v>
      </c>
      <c r="H1162" s="13" t="s">
        <v>5436</v>
      </c>
      <c r="I1162" s="13" t="s">
        <v>5435</v>
      </c>
      <c r="J1162" s="13" t="s">
        <v>5434</v>
      </c>
      <c r="K1162" s="13" t="s">
        <v>3599</v>
      </c>
      <c r="L1162" s="13"/>
      <c r="M1162" s="14"/>
      <c r="N1162" s="13"/>
      <c r="O1162" s="13" t="s">
        <v>2028</v>
      </c>
    </row>
    <row r="1163" spans="1:15" ht="19.5" customHeight="1" x14ac:dyDescent="0.25">
      <c r="A1163" s="11" t="s">
        <v>511</v>
      </c>
      <c r="B1163" s="11"/>
      <c r="C1163" s="11" t="s">
        <v>5440</v>
      </c>
      <c r="D1163" s="11" t="s">
        <v>1883</v>
      </c>
      <c r="E1163" s="11" t="s">
        <v>5438</v>
      </c>
      <c r="F1163" s="11" t="s">
        <v>5437</v>
      </c>
      <c r="G1163" s="11" t="s">
        <v>511</v>
      </c>
      <c r="H1163" s="11" t="s">
        <v>5436</v>
      </c>
      <c r="I1163" s="11" t="s">
        <v>5435</v>
      </c>
      <c r="J1163" s="11" t="s">
        <v>5434</v>
      </c>
      <c r="K1163" s="11" t="s">
        <v>3599</v>
      </c>
      <c r="L1163" s="11"/>
      <c r="M1163" s="12"/>
      <c r="N1163" s="11"/>
      <c r="O1163" s="11" t="s">
        <v>2028</v>
      </c>
    </row>
    <row r="1164" spans="1:15" ht="19.5" customHeight="1" x14ac:dyDescent="0.25">
      <c r="A1164" s="13" t="s">
        <v>511</v>
      </c>
      <c r="B1164" s="13"/>
      <c r="C1164" s="13" t="s">
        <v>5439</v>
      </c>
      <c r="D1164" s="13" t="s">
        <v>1883</v>
      </c>
      <c r="E1164" s="13" t="s">
        <v>5438</v>
      </c>
      <c r="F1164" s="13" t="s">
        <v>5437</v>
      </c>
      <c r="G1164" s="13" t="s">
        <v>511</v>
      </c>
      <c r="H1164" s="13" t="s">
        <v>5436</v>
      </c>
      <c r="I1164" s="13" t="s">
        <v>5435</v>
      </c>
      <c r="J1164" s="13" t="s">
        <v>5434</v>
      </c>
      <c r="K1164" s="13" t="s">
        <v>3599</v>
      </c>
      <c r="L1164" s="13"/>
      <c r="M1164" s="14"/>
      <c r="N1164" s="13"/>
      <c r="O1164" s="13" t="s">
        <v>2028</v>
      </c>
    </row>
    <row r="1165" spans="1:15" ht="19.5" customHeight="1" x14ac:dyDescent="0.25">
      <c r="A1165" s="11" t="s">
        <v>513</v>
      </c>
      <c r="B1165" s="11"/>
      <c r="C1165" s="11" t="s">
        <v>5433</v>
      </c>
      <c r="D1165" s="11" t="s">
        <v>1883</v>
      </c>
      <c r="E1165" s="11" t="s">
        <v>5432</v>
      </c>
      <c r="F1165" s="11" t="s">
        <v>5431</v>
      </c>
      <c r="G1165" s="11" t="s">
        <v>513</v>
      </c>
      <c r="H1165" s="11"/>
      <c r="I1165" s="11" t="s">
        <v>5430</v>
      </c>
      <c r="J1165" s="11" t="s">
        <v>5429</v>
      </c>
      <c r="K1165" s="11" t="s">
        <v>2175</v>
      </c>
      <c r="L1165" s="11"/>
      <c r="M1165" s="12"/>
      <c r="N1165" s="11"/>
      <c r="O1165" s="11" t="s">
        <v>2028</v>
      </c>
    </row>
    <row r="1166" spans="1:15" ht="19.5" customHeight="1" x14ac:dyDescent="0.25">
      <c r="A1166" s="13" t="s">
        <v>515</v>
      </c>
      <c r="B1166" s="13"/>
      <c r="C1166" s="13" t="s">
        <v>5428</v>
      </c>
      <c r="D1166" s="13" t="s">
        <v>1883</v>
      </c>
      <c r="E1166" s="13" t="s">
        <v>5425</v>
      </c>
      <c r="F1166" s="13" t="s">
        <v>5424</v>
      </c>
      <c r="G1166" s="13" t="s">
        <v>515</v>
      </c>
      <c r="H1166" s="13"/>
      <c r="I1166" s="13" t="s">
        <v>1997</v>
      </c>
      <c r="J1166" s="13" t="s">
        <v>5423</v>
      </c>
      <c r="K1166" s="13" t="s">
        <v>1952</v>
      </c>
      <c r="L1166" s="13"/>
      <c r="M1166" s="14"/>
      <c r="N1166" s="13"/>
      <c r="O1166" s="13" t="s">
        <v>2028</v>
      </c>
    </row>
    <row r="1167" spans="1:15" ht="19.5" customHeight="1" x14ac:dyDescent="0.25">
      <c r="A1167" s="11" t="s">
        <v>515</v>
      </c>
      <c r="B1167" s="11"/>
      <c r="C1167" s="11" t="s">
        <v>5427</v>
      </c>
      <c r="D1167" s="11" t="s">
        <v>1883</v>
      </c>
      <c r="E1167" s="11" t="s">
        <v>5425</v>
      </c>
      <c r="F1167" s="11" t="s">
        <v>5424</v>
      </c>
      <c r="G1167" s="11" t="s">
        <v>515</v>
      </c>
      <c r="H1167" s="11"/>
      <c r="I1167" s="11" t="s">
        <v>1997</v>
      </c>
      <c r="J1167" s="11" t="s">
        <v>5423</v>
      </c>
      <c r="K1167" s="11" t="s">
        <v>1952</v>
      </c>
      <c r="L1167" s="11"/>
      <c r="M1167" s="12"/>
      <c r="N1167" s="11"/>
      <c r="O1167" s="11" t="s">
        <v>2028</v>
      </c>
    </row>
    <row r="1168" spans="1:15" ht="19.5" customHeight="1" x14ac:dyDescent="0.25">
      <c r="A1168" s="13" t="s">
        <v>515</v>
      </c>
      <c r="B1168" s="13"/>
      <c r="C1168" s="13" t="s">
        <v>5426</v>
      </c>
      <c r="D1168" s="13" t="s">
        <v>1883</v>
      </c>
      <c r="E1168" s="13" t="s">
        <v>5425</v>
      </c>
      <c r="F1168" s="13" t="s">
        <v>5424</v>
      </c>
      <c r="G1168" s="13" t="s">
        <v>515</v>
      </c>
      <c r="H1168" s="13"/>
      <c r="I1168" s="13" t="s">
        <v>1997</v>
      </c>
      <c r="J1168" s="13" t="s">
        <v>5423</v>
      </c>
      <c r="K1168" s="13" t="s">
        <v>1952</v>
      </c>
      <c r="L1168" s="13"/>
      <c r="M1168" s="14"/>
      <c r="N1168" s="13"/>
      <c r="O1168" s="13" t="s">
        <v>2028</v>
      </c>
    </row>
    <row r="1169" spans="1:15" ht="19.5" customHeight="1" x14ac:dyDescent="0.25">
      <c r="A1169" s="11" t="s">
        <v>515</v>
      </c>
      <c r="B1169" s="11"/>
      <c r="C1169" s="11" t="s">
        <v>5422</v>
      </c>
      <c r="D1169" s="11" t="s">
        <v>1883</v>
      </c>
      <c r="E1169" s="11" t="s">
        <v>5421</v>
      </c>
      <c r="F1169" s="11"/>
      <c r="G1169" s="11" t="s">
        <v>515</v>
      </c>
      <c r="H1169" s="11"/>
      <c r="I1169" s="11"/>
      <c r="J1169" s="11"/>
      <c r="K1169" s="11"/>
      <c r="L1169" s="11"/>
      <c r="M1169" s="12"/>
      <c r="N1169" s="11"/>
      <c r="O1169" s="11" t="s">
        <v>1916</v>
      </c>
    </row>
    <row r="1170" spans="1:15" ht="19.5" customHeight="1" x14ac:dyDescent="0.25">
      <c r="A1170" s="13" t="s">
        <v>517</v>
      </c>
      <c r="B1170" s="13"/>
      <c r="C1170" s="13" t="s">
        <v>5420</v>
      </c>
      <c r="D1170" s="13" t="s">
        <v>1883</v>
      </c>
      <c r="E1170" s="13" t="s">
        <v>5419</v>
      </c>
      <c r="F1170" s="13"/>
      <c r="G1170" s="13" t="s">
        <v>517</v>
      </c>
      <c r="H1170" s="13"/>
      <c r="I1170" s="13" t="s">
        <v>5418</v>
      </c>
      <c r="J1170" s="13" t="s">
        <v>5417</v>
      </c>
      <c r="K1170" s="13" t="s">
        <v>1952</v>
      </c>
      <c r="L1170" s="13"/>
      <c r="M1170" s="14"/>
      <c r="N1170" s="13"/>
      <c r="O1170" s="13" t="s">
        <v>2028</v>
      </c>
    </row>
    <row r="1171" spans="1:15" ht="19.5" customHeight="1" x14ac:dyDescent="0.25">
      <c r="A1171" s="11" t="s">
        <v>8956</v>
      </c>
      <c r="B1171" s="11"/>
      <c r="C1171" s="11" t="s">
        <v>4582</v>
      </c>
      <c r="D1171" s="11" t="s">
        <v>1883</v>
      </c>
      <c r="E1171" s="11" t="s">
        <v>4580</v>
      </c>
      <c r="F1171" s="11"/>
      <c r="G1171" s="11" t="s">
        <v>8956</v>
      </c>
      <c r="H1171" s="11"/>
      <c r="I1171" s="11" t="s">
        <v>4579</v>
      </c>
      <c r="J1171" s="11" t="s">
        <v>4578</v>
      </c>
      <c r="K1171" s="11" t="s">
        <v>3599</v>
      </c>
      <c r="L1171" s="11"/>
      <c r="M1171" s="12"/>
      <c r="N1171" s="11"/>
      <c r="O1171" s="11" t="s">
        <v>2028</v>
      </c>
    </row>
    <row r="1172" spans="1:15" ht="19.5" customHeight="1" x14ac:dyDescent="0.25">
      <c r="A1172" s="13" t="s">
        <v>8956</v>
      </c>
      <c r="B1172" s="13"/>
      <c r="C1172" s="13" t="s">
        <v>4581</v>
      </c>
      <c r="D1172" s="13" t="s">
        <v>1883</v>
      </c>
      <c r="E1172" s="13" t="s">
        <v>4580</v>
      </c>
      <c r="F1172" s="13"/>
      <c r="G1172" s="13" t="s">
        <v>8956</v>
      </c>
      <c r="H1172" s="13"/>
      <c r="I1172" s="13" t="s">
        <v>4579</v>
      </c>
      <c r="J1172" s="13" t="s">
        <v>4578</v>
      </c>
      <c r="K1172" s="13" t="s">
        <v>3599</v>
      </c>
      <c r="L1172" s="13"/>
      <c r="M1172" s="14"/>
      <c r="N1172" s="13"/>
      <c r="O1172" s="13" t="s">
        <v>2028</v>
      </c>
    </row>
    <row r="1173" spans="1:15" ht="19.5" customHeight="1" x14ac:dyDescent="0.25">
      <c r="A1173" s="11" t="s">
        <v>1452</v>
      </c>
      <c r="B1173" s="11"/>
      <c r="C1173" s="11" t="s">
        <v>5416</v>
      </c>
      <c r="D1173" s="11" t="s">
        <v>1883</v>
      </c>
      <c r="E1173" s="11" t="s">
        <v>5415</v>
      </c>
      <c r="F1173" s="11"/>
      <c r="G1173" s="11" t="s">
        <v>1452</v>
      </c>
      <c r="H1173" s="11"/>
      <c r="I1173" s="11" t="s">
        <v>5414</v>
      </c>
      <c r="J1173" s="11" t="s">
        <v>5413</v>
      </c>
      <c r="K1173" s="11" t="s">
        <v>2033</v>
      </c>
      <c r="L1173" s="11"/>
      <c r="M1173" s="12"/>
      <c r="N1173" s="11"/>
      <c r="O1173" s="11" t="s">
        <v>2028</v>
      </c>
    </row>
    <row r="1174" spans="1:15" ht="19.5" customHeight="1" x14ac:dyDescent="0.25">
      <c r="A1174" s="13" t="s">
        <v>519</v>
      </c>
      <c r="B1174" s="13"/>
      <c r="C1174" s="13" t="s">
        <v>5412</v>
      </c>
      <c r="D1174" s="13" t="s">
        <v>1883</v>
      </c>
      <c r="E1174" s="13" t="s">
        <v>5411</v>
      </c>
      <c r="F1174" s="13"/>
      <c r="G1174" s="13" t="s">
        <v>519</v>
      </c>
      <c r="H1174" s="13"/>
      <c r="I1174" s="13" t="s">
        <v>5407</v>
      </c>
      <c r="J1174" s="13" t="s">
        <v>5406</v>
      </c>
      <c r="K1174" s="13" t="s">
        <v>2033</v>
      </c>
      <c r="L1174" s="13"/>
      <c r="M1174" s="14"/>
      <c r="N1174" s="13"/>
      <c r="O1174" s="13" t="s">
        <v>2028</v>
      </c>
    </row>
    <row r="1175" spans="1:15" ht="19.5" customHeight="1" x14ac:dyDescent="0.25">
      <c r="A1175" s="11" t="s">
        <v>519</v>
      </c>
      <c r="B1175" s="11"/>
      <c r="C1175" s="11" t="s">
        <v>5410</v>
      </c>
      <c r="D1175" s="11" t="s">
        <v>1883</v>
      </c>
      <c r="E1175" s="11" t="s">
        <v>5409</v>
      </c>
      <c r="F1175" s="11"/>
      <c r="G1175" s="11" t="s">
        <v>519</v>
      </c>
      <c r="H1175" s="11" t="s">
        <v>5408</v>
      </c>
      <c r="I1175" s="11" t="s">
        <v>5407</v>
      </c>
      <c r="J1175" s="11" t="s">
        <v>5406</v>
      </c>
      <c r="K1175" s="11" t="s">
        <v>2033</v>
      </c>
      <c r="L1175" s="11"/>
      <c r="M1175" s="12"/>
      <c r="N1175" s="11"/>
      <c r="O1175" s="11" t="s">
        <v>2028</v>
      </c>
    </row>
    <row r="1176" spans="1:15" ht="19.5" customHeight="1" x14ac:dyDescent="0.25">
      <c r="A1176" s="13" t="s">
        <v>1114</v>
      </c>
      <c r="B1176" s="13"/>
      <c r="C1176" s="13" t="s">
        <v>5405</v>
      </c>
      <c r="D1176" s="13" t="s">
        <v>1883</v>
      </c>
      <c r="E1176" s="13" t="s">
        <v>5404</v>
      </c>
      <c r="F1176" s="13"/>
      <c r="G1176" s="13" t="s">
        <v>1114</v>
      </c>
      <c r="H1176" s="13"/>
      <c r="I1176" s="13" t="s">
        <v>5403</v>
      </c>
      <c r="J1176" s="13" t="s">
        <v>5402</v>
      </c>
      <c r="K1176" s="13" t="s">
        <v>4943</v>
      </c>
      <c r="L1176" s="13"/>
      <c r="M1176" s="14"/>
      <c r="N1176" s="13"/>
      <c r="O1176" s="13" t="s">
        <v>2028</v>
      </c>
    </row>
    <row r="1177" spans="1:15" ht="19.5" customHeight="1" x14ac:dyDescent="0.25">
      <c r="A1177" s="11" t="s">
        <v>1855</v>
      </c>
      <c r="B1177" s="11"/>
      <c r="C1177" s="11" t="s">
        <v>5401</v>
      </c>
      <c r="D1177" s="11" t="s">
        <v>1883</v>
      </c>
      <c r="E1177" s="11" t="s">
        <v>5399</v>
      </c>
      <c r="F1177" s="11" t="s">
        <v>5398</v>
      </c>
      <c r="G1177" s="11" t="s">
        <v>1855</v>
      </c>
      <c r="H1177" s="11"/>
      <c r="I1177" s="11" t="s">
        <v>5397</v>
      </c>
      <c r="J1177" s="11" t="s">
        <v>5396</v>
      </c>
      <c r="K1177" s="11" t="s">
        <v>2033</v>
      </c>
      <c r="L1177" s="11"/>
      <c r="M1177" s="12"/>
      <c r="N1177" s="11"/>
      <c r="O1177" s="11"/>
    </row>
    <row r="1178" spans="1:15" ht="19.5" customHeight="1" x14ac:dyDescent="0.25">
      <c r="A1178" s="13" t="s">
        <v>1855</v>
      </c>
      <c r="B1178" s="13"/>
      <c r="C1178" s="13" t="s">
        <v>5400</v>
      </c>
      <c r="D1178" s="13" t="s">
        <v>1883</v>
      </c>
      <c r="E1178" s="13" t="s">
        <v>5399</v>
      </c>
      <c r="F1178" s="13" t="s">
        <v>5398</v>
      </c>
      <c r="G1178" s="13" t="s">
        <v>1855</v>
      </c>
      <c r="H1178" s="13"/>
      <c r="I1178" s="13" t="s">
        <v>5397</v>
      </c>
      <c r="J1178" s="13" t="s">
        <v>5396</v>
      </c>
      <c r="K1178" s="13" t="s">
        <v>2033</v>
      </c>
      <c r="L1178" s="13"/>
      <c r="M1178" s="14"/>
      <c r="N1178" s="13"/>
      <c r="O1178" s="13"/>
    </row>
    <row r="1179" spans="1:15" ht="19.5" customHeight="1" x14ac:dyDescent="0.25">
      <c r="A1179" s="11" t="s">
        <v>521</v>
      </c>
      <c r="B1179" s="11"/>
      <c r="C1179" s="11" t="s">
        <v>5395</v>
      </c>
      <c r="D1179" s="11" t="s">
        <v>1883</v>
      </c>
      <c r="E1179" s="11" t="s">
        <v>5394</v>
      </c>
      <c r="F1179" s="11"/>
      <c r="G1179" s="11" t="s">
        <v>521</v>
      </c>
      <c r="H1179" s="11" t="s">
        <v>5393</v>
      </c>
      <c r="I1179" s="11" t="s">
        <v>5392</v>
      </c>
      <c r="J1179" s="11" t="s">
        <v>5391</v>
      </c>
      <c r="K1179" s="11" t="s">
        <v>3599</v>
      </c>
      <c r="L1179" s="11"/>
      <c r="M1179" s="12"/>
      <c r="N1179" s="11"/>
      <c r="O1179" s="11" t="s">
        <v>2028</v>
      </c>
    </row>
    <row r="1180" spans="1:15" ht="19.5" customHeight="1" x14ac:dyDescent="0.25">
      <c r="A1180" s="13" t="s">
        <v>523</v>
      </c>
      <c r="B1180" s="13"/>
      <c r="C1180" s="13" t="s">
        <v>5390</v>
      </c>
      <c r="D1180" s="13" t="s">
        <v>1883</v>
      </c>
      <c r="E1180" s="13" t="s">
        <v>5387</v>
      </c>
      <c r="F1180" s="13" t="s">
        <v>5386</v>
      </c>
      <c r="G1180" s="13" t="s">
        <v>523</v>
      </c>
      <c r="H1180" s="13" t="s">
        <v>5385</v>
      </c>
      <c r="I1180" s="13" t="s">
        <v>5384</v>
      </c>
      <c r="J1180" s="13" t="s">
        <v>5383</v>
      </c>
      <c r="K1180" s="13" t="s">
        <v>1952</v>
      </c>
      <c r="L1180" s="13"/>
      <c r="M1180" s="14"/>
      <c r="N1180" s="13"/>
      <c r="O1180" s="13" t="s">
        <v>2028</v>
      </c>
    </row>
    <row r="1181" spans="1:15" ht="19.5" customHeight="1" x14ac:dyDescent="0.25">
      <c r="A1181" s="11" t="s">
        <v>523</v>
      </c>
      <c r="B1181" s="11"/>
      <c r="C1181" s="11" t="s">
        <v>5389</v>
      </c>
      <c r="D1181" s="11" t="s">
        <v>1883</v>
      </c>
      <c r="E1181" s="11" t="s">
        <v>5387</v>
      </c>
      <c r="F1181" s="11" t="s">
        <v>5386</v>
      </c>
      <c r="G1181" s="11" t="s">
        <v>523</v>
      </c>
      <c r="H1181" s="11" t="s">
        <v>5385</v>
      </c>
      <c r="I1181" s="11" t="s">
        <v>5384</v>
      </c>
      <c r="J1181" s="11" t="s">
        <v>5383</v>
      </c>
      <c r="K1181" s="11" t="s">
        <v>1952</v>
      </c>
      <c r="L1181" s="11"/>
      <c r="M1181" s="12"/>
      <c r="N1181" s="11"/>
      <c r="O1181" s="11" t="s">
        <v>2028</v>
      </c>
    </row>
    <row r="1182" spans="1:15" ht="19.5" customHeight="1" x14ac:dyDescent="0.25">
      <c r="A1182" s="13" t="s">
        <v>523</v>
      </c>
      <c r="B1182" s="13"/>
      <c r="C1182" s="13" t="s">
        <v>5388</v>
      </c>
      <c r="D1182" s="13" t="s">
        <v>1883</v>
      </c>
      <c r="E1182" s="13" t="s">
        <v>5387</v>
      </c>
      <c r="F1182" s="13" t="s">
        <v>5386</v>
      </c>
      <c r="G1182" s="13" t="s">
        <v>523</v>
      </c>
      <c r="H1182" s="13" t="s">
        <v>5385</v>
      </c>
      <c r="I1182" s="13" t="s">
        <v>5384</v>
      </c>
      <c r="J1182" s="13" t="s">
        <v>5383</v>
      </c>
      <c r="K1182" s="13" t="s">
        <v>1952</v>
      </c>
      <c r="L1182" s="13"/>
      <c r="M1182" s="14"/>
      <c r="N1182" s="13"/>
      <c r="O1182" s="13" t="s">
        <v>2028</v>
      </c>
    </row>
    <row r="1183" spans="1:15" ht="19.5" customHeight="1" x14ac:dyDescent="0.25">
      <c r="A1183" s="11" t="s">
        <v>525</v>
      </c>
      <c r="B1183" s="11"/>
      <c r="C1183" s="11" t="s">
        <v>5382</v>
      </c>
      <c r="D1183" s="11" t="s">
        <v>1883</v>
      </c>
      <c r="E1183" s="11" t="s">
        <v>5379</v>
      </c>
      <c r="F1183" s="11" t="s">
        <v>5378</v>
      </c>
      <c r="G1183" s="11" t="s">
        <v>525</v>
      </c>
      <c r="H1183" s="11" t="s">
        <v>5377</v>
      </c>
      <c r="I1183" s="11" t="s">
        <v>5376</v>
      </c>
      <c r="J1183" s="11" t="s">
        <v>5375</v>
      </c>
      <c r="K1183" s="11" t="s">
        <v>1952</v>
      </c>
      <c r="L1183" s="11"/>
      <c r="M1183" s="12"/>
      <c r="N1183" s="11"/>
      <c r="O1183" s="11" t="s">
        <v>2028</v>
      </c>
    </row>
    <row r="1184" spans="1:15" ht="19.5" customHeight="1" x14ac:dyDescent="0.25">
      <c r="A1184" s="13" t="s">
        <v>525</v>
      </c>
      <c r="B1184" s="13"/>
      <c r="C1184" s="13" t="s">
        <v>5381</v>
      </c>
      <c r="D1184" s="13" t="s">
        <v>1883</v>
      </c>
      <c r="E1184" s="13" t="s">
        <v>5379</v>
      </c>
      <c r="F1184" s="13" t="s">
        <v>5378</v>
      </c>
      <c r="G1184" s="13" t="s">
        <v>525</v>
      </c>
      <c r="H1184" s="13" t="s">
        <v>5377</v>
      </c>
      <c r="I1184" s="13" t="s">
        <v>5376</v>
      </c>
      <c r="J1184" s="13" t="s">
        <v>5375</v>
      </c>
      <c r="K1184" s="13" t="s">
        <v>1952</v>
      </c>
      <c r="L1184" s="13"/>
      <c r="M1184" s="14"/>
      <c r="N1184" s="13"/>
      <c r="O1184" s="13" t="s">
        <v>2028</v>
      </c>
    </row>
    <row r="1185" spans="1:15" ht="19.5" customHeight="1" x14ac:dyDescent="0.25">
      <c r="A1185" s="11" t="s">
        <v>525</v>
      </c>
      <c r="B1185" s="11"/>
      <c r="C1185" s="11" t="s">
        <v>5380</v>
      </c>
      <c r="D1185" s="11" t="s">
        <v>1883</v>
      </c>
      <c r="E1185" s="11" t="s">
        <v>5379</v>
      </c>
      <c r="F1185" s="11" t="s">
        <v>5378</v>
      </c>
      <c r="G1185" s="11" t="s">
        <v>525</v>
      </c>
      <c r="H1185" s="11" t="s">
        <v>5377</v>
      </c>
      <c r="I1185" s="11" t="s">
        <v>5376</v>
      </c>
      <c r="J1185" s="11" t="s">
        <v>5375</v>
      </c>
      <c r="K1185" s="11" t="s">
        <v>1952</v>
      </c>
      <c r="L1185" s="11"/>
      <c r="M1185" s="12"/>
      <c r="N1185" s="11"/>
      <c r="O1185" s="11" t="s">
        <v>2028</v>
      </c>
    </row>
    <row r="1186" spans="1:15" ht="19.5" customHeight="1" x14ac:dyDescent="0.25">
      <c r="A1186" s="13" t="s">
        <v>529</v>
      </c>
      <c r="B1186" s="13"/>
      <c r="C1186" s="13" t="s">
        <v>5374</v>
      </c>
      <c r="D1186" s="13" t="s">
        <v>1883</v>
      </c>
      <c r="E1186" s="13" t="s">
        <v>5373</v>
      </c>
      <c r="F1186" s="13"/>
      <c r="G1186" s="13" t="s">
        <v>5372</v>
      </c>
      <c r="H1186" s="13"/>
      <c r="I1186" s="13" t="s">
        <v>5371</v>
      </c>
      <c r="J1186" s="13" t="s">
        <v>5370</v>
      </c>
      <c r="K1186" s="13" t="s">
        <v>1952</v>
      </c>
      <c r="L1186" s="13"/>
      <c r="M1186" s="14"/>
      <c r="N1186" s="13"/>
      <c r="O1186" s="13" t="s">
        <v>2028</v>
      </c>
    </row>
    <row r="1187" spans="1:15" ht="19.5" customHeight="1" x14ac:dyDescent="0.25">
      <c r="A1187" s="11" t="s">
        <v>1865</v>
      </c>
      <c r="B1187" s="11"/>
      <c r="C1187" s="11" t="s">
        <v>5369</v>
      </c>
      <c r="D1187" s="11" t="s">
        <v>1883</v>
      </c>
      <c r="E1187" s="11" t="s">
        <v>5368</v>
      </c>
      <c r="F1187" s="11" t="s">
        <v>5367</v>
      </c>
      <c r="G1187" s="11" t="s">
        <v>1865</v>
      </c>
      <c r="H1187" s="11"/>
      <c r="I1187" s="11" t="s">
        <v>5366</v>
      </c>
      <c r="J1187" s="11" t="s">
        <v>5365</v>
      </c>
      <c r="K1187" s="11" t="s">
        <v>3599</v>
      </c>
      <c r="L1187" s="11"/>
      <c r="M1187" s="12"/>
      <c r="N1187" s="11"/>
      <c r="O1187" s="11" t="s">
        <v>1877</v>
      </c>
    </row>
    <row r="1188" spans="1:15" ht="19.5" customHeight="1" x14ac:dyDescent="0.25">
      <c r="A1188" s="13" t="s">
        <v>1274</v>
      </c>
      <c r="B1188" s="13"/>
      <c r="C1188" s="13" t="s">
        <v>5364</v>
      </c>
      <c r="D1188" s="13" t="s">
        <v>1883</v>
      </c>
      <c r="E1188" s="13" t="s">
        <v>5363</v>
      </c>
      <c r="F1188" s="13"/>
      <c r="G1188" s="13" t="s">
        <v>5362</v>
      </c>
      <c r="H1188" s="13"/>
      <c r="I1188" s="13" t="s">
        <v>5361</v>
      </c>
      <c r="J1188" s="13" t="s">
        <v>5360</v>
      </c>
      <c r="K1188" s="13" t="s">
        <v>2033</v>
      </c>
      <c r="L1188" s="13"/>
      <c r="M1188" s="14"/>
      <c r="N1188" s="13"/>
      <c r="O1188" s="13" t="s">
        <v>2028</v>
      </c>
    </row>
    <row r="1189" spans="1:15" ht="19.5" customHeight="1" x14ac:dyDescent="0.25">
      <c r="A1189" s="11" t="s">
        <v>1657</v>
      </c>
      <c r="B1189" s="11"/>
      <c r="C1189" s="11" t="s">
        <v>5359</v>
      </c>
      <c r="D1189" s="11" t="s">
        <v>1883</v>
      </c>
      <c r="E1189" s="11" t="s">
        <v>5358</v>
      </c>
      <c r="F1189" s="11"/>
      <c r="G1189" s="11" t="s">
        <v>1657</v>
      </c>
      <c r="H1189" s="11"/>
      <c r="I1189" s="11" t="s">
        <v>5357</v>
      </c>
      <c r="J1189" s="11" t="s">
        <v>5356</v>
      </c>
      <c r="K1189" s="11" t="s">
        <v>1952</v>
      </c>
      <c r="L1189" s="11"/>
      <c r="M1189" s="12"/>
      <c r="N1189" s="11"/>
      <c r="O1189" s="11" t="s">
        <v>2028</v>
      </c>
    </row>
    <row r="1190" spans="1:15" ht="19.5" customHeight="1" x14ac:dyDescent="0.25">
      <c r="A1190" s="13" t="s">
        <v>5353</v>
      </c>
      <c r="B1190" s="13"/>
      <c r="C1190" s="13" t="s">
        <v>5355</v>
      </c>
      <c r="D1190" s="13" t="s">
        <v>1883</v>
      </c>
      <c r="E1190" s="13" t="s">
        <v>5354</v>
      </c>
      <c r="F1190" s="13"/>
      <c r="G1190" s="13" t="s">
        <v>5353</v>
      </c>
      <c r="H1190" s="13"/>
      <c r="I1190" s="13" t="s">
        <v>5352</v>
      </c>
      <c r="J1190" s="13" t="s">
        <v>5351</v>
      </c>
      <c r="K1190" s="13" t="s">
        <v>1952</v>
      </c>
      <c r="L1190" s="13"/>
      <c r="M1190" s="14"/>
      <c r="N1190" s="13"/>
      <c r="O1190" s="13" t="s">
        <v>1945</v>
      </c>
    </row>
    <row r="1191" spans="1:15" ht="19.5" customHeight="1" x14ac:dyDescent="0.25">
      <c r="A1191" s="11" t="s">
        <v>1397</v>
      </c>
      <c r="B1191" s="11"/>
      <c r="C1191" s="11" t="s">
        <v>5350</v>
      </c>
      <c r="D1191" s="11" t="s">
        <v>1883</v>
      </c>
      <c r="E1191" s="11" t="s">
        <v>5349</v>
      </c>
      <c r="F1191" s="11"/>
      <c r="G1191" s="11" t="s">
        <v>5348</v>
      </c>
      <c r="H1191" s="11"/>
      <c r="I1191" s="11" t="s">
        <v>5347</v>
      </c>
      <c r="J1191" s="11" t="s">
        <v>5346</v>
      </c>
      <c r="K1191" s="11" t="s">
        <v>1952</v>
      </c>
      <c r="L1191" s="11"/>
      <c r="M1191" s="12"/>
      <c r="N1191" s="11"/>
      <c r="O1191" s="11" t="s">
        <v>2028</v>
      </c>
    </row>
    <row r="1192" spans="1:15" ht="19.5" customHeight="1" x14ac:dyDescent="0.25">
      <c r="A1192" s="13" t="s">
        <v>531</v>
      </c>
      <c r="B1192" s="13"/>
      <c r="C1192" s="13" t="s">
        <v>5345</v>
      </c>
      <c r="D1192" s="13" t="s">
        <v>1883</v>
      </c>
      <c r="E1192" s="13" t="s">
        <v>5341</v>
      </c>
      <c r="F1192" s="13" t="s">
        <v>5340</v>
      </c>
      <c r="G1192" s="13" t="s">
        <v>531</v>
      </c>
      <c r="H1192" s="13" t="s">
        <v>5339</v>
      </c>
      <c r="I1192" s="13" t="s">
        <v>5344</v>
      </c>
      <c r="J1192" s="13" t="s">
        <v>5337</v>
      </c>
      <c r="K1192" s="13" t="s">
        <v>1952</v>
      </c>
      <c r="L1192" s="13"/>
      <c r="M1192" s="14"/>
      <c r="N1192" s="13"/>
      <c r="O1192" s="13" t="s">
        <v>2028</v>
      </c>
    </row>
    <row r="1193" spans="1:15" ht="19.5" customHeight="1" x14ac:dyDescent="0.25">
      <c r="A1193" s="11" t="s">
        <v>531</v>
      </c>
      <c r="B1193" s="11"/>
      <c r="C1193" s="11" t="s">
        <v>5343</v>
      </c>
      <c r="D1193" s="11" t="s">
        <v>1883</v>
      </c>
      <c r="E1193" s="11" t="s">
        <v>5341</v>
      </c>
      <c r="F1193" s="11" t="s">
        <v>5340</v>
      </c>
      <c r="G1193" s="11" t="s">
        <v>531</v>
      </c>
      <c r="H1193" s="11" t="s">
        <v>5339</v>
      </c>
      <c r="I1193" s="11" t="s">
        <v>3912</v>
      </c>
      <c r="J1193" s="11" t="s">
        <v>5337</v>
      </c>
      <c r="K1193" s="11" t="s">
        <v>1952</v>
      </c>
      <c r="L1193" s="11"/>
      <c r="M1193" s="12"/>
      <c r="N1193" s="11"/>
      <c r="O1193" s="11" t="s">
        <v>2028</v>
      </c>
    </row>
    <row r="1194" spans="1:15" ht="19.5" customHeight="1" x14ac:dyDescent="0.25">
      <c r="A1194" s="13" t="s">
        <v>531</v>
      </c>
      <c r="B1194" s="13"/>
      <c r="C1194" s="13" t="s">
        <v>5342</v>
      </c>
      <c r="D1194" s="13" t="s">
        <v>1883</v>
      </c>
      <c r="E1194" s="13" t="s">
        <v>5341</v>
      </c>
      <c r="F1194" s="13" t="s">
        <v>5340</v>
      </c>
      <c r="G1194" s="13" t="s">
        <v>531</v>
      </c>
      <c r="H1194" s="13" t="s">
        <v>5339</v>
      </c>
      <c r="I1194" s="13" t="s">
        <v>5338</v>
      </c>
      <c r="J1194" s="13" t="s">
        <v>5337</v>
      </c>
      <c r="K1194" s="13" t="s">
        <v>1952</v>
      </c>
      <c r="L1194" s="13"/>
      <c r="M1194" s="14"/>
      <c r="N1194" s="13"/>
      <c r="O1194" s="13" t="s">
        <v>2028</v>
      </c>
    </row>
    <row r="1195" spans="1:15" ht="19.5" customHeight="1" x14ac:dyDescent="0.25">
      <c r="A1195" s="11" t="s">
        <v>533</v>
      </c>
      <c r="B1195" s="11"/>
      <c r="C1195" s="11" t="s">
        <v>5336</v>
      </c>
      <c r="D1195" s="11" t="s">
        <v>1883</v>
      </c>
      <c r="E1195" s="11" t="s">
        <v>5333</v>
      </c>
      <c r="F1195" s="11" t="s">
        <v>5332</v>
      </c>
      <c r="G1195" s="11" t="s">
        <v>533</v>
      </c>
      <c r="H1195" s="11"/>
      <c r="I1195" s="11" t="s">
        <v>5331</v>
      </c>
      <c r="J1195" s="11" t="s">
        <v>5330</v>
      </c>
      <c r="K1195" s="11" t="s">
        <v>3599</v>
      </c>
      <c r="L1195" s="11"/>
      <c r="M1195" s="12"/>
      <c r="N1195" s="11"/>
      <c r="O1195" s="11" t="s">
        <v>2028</v>
      </c>
    </row>
    <row r="1196" spans="1:15" ht="19.5" customHeight="1" x14ac:dyDescent="0.25">
      <c r="A1196" s="13" t="s">
        <v>533</v>
      </c>
      <c r="B1196" s="13"/>
      <c r="C1196" s="13" t="s">
        <v>5335</v>
      </c>
      <c r="D1196" s="13" t="s">
        <v>1883</v>
      </c>
      <c r="E1196" s="13" t="s">
        <v>5333</v>
      </c>
      <c r="F1196" s="13" t="s">
        <v>5332</v>
      </c>
      <c r="G1196" s="13" t="s">
        <v>533</v>
      </c>
      <c r="H1196" s="13"/>
      <c r="I1196" s="13" t="s">
        <v>5331</v>
      </c>
      <c r="J1196" s="13" t="s">
        <v>5330</v>
      </c>
      <c r="K1196" s="13" t="s">
        <v>3599</v>
      </c>
      <c r="L1196" s="13"/>
      <c r="M1196" s="14"/>
      <c r="N1196" s="13"/>
      <c r="O1196" s="13" t="s">
        <v>2028</v>
      </c>
    </row>
    <row r="1197" spans="1:15" ht="19.5" customHeight="1" x14ac:dyDescent="0.25">
      <c r="A1197" s="11" t="s">
        <v>533</v>
      </c>
      <c r="B1197" s="11"/>
      <c r="C1197" s="11" t="s">
        <v>5334</v>
      </c>
      <c r="D1197" s="11" t="s">
        <v>1883</v>
      </c>
      <c r="E1197" s="11" t="s">
        <v>5333</v>
      </c>
      <c r="F1197" s="11" t="s">
        <v>5332</v>
      </c>
      <c r="G1197" s="11" t="s">
        <v>533</v>
      </c>
      <c r="H1197" s="11"/>
      <c r="I1197" s="11" t="s">
        <v>5331</v>
      </c>
      <c r="J1197" s="11" t="s">
        <v>5330</v>
      </c>
      <c r="K1197" s="11" t="s">
        <v>3599</v>
      </c>
      <c r="L1197" s="11"/>
      <c r="M1197" s="12"/>
      <c r="N1197" s="11"/>
      <c r="O1197" s="11" t="s">
        <v>2028</v>
      </c>
    </row>
    <row r="1198" spans="1:15" ht="19.5" customHeight="1" x14ac:dyDescent="0.25">
      <c r="A1198" s="13" t="s">
        <v>5328</v>
      </c>
      <c r="B1198" s="13"/>
      <c r="C1198" s="13" t="s">
        <v>1135</v>
      </c>
      <c r="D1198" s="13" t="s">
        <v>1883</v>
      </c>
      <c r="E1198" s="13" t="s">
        <v>5329</v>
      </c>
      <c r="F1198" s="13"/>
      <c r="G1198" s="13" t="s">
        <v>5328</v>
      </c>
      <c r="H1198" s="13"/>
      <c r="I1198" s="13" t="s">
        <v>5327</v>
      </c>
      <c r="J1198" s="13" t="s">
        <v>5326</v>
      </c>
      <c r="K1198" s="13" t="s">
        <v>1952</v>
      </c>
      <c r="L1198" s="13"/>
      <c r="M1198" s="14"/>
      <c r="N1198" s="13"/>
      <c r="O1198" s="13" t="s">
        <v>1945</v>
      </c>
    </row>
    <row r="1199" spans="1:15" ht="19.5" customHeight="1" x14ac:dyDescent="0.25">
      <c r="A1199" s="11" t="s">
        <v>741</v>
      </c>
      <c r="B1199" s="11"/>
      <c r="C1199" s="11" t="s">
        <v>5325</v>
      </c>
      <c r="D1199" s="11" t="s">
        <v>1883</v>
      </c>
      <c r="E1199" s="11" t="s">
        <v>5322</v>
      </c>
      <c r="F1199" s="11" t="s">
        <v>5321</v>
      </c>
      <c r="G1199" s="11" t="s">
        <v>5320</v>
      </c>
      <c r="H1199" s="11" t="s">
        <v>5319</v>
      </c>
      <c r="I1199" s="11" t="s">
        <v>5318</v>
      </c>
      <c r="J1199" s="11" t="s">
        <v>5317</v>
      </c>
      <c r="K1199" s="11" t="s">
        <v>1952</v>
      </c>
      <c r="L1199" s="11"/>
      <c r="M1199" s="12"/>
      <c r="N1199" s="11"/>
      <c r="O1199" s="11" t="s">
        <v>2028</v>
      </c>
    </row>
    <row r="1200" spans="1:15" ht="19.5" customHeight="1" x14ac:dyDescent="0.25">
      <c r="A1200" s="13" t="s">
        <v>741</v>
      </c>
      <c r="B1200" s="13"/>
      <c r="C1200" s="13" t="s">
        <v>5324</v>
      </c>
      <c r="D1200" s="13" t="s">
        <v>1883</v>
      </c>
      <c r="E1200" s="13" t="s">
        <v>5322</v>
      </c>
      <c r="F1200" s="13" t="s">
        <v>5321</v>
      </c>
      <c r="G1200" s="13" t="s">
        <v>5320</v>
      </c>
      <c r="H1200" s="13" t="s">
        <v>5319</v>
      </c>
      <c r="I1200" s="13" t="s">
        <v>5318</v>
      </c>
      <c r="J1200" s="13" t="s">
        <v>5317</v>
      </c>
      <c r="K1200" s="13" t="s">
        <v>1952</v>
      </c>
      <c r="L1200" s="13"/>
      <c r="M1200" s="14"/>
      <c r="N1200" s="13"/>
      <c r="O1200" s="13" t="s">
        <v>2028</v>
      </c>
    </row>
    <row r="1201" spans="1:15" ht="19.5" customHeight="1" x14ac:dyDescent="0.25">
      <c r="A1201" s="11" t="s">
        <v>741</v>
      </c>
      <c r="B1201" s="11"/>
      <c r="C1201" s="11" t="s">
        <v>5323</v>
      </c>
      <c r="D1201" s="11" t="s">
        <v>1883</v>
      </c>
      <c r="E1201" s="11" t="s">
        <v>5322</v>
      </c>
      <c r="F1201" s="11" t="s">
        <v>5321</v>
      </c>
      <c r="G1201" s="11" t="s">
        <v>5320</v>
      </c>
      <c r="H1201" s="11" t="s">
        <v>5319</v>
      </c>
      <c r="I1201" s="11" t="s">
        <v>5318</v>
      </c>
      <c r="J1201" s="11" t="s">
        <v>5317</v>
      </c>
      <c r="K1201" s="11" t="s">
        <v>1952</v>
      </c>
      <c r="L1201" s="11"/>
      <c r="M1201" s="12"/>
      <c r="N1201" s="11"/>
      <c r="O1201" s="11" t="s">
        <v>2028</v>
      </c>
    </row>
    <row r="1202" spans="1:15" ht="19.5" customHeight="1" x14ac:dyDescent="0.25">
      <c r="A1202" s="13" t="s">
        <v>5316</v>
      </c>
      <c r="B1202" s="13"/>
      <c r="C1202" s="13" t="s">
        <v>5315</v>
      </c>
      <c r="D1202" s="13" t="s">
        <v>1883</v>
      </c>
      <c r="E1202" s="13" t="s">
        <v>5314</v>
      </c>
      <c r="F1202" s="13"/>
      <c r="G1202" s="13" t="s">
        <v>1164</v>
      </c>
      <c r="H1202" s="13"/>
      <c r="I1202" s="13" t="s">
        <v>5313</v>
      </c>
      <c r="J1202" s="13" t="s">
        <v>5312</v>
      </c>
      <c r="K1202" s="13" t="s">
        <v>3599</v>
      </c>
      <c r="L1202" s="13"/>
      <c r="M1202" s="14"/>
      <c r="N1202" s="13"/>
      <c r="O1202" s="13" t="s">
        <v>2028</v>
      </c>
    </row>
    <row r="1203" spans="1:15" ht="19.5" customHeight="1" x14ac:dyDescent="0.25">
      <c r="A1203" s="11" t="s">
        <v>5310</v>
      </c>
      <c r="B1203" s="11"/>
      <c r="C1203" s="11" t="s">
        <v>5311</v>
      </c>
      <c r="D1203" s="11" t="s">
        <v>1883</v>
      </c>
      <c r="E1203" s="11" t="s">
        <v>5308</v>
      </c>
      <c r="F1203" s="11"/>
      <c r="G1203" s="11" t="s">
        <v>5307</v>
      </c>
      <c r="H1203" s="11"/>
      <c r="I1203" s="11" t="s">
        <v>5306</v>
      </c>
      <c r="J1203" s="11" t="s">
        <v>5305</v>
      </c>
      <c r="K1203" s="11" t="s">
        <v>3641</v>
      </c>
      <c r="L1203" s="11"/>
      <c r="M1203" s="12"/>
      <c r="N1203" s="11"/>
      <c r="O1203" s="11" t="s">
        <v>2028</v>
      </c>
    </row>
    <row r="1204" spans="1:15" ht="19.5" customHeight="1" x14ac:dyDescent="0.25">
      <c r="A1204" s="13" t="s">
        <v>5310</v>
      </c>
      <c r="B1204" s="13"/>
      <c r="C1204" s="13" t="s">
        <v>5309</v>
      </c>
      <c r="D1204" s="13" t="s">
        <v>1883</v>
      </c>
      <c r="E1204" s="13" t="s">
        <v>5308</v>
      </c>
      <c r="F1204" s="13"/>
      <c r="G1204" s="13" t="s">
        <v>5307</v>
      </c>
      <c r="H1204" s="13"/>
      <c r="I1204" s="13" t="s">
        <v>5306</v>
      </c>
      <c r="J1204" s="13" t="s">
        <v>5305</v>
      </c>
      <c r="K1204" s="13" t="s">
        <v>3641</v>
      </c>
      <c r="L1204" s="13"/>
      <c r="M1204" s="14"/>
      <c r="N1204" s="13"/>
      <c r="O1204" s="13" t="s">
        <v>2028</v>
      </c>
    </row>
    <row r="1205" spans="1:15" ht="19.5" customHeight="1" x14ac:dyDescent="0.25">
      <c r="A1205" s="11" t="s">
        <v>1746</v>
      </c>
      <c r="B1205" s="11"/>
      <c r="C1205" s="11" t="s">
        <v>5304</v>
      </c>
      <c r="D1205" s="11" t="s">
        <v>1883</v>
      </c>
      <c r="E1205" s="11" t="s">
        <v>5303</v>
      </c>
      <c r="F1205" s="11"/>
      <c r="G1205" s="11" t="s">
        <v>1746</v>
      </c>
      <c r="H1205" s="11"/>
      <c r="I1205" s="11" t="s">
        <v>5302</v>
      </c>
      <c r="J1205" s="11" t="s">
        <v>5301</v>
      </c>
      <c r="K1205" s="11" t="s">
        <v>2033</v>
      </c>
      <c r="L1205" s="11"/>
      <c r="M1205" s="12"/>
      <c r="N1205" s="11"/>
      <c r="O1205" s="11" t="s">
        <v>2028</v>
      </c>
    </row>
    <row r="1206" spans="1:15" ht="19.5" customHeight="1" x14ac:dyDescent="0.25">
      <c r="A1206" s="13" t="s">
        <v>1538</v>
      </c>
      <c r="B1206" s="13"/>
      <c r="C1206" s="13" t="s">
        <v>5300</v>
      </c>
      <c r="D1206" s="13" t="s">
        <v>1883</v>
      </c>
      <c r="E1206" s="13" t="s">
        <v>5299</v>
      </c>
      <c r="F1206" s="13"/>
      <c r="G1206" s="13" t="s">
        <v>1538</v>
      </c>
      <c r="H1206" s="13"/>
      <c r="I1206" s="13" t="s">
        <v>5298</v>
      </c>
      <c r="J1206" s="13" t="s">
        <v>5297</v>
      </c>
      <c r="K1206" s="13" t="s">
        <v>3599</v>
      </c>
      <c r="L1206" s="13"/>
      <c r="M1206" s="14"/>
      <c r="N1206" s="13"/>
      <c r="O1206" s="13" t="s">
        <v>2028</v>
      </c>
    </row>
    <row r="1207" spans="1:15" ht="19.5" customHeight="1" x14ac:dyDescent="0.25">
      <c r="A1207" s="11" t="s">
        <v>1624</v>
      </c>
      <c r="B1207" s="11"/>
      <c r="C1207" s="11" t="s">
        <v>5296</v>
      </c>
      <c r="D1207" s="11" t="s">
        <v>1883</v>
      </c>
      <c r="E1207" s="11" t="s">
        <v>5295</v>
      </c>
      <c r="F1207" s="11"/>
      <c r="G1207" s="11" t="s">
        <v>1624</v>
      </c>
      <c r="H1207" s="11"/>
      <c r="I1207" s="11" t="s">
        <v>5294</v>
      </c>
      <c r="J1207" s="11" t="s">
        <v>5290</v>
      </c>
      <c r="K1207" s="11" t="s">
        <v>1952</v>
      </c>
      <c r="L1207" s="11"/>
      <c r="M1207" s="12"/>
      <c r="N1207" s="11"/>
      <c r="O1207" s="11" t="s">
        <v>2028</v>
      </c>
    </row>
    <row r="1208" spans="1:15" ht="19.5" customHeight="1" x14ac:dyDescent="0.25">
      <c r="A1208" s="13" t="s">
        <v>1624</v>
      </c>
      <c r="B1208" s="13"/>
      <c r="C1208" s="13" t="s">
        <v>5293</v>
      </c>
      <c r="D1208" s="13" t="s">
        <v>1883</v>
      </c>
      <c r="E1208" s="13" t="s">
        <v>5292</v>
      </c>
      <c r="F1208" s="13"/>
      <c r="G1208" s="13" t="s">
        <v>1624</v>
      </c>
      <c r="H1208" s="13"/>
      <c r="I1208" s="13" t="s">
        <v>5291</v>
      </c>
      <c r="J1208" s="13" t="s">
        <v>5290</v>
      </c>
      <c r="K1208" s="13" t="s">
        <v>1952</v>
      </c>
      <c r="L1208" s="13"/>
      <c r="M1208" s="14"/>
      <c r="N1208" s="13"/>
      <c r="O1208" s="13" t="s">
        <v>2028</v>
      </c>
    </row>
    <row r="1209" spans="1:15" ht="19.5" customHeight="1" x14ac:dyDescent="0.25">
      <c r="A1209" s="11" t="s">
        <v>535</v>
      </c>
      <c r="B1209" s="11"/>
      <c r="C1209" s="11" t="s">
        <v>5289</v>
      </c>
      <c r="D1209" s="11" t="s">
        <v>1883</v>
      </c>
      <c r="E1209" s="11" t="s">
        <v>5286</v>
      </c>
      <c r="F1209" s="11" t="s">
        <v>5285</v>
      </c>
      <c r="G1209" s="11" t="s">
        <v>535</v>
      </c>
      <c r="H1209" s="11"/>
      <c r="I1209" s="11" t="s">
        <v>5284</v>
      </c>
      <c r="J1209" s="11" t="s">
        <v>5283</v>
      </c>
      <c r="K1209" s="11" t="s">
        <v>2033</v>
      </c>
      <c r="L1209" s="11"/>
      <c r="M1209" s="12"/>
      <c r="N1209" s="11"/>
      <c r="O1209" s="11" t="s">
        <v>2028</v>
      </c>
    </row>
    <row r="1210" spans="1:15" ht="19.5" customHeight="1" x14ac:dyDescent="0.25">
      <c r="A1210" s="13" t="s">
        <v>535</v>
      </c>
      <c r="B1210" s="13"/>
      <c r="C1210" s="13" t="s">
        <v>5288</v>
      </c>
      <c r="D1210" s="13" t="s">
        <v>1883</v>
      </c>
      <c r="E1210" s="13" t="s">
        <v>5286</v>
      </c>
      <c r="F1210" s="13" t="s">
        <v>5285</v>
      </c>
      <c r="G1210" s="13" t="s">
        <v>535</v>
      </c>
      <c r="H1210" s="13"/>
      <c r="I1210" s="13" t="s">
        <v>5284</v>
      </c>
      <c r="J1210" s="13" t="s">
        <v>5283</v>
      </c>
      <c r="K1210" s="13" t="s">
        <v>2033</v>
      </c>
      <c r="L1210" s="13"/>
      <c r="M1210" s="14"/>
      <c r="N1210" s="13"/>
      <c r="O1210" s="13" t="s">
        <v>2028</v>
      </c>
    </row>
    <row r="1211" spans="1:15" ht="19.5" customHeight="1" x14ac:dyDescent="0.25">
      <c r="A1211" s="11" t="s">
        <v>535</v>
      </c>
      <c r="B1211" s="11"/>
      <c r="C1211" s="11" t="s">
        <v>5287</v>
      </c>
      <c r="D1211" s="11" t="s">
        <v>1883</v>
      </c>
      <c r="E1211" s="11" t="s">
        <v>5286</v>
      </c>
      <c r="F1211" s="11" t="s">
        <v>5285</v>
      </c>
      <c r="G1211" s="11" t="s">
        <v>535</v>
      </c>
      <c r="H1211" s="11"/>
      <c r="I1211" s="11" t="s">
        <v>5284</v>
      </c>
      <c r="J1211" s="11" t="s">
        <v>5283</v>
      </c>
      <c r="K1211" s="11" t="s">
        <v>2033</v>
      </c>
      <c r="L1211" s="11"/>
      <c r="M1211" s="12"/>
      <c r="N1211" s="11"/>
      <c r="O1211" s="11" t="s">
        <v>2028</v>
      </c>
    </row>
    <row r="1212" spans="1:15" ht="19.5" customHeight="1" x14ac:dyDescent="0.25">
      <c r="A1212" s="13" t="s">
        <v>1765</v>
      </c>
      <c r="B1212" s="13"/>
      <c r="C1212" s="13" t="s">
        <v>5282</v>
      </c>
      <c r="D1212" s="13" t="s">
        <v>1883</v>
      </c>
      <c r="E1212" s="13" t="s">
        <v>5281</v>
      </c>
      <c r="F1212" s="13"/>
      <c r="G1212" s="13" t="s">
        <v>1765</v>
      </c>
      <c r="H1212" s="13"/>
      <c r="I1212" s="13" t="s">
        <v>5280</v>
      </c>
      <c r="J1212" s="13" t="s">
        <v>5279</v>
      </c>
      <c r="K1212" s="13" t="s">
        <v>3641</v>
      </c>
      <c r="L1212" s="13"/>
      <c r="M1212" s="14"/>
      <c r="N1212" s="13"/>
      <c r="O1212" s="13" t="s">
        <v>2028</v>
      </c>
    </row>
    <row r="1213" spans="1:15" ht="19.5" customHeight="1" x14ac:dyDescent="0.25">
      <c r="A1213" s="11" t="s">
        <v>1696</v>
      </c>
      <c r="B1213" s="11"/>
      <c r="C1213" s="11" t="s">
        <v>5278</v>
      </c>
      <c r="D1213" s="11" t="s">
        <v>1883</v>
      </c>
      <c r="E1213" s="11" t="s">
        <v>5277</v>
      </c>
      <c r="F1213" s="11"/>
      <c r="G1213" s="11" t="s">
        <v>1696</v>
      </c>
      <c r="H1213" s="11"/>
      <c r="I1213" s="11" t="s">
        <v>5276</v>
      </c>
      <c r="J1213" s="11" t="s">
        <v>5275</v>
      </c>
      <c r="K1213" s="11" t="s">
        <v>3599</v>
      </c>
      <c r="L1213" s="11"/>
      <c r="M1213" s="12"/>
      <c r="N1213" s="11"/>
      <c r="O1213" s="11" t="s">
        <v>2028</v>
      </c>
    </row>
    <row r="1214" spans="1:15" ht="19.5" customHeight="1" x14ac:dyDescent="0.25">
      <c r="A1214" s="13" t="s">
        <v>1783</v>
      </c>
      <c r="B1214" s="13"/>
      <c r="C1214" s="13" t="s">
        <v>1782</v>
      </c>
      <c r="D1214" s="13" t="s">
        <v>1883</v>
      </c>
      <c r="E1214" s="13" t="s">
        <v>5274</v>
      </c>
      <c r="F1214" s="13" t="s">
        <v>5273</v>
      </c>
      <c r="G1214" s="13" t="s">
        <v>1783</v>
      </c>
      <c r="H1214" s="13"/>
      <c r="I1214" s="13" t="s">
        <v>4727</v>
      </c>
      <c r="J1214" s="13" t="s">
        <v>5272</v>
      </c>
      <c r="K1214" s="13" t="s">
        <v>1952</v>
      </c>
      <c r="L1214" s="13"/>
      <c r="M1214" s="14"/>
      <c r="N1214" s="13"/>
      <c r="O1214" s="13" t="s">
        <v>1945</v>
      </c>
    </row>
    <row r="1215" spans="1:15" ht="19.5" customHeight="1" x14ac:dyDescent="0.25">
      <c r="A1215" s="11" t="s">
        <v>537</v>
      </c>
      <c r="B1215" s="11"/>
      <c r="C1215" s="11" t="s">
        <v>5271</v>
      </c>
      <c r="D1215" s="11" t="s">
        <v>1883</v>
      </c>
      <c r="E1215" s="11" t="s">
        <v>5270</v>
      </c>
      <c r="F1215" s="11"/>
      <c r="G1215" s="11" t="s">
        <v>537</v>
      </c>
      <c r="H1215" s="11" t="s">
        <v>5269</v>
      </c>
      <c r="I1215" s="11" t="s">
        <v>5268</v>
      </c>
      <c r="J1215" s="11" t="s">
        <v>5267</v>
      </c>
      <c r="K1215" s="11" t="s">
        <v>2033</v>
      </c>
      <c r="L1215" s="11"/>
      <c r="M1215" s="12"/>
      <c r="N1215" s="11"/>
      <c r="O1215" s="11" t="s">
        <v>2028</v>
      </c>
    </row>
    <row r="1216" spans="1:15" ht="19.5" customHeight="1" x14ac:dyDescent="0.25">
      <c r="A1216" s="13" t="s">
        <v>539</v>
      </c>
      <c r="B1216" s="13"/>
      <c r="C1216" s="13" t="s">
        <v>5266</v>
      </c>
      <c r="D1216" s="13" t="s">
        <v>1883</v>
      </c>
      <c r="E1216" s="13" t="s">
        <v>5264</v>
      </c>
      <c r="F1216" s="13"/>
      <c r="G1216" s="13" t="s">
        <v>539</v>
      </c>
      <c r="H1216" s="13"/>
      <c r="I1216" s="13" t="s">
        <v>5263</v>
      </c>
      <c r="J1216" s="13" t="s">
        <v>5262</v>
      </c>
      <c r="K1216" s="13" t="s">
        <v>3599</v>
      </c>
      <c r="L1216" s="13"/>
      <c r="M1216" s="14"/>
      <c r="N1216" s="13"/>
      <c r="O1216" s="13" t="s">
        <v>2028</v>
      </c>
    </row>
    <row r="1217" spans="1:15" ht="19.5" customHeight="1" x14ac:dyDescent="0.25">
      <c r="A1217" s="11" t="s">
        <v>539</v>
      </c>
      <c r="B1217" s="11"/>
      <c r="C1217" s="11" t="s">
        <v>5265</v>
      </c>
      <c r="D1217" s="11" t="s">
        <v>1883</v>
      </c>
      <c r="E1217" s="11" t="s">
        <v>5264</v>
      </c>
      <c r="F1217" s="11"/>
      <c r="G1217" s="11" t="s">
        <v>539</v>
      </c>
      <c r="H1217" s="11"/>
      <c r="I1217" s="11" t="s">
        <v>5263</v>
      </c>
      <c r="J1217" s="11" t="s">
        <v>5262</v>
      </c>
      <c r="K1217" s="11" t="s">
        <v>3599</v>
      </c>
      <c r="L1217" s="11"/>
      <c r="M1217" s="12"/>
      <c r="N1217" s="11"/>
      <c r="O1217" s="11" t="s">
        <v>2028</v>
      </c>
    </row>
    <row r="1218" spans="1:15" ht="19.5" customHeight="1" x14ac:dyDescent="0.25">
      <c r="A1218" s="13" t="s">
        <v>541</v>
      </c>
      <c r="B1218" s="13"/>
      <c r="C1218" s="13" t="s">
        <v>5261</v>
      </c>
      <c r="D1218" s="13" t="s">
        <v>1883</v>
      </c>
      <c r="E1218" s="13" t="s">
        <v>5255</v>
      </c>
      <c r="F1218" s="13" t="s">
        <v>5254</v>
      </c>
      <c r="G1218" s="13" t="s">
        <v>541</v>
      </c>
      <c r="H1218" s="13"/>
      <c r="I1218" s="13" t="s">
        <v>1997</v>
      </c>
      <c r="J1218" s="13" t="s">
        <v>5253</v>
      </c>
      <c r="K1218" s="13" t="s">
        <v>1952</v>
      </c>
      <c r="L1218" s="13"/>
      <c r="M1218" s="14"/>
      <c r="N1218" s="13"/>
      <c r="O1218" s="13" t="s">
        <v>2028</v>
      </c>
    </row>
    <row r="1219" spans="1:15" ht="19.5" customHeight="1" x14ac:dyDescent="0.25">
      <c r="A1219" s="11" t="s">
        <v>541</v>
      </c>
      <c r="B1219" s="11"/>
      <c r="C1219" s="11" t="s">
        <v>5260</v>
      </c>
      <c r="D1219" s="11" t="s">
        <v>1883</v>
      </c>
      <c r="E1219" s="11" t="s">
        <v>5255</v>
      </c>
      <c r="F1219" s="11" t="s">
        <v>5254</v>
      </c>
      <c r="G1219" s="11" t="s">
        <v>541</v>
      </c>
      <c r="H1219" s="11"/>
      <c r="I1219" s="11" t="s">
        <v>1997</v>
      </c>
      <c r="J1219" s="11" t="s">
        <v>5253</v>
      </c>
      <c r="K1219" s="11" t="s">
        <v>1952</v>
      </c>
      <c r="L1219" s="11"/>
      <c r="M1219" s="12"/>
      <c r="N1219" s="11"/>
      <c r="O1219" s="11" t="s">
        <v>2028</v>
      </c>
    </row>
    <row r="1220" spans="1:15" ht="19.5" customHeight="1" x14ac:dyDescent="0.25">
      <c r="A1220" s="13" t="s">
        <v>541</v>
      </c>
      <c r="B1220" s="13"/>
      <c r="C1220" s="13" t="s">
        <v>5259</v>
      </c>
      <c r="D1220" s="13" t="s">
        <v>1883</v>
      </c>
      <c r="E1220" s="13" t="s">
        <v>5255</v>
      </c>
      <c r="F1220" s="13" t="s">
        <v>5254</v>
      </c>
      <c r="G1220" s="13" t="s">
        <v>541</v>
      </c>
      <c r="H1220" s="13"/>
      <c r="I1220" s="13" t="s">
        <v>1997</v>
      </c>
      <c r="J1220" s="13" t="s">
        <v>5253</v>
      </c>
      <c r="K1220" s="13" t="s">
        <v>1952</v>
      </c>
      <c r="L1220" s="13"/>
      <c r="M1220" s="14"/>
      <c r="N1220" s="13"/>
      <c r="O1220" s="13" t="s">
        <v>2028</v>
      </c>
    </row>
    <row r="1221" spans="1:15" ht="19.5" customHeight="1" x14ac:dyDescent="0.25">
      <c r="A1221" s="11" t="s">
        <v>541</v>
      </c>
      <c r="B1221" s="11"/>
      <c r="C1221" s="11" t="s">
        <v>5258</v>
      </c>
      <c r="D1221" s="11" t="s">
        <v>1883</v>
      </c>
      <c r="E1221" s="11" t="s">
        <v>5255</v>
      </c>
      <c r="F1221" s="11" t="s">
        <v>5254</v>
      </c>
      <c r="G1221" s="11" t="s">
        <v>541</v>
      </c>
      <c r="H1221" s="11"/>
      <c r="I1221" s="11" t="s">
        <v>1997</v>
      </c>
      <c r="J1221" s="11" t="s">
        <v>5253</v>
      </c>
      <c r="K1221" s="11" t="s">
        <v>1952</v>
      </c>
      <c r="L1221" s="11"/>
      <c r="M1221" s="12"/>
      <c r="N1221" s="11"/>
      <c r="O1221" s="11" t="s">
        <v>1945</v>
      </c>
    </row>
    <row r="1222" spans="1:15" ht="19.5" customHeight="1" x14ac:dyDescent="0.25">
      <c r="A1222" s="13" t="s">
        <v>541</v>
      </c>
      <c r="B1222" s="13"/>
      <c r="C1222" s="13" t="s">
        <v>5257</v>
      </c>
      <c r="D1222" s="13" t="s">
        <v>1883</v>
      </c>
      <c r="E1222" s="13" t="s">
        <v>5255</v>
      </c>
      <c r="F1222" s="13" t="s">
        <v>5254</v>
      </c>
      <c r="G1222" s="13" t="s">
        <v>541</v>
      </c>
      <c r="H1222" s="13"/>
      <c r="I1222" s="13" t="s">
        <v>1997</v>
      </c>
      <c r="J1222" s="13" t="s">
        <v>5253</v>
      </c>
      <c r="K1222" s="13" t="s">
        <v>1952</v>
      </c>
      <c r="L1222" s="13"/>
      <c r="M1222" s="14"/>
      <c r="N1222" s="13"/>
      <c r="O1222" s="13" t="s">
        <v>1945</v>
      </c>
    </row>
    <row r="1223" spans="1:15" ht="19.5" customHeight="1" x14ac:dyDescent="0.25">
      <c r="A1223" s="11" t="s">
        <v>541</v>
      </c>
      <c r="B1223" s="11"/>
      <c r="C1223" s="11" t="s">
        <v>5256</v>
      </c>
      <c r="D1223" s="11" t="s">
        <v>1883</v>
      </c>
      <c r="E1223" s="11" t="s">
        <v>5255</v>
      </c>
      <c r="F1223" s="11" t="s">
        <v>5254</v>
      </c>
      <c r="G1223" s="11" t="s">
        <v>541</v>
      </c>
      <c r="H1223" s="11"/>
      <c r="I1223" s="11" t="s">
        <v>1997</v>
      </c>
      <c r="J1223" s="11" t="s">
        <v>5253</v>
      </c>
      <c r="K1223" s="11" t="s">
        <v>1952</v>
      </c>
      <c r="L1223" s="11"/>
      <c r="M1223" s="12"/>
      <c r="N1223" s="11"/>
      <c r="O1223" s="11" t="s">
        <v>1945</v>
      </c>
    </row>
    <row r="1224" spans="1:15" ht="19.5" customHeight="1" x14ac:dyDescent="0.25">
      <c r="A1224" s="13" t="s">
        <v>1859</v>
      </c>
      <c r="B1224" s="13"/>
      <c r="C1224" s="13" t="s">
        <v>5252</v>
      </c>
      <c r="D1224" s="13" t="s">
        <v>1883</v>
      </c>
      <c r="E1224" s="13" t="s">
        <v>5251</v>
      </c>
      <c r="F1224" s="13" t="s">
        <v>5250</v>
      </c>
      <c r="G1224" s="13" t="s">
        <v>1859</v>
      </c>
      <c r="H1224" s="13"/>
      <c r="I1224" s="13" t="s">
        <v>5249</v>
      </c>
      <c r="J1224" s="13" t="s">
        <v>5248</v>
      </c>
      <c r="K1224" s="13" t="s">
        <v>1952</v>
      </c>
      <c r="L1224" s="13"/>
      <c r="M1224" s="14"/>
      <c r="N1224" s="13"/>
      <c r="O1224" s="13"/>
    </row>
    <row r="1225" spans="1:15" ht="19.5" customHeight="1" x14ac:dyDescent="0.25">
      <c r="A1225" s="11" t="s">
        <v>1272</v>
      </c>
      <c r="B1225" s="11"/>
      <c r="C1225" s="11" t="s">
        <v>5247</v>
      </c>
      <c r="D1225" s="11" t="s">
        <v>1883</v>
      </c>
      <c r="E1225" s="11" t="s">
        <v>5246</v>
      </c>
      <c r="F1225" s="11" t="s">
        <v>5245</v>
      </c>
      <c r="G1225" s="11" t="s">
        <v>1272</v>
      </c>
      <c r="H1225" s="11"/>
      <c r="I1225" s="11" t="s">
        <v>5244</v>
      </c>
      <c r="J1225" s="11" t="s">
        <v>5243</v>
      </c>
      <c r="K1225" s="11" t="s">
        <v>2033</v>
      </c>
      <c r="L1225" s="11"/>
      <c r="M1225" s="12"/>
      <c r="N1225" s="11"/>
      <c r="O1225" s="11" t="s">
        <v>2028</v>
      </c>
    </row>
    <row r="1226" spans="1:15" ht="19.5" customHeight="1" x14ac:dyDescent="0.25">
      <c r="A1226" s="13" t="s">
        <v>543</v>
      </c>
      <c r="B1226" s="13"/>
      <c r="C1226" s="13" t="s">
        <v>5242</v>
      </c>
      <c r="D1226" s="13" t="s">
        <v>1883</v>
      </c>
      <c r="E1226" s="13" t="s">
        <v>5239</v>
      </c>
      <c r="F1226" s="13" t="s">
        <v>5238</v>
      </c>
      <c r="G1226" s="13" t="s">
        <v>543</v>
      </c>
      <c r="H1226" s="13" t="s">
        <v>5237</v>
      </c>
      <c r="I1226" s="13" t="s">
        <v>5236</v>
      </c>
      <c r="J1226" s="13" t="s">
        <v>5235</v>
      </c>
      <c r="K1226" s="13" t="s">
        <v>2033</v>
      </c>
      <c r="L1226" s="13"/>
      <c r="M1226" s="14"/>
      <c r="N1226" s="13"/>
      <c r="O1226" s="13" t="s">
        <v>2028</v>
      </c>
    </row>
    <row r="1227" spans="1:15" ht="19.5" customHeight="1" x14ac:dyDescent="0.25">
      <c r="A1227" s="11" t="s">
        <v>543</v>
      </c>
      <c r="B1227" s="11"/>
      <c r="C1227" s="11" t="s">
        <v>5241</v>
      </c>
      <c r="D1227" s="11" t="s">
        <v>1883</v>
      </c>
      <c r="E1227" s="11" t="s">
        <v>5239</v>
      </c>
      <c r="F1227" s="11" t="s">
        <v>5238</v>
      </c>
      <c r="G1227" s="11" t="s">
        <v>543</v>
      </c>
      <c r="H1227" s="11" t="s">
        <v>5237</v>
      </c>
      <c r="I1227" s="11" t="s">
        <v>5236</v>
      </c>
      <c r="J1227" s="11" t="s">
        <v>5235</v>
      </c>
      <c r="K1227" s="11" t="s">
        <v>2033</v>
      </c>
      <c r="L1227" s="11"/>
      <c r="M1227" s="12"/>
      <c r="N1227" s="11"/>
      <c r="O1227" s="11" t="s">
        <v>2028</v>
      </c>
    </row>
    <row r="1228" spans="1:15" ht="19.5" customHeight="1" x14ac:dyDescent="0.25">
      <c r="A1228" s="13" t="s">
        <v>543</v>
      </c>
      <c r="B1228" s="13"/>
      <c r="C1228" s="13" t="s">
        <v>5240</v>
      </c>
      <c r="D1228" s="13" t="s">
        <v>1883</v>
      </c>
      <c r="E1228" s="13" t="s">
        <v>5239</v>
      </c>
      <c r="F1228" s="13" t="s">
        <v>5238</v>
      </c>
      <c r="G1228" s="13" t="s">
        <v>543</v>
      </c>
      <c r="H1228" s="13" t="s">
        <v>5237</v>
      </c>
      <c r="I1228" s="13" t="s">
        <v>5236</v>
      </c>
      <c r="J1228" s="13" t="s">
        <v>5235</v>
      </c>
      <c r="K1228" s="13" t="s">
        <v>2033</v>
      </c>
      <c r="L1228" s="13"/>
      <c r="M1228" s="14"/>
      <c r="N1228" s="13"/>
      <c r="O1228" s="13" t="s">
        <v>2028</v>
      </c>
    </row>
    <row r="1229" spans="1:15" ht="19.5" customHeight="1" x14ac:dyDescent="0.25">
      <c r="A1229" s="11" t="s">
        <v>545</v>
      </c>
      <c r="B1229" s="11"/>
      <c r="C1229" s="11" t="s">
        <v>5234</v>
      </c>
      <c r="D1229" s="11" t="s">
        <v>1883</v>
      </c>
      <c r="E1229" s="11" t="s">
        <v>5231</v>
      </c>
      <c r="F1229" s="11" t="s">
        <v>5230</v>
      </c>
      <c r="G1229" s="11" t="s">
        <v>545</v>
      </c>
      <c r="H1229" s="11" t="s">
        <v>5229</v>
      </c>
      <c r="I1229" s="11" t="s">
        <v>5228</v>
      </c>
      <c r="J1229" s="11" t="s">
        <v>5227</v>
      </c>
      <c r="K1229" s="11" t="s">
        <v>1952</v>
      </c>
      <c r="L1229" s="11"/>
      <c r="M1229" s="12"/>
      <c r="N1229" s="11"/>
      <c r="O1229" s="11" t="s">
        <v>2028</v>
      </c>
    </row>
    <row r="1230" spans="1:15" ht="19.5" customHeight="1" x14ac:dyDescent="0.25">
      <c r="A1230" s="13" t="s">
        <v>545</v>
      </c>
      <c r="B1230" s="13"/>
      <c r="C1230" s="13" t="s">
        <v>5233</v>
      </c>
      <c r="D1230" s="13" t="s">
        <v>1883</v>
      </c>
      <c r="E1230" s="13" t="s">
        <v>5231</v>
      </c>
      <c r="F1230" s="13" t="s">
        <v>5230</v>
      </c>
      <c r="G1230" s="13" t="s">
        <v>545</v>
      </c>
      <c r="H1230" s="13" t="s">
        <v>5229</v>
      </c>
      <c r="I1230" s="13" t="s">
        <v>5228</v>
      </c>
      <c r="J1230" s="13" t="s">
        <v>5227</v>
      </c>
      <c r="K1230" s="13" t="s">
        <v>1952</v>
      </c>
      <c r="L1230" s="13"/>
      <c r="M1230" s="14"/>
      <c r="N1230" s="13"/>
      <c r="O1230" s="13" t="s">
        <v>2028</v>
      </c>
    </row>
    <row r="1231" spans="1:15" ht="19.5" customHeight="1" x14ac:dyDescent="0.25">
      <c r="A1231" s="11" t="s">
        <v>545</v>
      </c>
      <c r="B1231" s="11"/>
      <c r="C1231" s="11" t="s">
        <v>5232</v>
      </c>
      <c r="D1231" s="11" t="s">
        <v>1883</v>
      </c>
      <c r="E1231" s="11" t="s">
        <v>5231</v>
      </c>
      <c r="F1231" s="11" t="s">
        <v>5230</v>
      </c>
      <c r="G1231" s="11" t="s">
        <v>545</v>
      </c>
      <c r="H1231" s="11" t="s">
        <v>5229</v>
      </c>
      <c r="I1231" s="11" t="s">
        <v>5228</v>
      </c>
      <c r="J1231" s="11" t="s">
        <v>5227</v>
      </c>
      <c r="K1231" s="11" t="s">
        <v>1952</v>
      </c>
      <c r="L1231" s="11"/>
      <c r="M1231" s="12"/>
      <c r="N1231" s="11"/>
      <c r="O1231" s="11" t="s">
        <v>2028</v>
      </c>
    </row>
    <row r="1232" spans="1:15" ht="19.5" customHeight="1" x14ac:dyDescent="0.25">
      <c r="A1232" s="13" t="s">
        <v>8870</v>
      </c>
      <c r="B1232" s="13"/>
      <c r="C1232" s="13" t="s">
        <v>4991</v>
      </c>
      <c r="D1232" s="13" t="s">
        <v>1883</v>
      </c>
      <c r="E1232" s="13" t="s">
        <v>4990</v>
      </c>
      <c r="F1232" s="13"/>
      <c r="G1232" s="13" t="s">
        <v>8870</v>
      </c>
      <c r="H1232" s="13"/>
      <c r="I1232" s="13" t="s">
        <v>4989</v>
      </c>
      <c r="J1232" s="13" t="s">
        <v>4988</v>
      </c>
      <c r="K1232" s="13" t="s">
        <v>3599</v>
      </c>
      <c r="L1232" s="13"/>
      <c r="M1232" s="14"/>
      <c r="N1232" s="13"/>
      <c r="O1232" s="13" t="s">
        <v>2028</v>
      </c>
    </row>
    <row r="1233" spans="1:15" ht="19.5" customHeight="1" x14ac:dyDescent="0.25">
      <c r="A1233" s="11" t="s">
        <v>8870</v>
      </c>
      <c r="B1233" s="11"/>
      <c r="C1233" s="11" t="s">
        <v>4987</v>
      </c>
      <c r="D1233" s="11" t="s">
        <v>1883</v>
      </c>
      <c r="E1233" s="11" t="s">
        <v>4986</v>
      </c>
      <c r="F1233" s="11"/>
      <c r="G1233" s="11" t="s">
        <v>8870</v>
      </c>
      <c r="H1233" s="11"/>
      <c r="I1233" s="11" t="s">
        <v>4985</v>
      </c>
      <c r="J1233" s="11" t="s">
        <v>4984</v>
      </c>
      <c r="K1233" s="11" t="s">
        <v>2033</v>
      </c>
      <c r="L1233" s="11"/>
      <c r="M1233" s="12"/>
      <c r="N1233" s="11"/>
      <c r="O1233" s="11" t="s">
        <v>2028</v>
      </c>
    </row>
    <row r="1234" spans="1:15" ht="19.5" customHeight="1" x14ac:dyDescent="0.25">
      <c r="A1234" s="13" t="s">
        <v>1752</v>
      </c>
      <c r="B1234" s="13"/>
      <c r="C1234" s="13" t="s">
        <v>5226</v>
      </c>
      <c r="D1234" s="13" t="s">
        <v>1883</v>
      </c>
      <c r="E1234" s="13" t="s">
        <v>5225</v>
      </c>
      <c r="F1234" s="13"/>
      <c r="G1234" s="13" t="s">
        <v>1752</v>
      </c>
      <c r="H1234" s="13"/>
      <c r="I1234" s="13" t="s">
        <v>5224</v>
      </c>
      <c r="J1234" s="13" t="s">
        <v>5223</v>
      </c>
      <c r="K1234" s="13" t="s">
        <v>4943</v>
      </c>
      <c r="L1234" s="13"/>
      <c r="M1234" s="14"/>
      <c r="N1234" s="13"/>
      <c r="O1234" s="13" t="s">
        <v>2028</v>
      </c>
    </row>
    <row r="1235" spans="1:15" ht="19.5" customHeight="1" x14ac:dyDescent="0.25">
      <c r="A1235" s="11" t="s">
        <v>547</v>
      </c>
      <c r="B1235" s="11"/>
      <c r="C1235" s="11" t="s">
        <v>5222</v>
      </c>
      <c r="D1235" s="11" t="s">
        <v>1883</v>
      </c>
      <c r="E1235" s="11" t="s">
        <v>5219</v>
      </c>
      <c r="F1235" s="11" t="s">
        <v>5218</v>
      </c>
      <c r="G1235" s="11" t="s">
        <v>547</v>
      </c>
      <c r="H1235" s="11" t="s">
        <v>5217</v>
      </c>
      <c r="I1235" s="11" t="s">
        <v>5216</v>
      </c>
      <c r="J1235" s="11" t="s">
        <v>5215</v>
      </c>
      <c r="K1235" s="11" t="s">
        <v>2033</v>
      </c>
      <c r="L1235" s="11"/>
      <c r="M1235" s="12"/>
      <c r="N1235" s="11"/>
      <c r="O1235" s="11" t="s">
        <v>2028</v>
      </c>
    </row>
    <row r="1236" spans="1:15" ht="19.5" customHeight="1" x14ac:dyDescent="0.25">
      <c r="A1236" s="13" t="s">
        <v>547</v>
      </c>
      <c r="B1236" s="13"/>
      <c r="C1236" s="13" t="s">
        <v>5221</v>
      </c>
      <c r="D1236" s="13" t="s">
        <v>1883</v>
      </c>
      <c r="E1236" s="13" t="s">
        <v>5219</v>
      </c>
      <c r="F1236" s="13" t="s">
        <v>5218</v>
      </c>
      <c r="G1236" s="13" t="s">
        <v>547</v>
      </c>
      <c r="H1236" s="13" t="s">
        <v>5217</v>
      </c>
      <c r="I1236" s="13" t="s">
        <v>5216</v>
      </c>
      <c r="J1236" s="13" t="s">
        <v>5215</v>
      </c>
      <c r="K1236" s="13" t="s">
        <v>2033</v>
      </c>
      <c r="L1236" s="13"/>
      <c r="M1236" s="14"/>
      <c r="N1236" s="13"/>
      <c r="O1236" s="13" t="s">
        <v>2028</v>
      </c>
    </row>
    <row r="1237" spans="1:15" ht="19.5" customHeight="1" x14ac:dyDescent="0.25">
      <c r="A1237" s="11" t="s">
        <v>547</v>
      </c>
      <c r="B1237" s="11"/>
      <c r="C1237" s="11" t="s">
        <v>5220</v>
      </c>
      <c r="D1237" s="11" t="s">
        <v>1883</v>
      </c>
      <c r="E1237" s="11" t="s">
        <v>5219</v>
      </c>
      <c r="F1237" s="11" t="s">
        <v>5218</v>
      </c>
      <c r="G1237" s="11" t="s">
        <v>547</v>
      </c>
      <c r="H1237" s="11" t="s">
        <v>5217</v>
      </c>
      <c r="I1237" s="11" t="s">
        <v>5216</v>
      </c>
      <c r="J1237" s="11" t="s">
        <v>5215</v>
      </c>
      <c r="K1237" s="11" t="s">
        <v>2033</v>
      </c>
      <c r="L1237" s="11"/>
      <c r="M1237" s="12"/>
      <c r="N1237" s="11"/>
      <c r="O1237" s="11" t="s">
        <v>2028</v>
      </c>
    </row>
    <row r="1238" spans="1:15" ht="19.5" customHeight="1" x14ac:dyDescent="0.25">
      <c r="A1238" s="13" t="s">
        <v>549</v>
      </c>
      <c r="B1238" s="13"/>
      <c r="C1238" s="13" t="s">
        <v>5214</v>
      </c>
      <c r="D1238" s="13" t="s">
        <v>1883</v>
      </c>
      <c r="E1238" s="13" t="s">
        <v>5211</v>
      </c>
      <c r="F1238" s="13" t="s">
        <v>5210</v>
      </c>
      <c r="G1238" s="13" t="s">
        <v>549</v>
      </c>
      <c r="H1238" s="13"/>
      <c r="I1238" s="13" t="s">
        <v>5209</v>
      </c>
      <c r="J1238" s="13" t="s">
        <v>5208</v>
      </c>
      <c r="K1238" s="13" t="s">
        <v>2033</v>
      </c>
      <c r="L1238" s="13"/>
      <c r="M1238" s="14"/>
      <c r="N1238" s="13"/>
      <c r="O1238" s="13" t="s">
        <v>2028</v>
      </c>
    </row>
    <row r="1239" spans="1:15" ht="19.5" customHeight="1" x14ac:dyDescent="0.25">
      <c r="A1239" s="11" t="s">
        <v>549</v>
      </c>
      <c r="B1239" s="11"/>
      <c r="C1239" s="11" t="s">
        <v>5213</v>
      </c>
      <c r="D1239" s="11" t="s">
        <v>1883</v>
      </c>
      <c r="E1239" s="11" t="s">
        <v>5211</v>
      </c>
      <c r="F1239" s="11" t="s">
        <v>5210</v>
      </c>
      <c r="G1239" s="11" t="s">
        <v>549</v>
      </c>
      <c r="H1239" s="11"/>
      <c r="I1239" s="11" t="s">
        <v>5209</v>
      </c>
      <c r="J1239" s="11" t="s">
        <v>5208</v>
      </c>
      <c r="K1239" s="11" t="s">
        <v>2033</v>
      </c>
      <c r="L1239" s="11"/>
      <c r="M1239" s="12"/>
      <c r="N1239" s="11"/>
      <c r="O1239" s="11" t="s">
        <v>2028</v>
      </c>
    </row>
    <row r="1240" spans="1:15" ht="19.5" customHeight="1" x14ac:dyDescent="0.25">
      <c r="A1240" s="13" t="s">
        <v>549</v>
      </c>
      <c r="B1240" s="13"/>
      <c r="C1240" s="13" t="s">
        <v>5212</v>
      </c>
      <c r="D1240" s="13" t="s">
        <v>1883</v>
      </c>
      <c r="E1240" s="13" t="s">
        <v>5211</v>
      </c>
      <c r="F1240" s="13" t="s">
        <v>5210</v>
      </c>
      <c r="G1240" s="13" t="s">
        <v>549</v>
      </c>
      <c r="H1240" s="13"/>
      <c r="I1240" s="13" t="s">
        <v>5209</v>
      </c>
      <c r="J1240" s="13" t="s">
        <v>5208</v>
      </c>
      <c r="K1240" s="13" t="s">
        <v>2033</v>
      </c>
      <c r="L1240" s="13"/>
      <c r="M1240" s="14"/>
      <c r="N1240" s="13"/>
      <c r="O1240" s="13" t="s">
        <v>2028</v>
      </c>
    </row>
    <row r="1241" spans="1:15" ht="19.5" customHeight="1" x14ac:dyDescent="0.25">
      <c r="A1241" s="11" t="s">
        <v>5202</v>
      </c>
      <c r="B1241" s="11"/>
      <c r="C1241" s="11" t="s">
        <v>5207</v>
      </c>
      <c r="D1241" s="11" t="s">
        <v>1883</v>
      </c>
      <c r="E1241" s="11" t="s">
        <v>5204</v>
      </c>
      <c r="F1241" s="11" t="s">
        <v>5203</v>
      </c>
      <c r="G1241" s="11" t="s">
        <v>5202</v>
      </c>
      <c r="H1241" s="11" t="s">
        <v>5201</v>
      </c>
      <c r="I1241" s="11" t="s">
        <v>5200</v>
      </c>
      <c r="J1241" s="11" t="s">
        <v>5199</v>
      </c>
      <c r="K1241" s="11" t="s">
        <v>2033</v>
      </c>
      <c r="L1241" s="11"/>
      <c r="M1241" s="12"/>
      <c r="N1241" s="11"/>
      <c r="O1241" s="11" t="s">
        <v>2028</v>
      </c>
    </row>
    <row r="1242" spans="1:15" ht="19.5" customHeight="1" x14ac:dyDescent="0.25">
      <c r="A1242" s="13" t="s">
        <v>5202</v>
      </c>
      <c r="B1242" s="13"/>
      <c r="C1242" s="13" t="s">
        <v>5206</v>
      </c>
      <c r="D1242" s="13" t="s">
        <v>1883</v>
      </c>
      <c r="E1242" s="13" t="s">
        <v>5204</v>
      </c>
      <c r="F1242" s="13" t="s">
        <v>5203</v>
      </c>
      <c r="G1242" s="13" t="s">
        <v>5202</v>
      </c>
      <c r="H1242" s="13" t="s">
        <v>5201</v>
      </c>
      <c r="I1242" s="13" t="s">
        <v>5200</v>
      </c>
      <c r="J1242" s="13" t="s">
        <v>5199</v>
      </c>
      <c r="K1242" s="13" t="s">
        <v>2033</v>
      </c>
      <c r="L1242" s="13"/>
      <c r="M1242" s="14"/>
      <c r="N1242" s="13"/>
      <c r="O1242" s="13" t="s">
        <v>2028</v>
      </c>
    </row>
    <row r="1243" spans="1:15" ht="19.5" customHeight="1" x14ac:dyDescent="0.25">
      <c r="A1243" s="11" t="s">
        <v>5202</v>
      </c>
      <c r="B1243" s="11"/>
      <c r="C1243" s="11" t="s">
        <v>5205</v>
      </c>
      <c r="D1243" s="11" t="s">
        <v>1883</v>
      </c>
      <c r="E1243" s="11" t="s">
        <v>5204</v>
      </c>
      <c r="F1243" s="11" t="s">
        <v>5203</v>
      </c>
      <c r="G1243" s="11" t="s">
        <v>5202</v>
      </c>
      <c r="H1243" s="11" t="s">
        <v>5201</v>
      </c>
      <c r="I1243" s="11" t="s">
        <v>5200</v>
      </c>
      <c r="J1243" s="11" t="s">
        <v>5199</v>
      </c>
      <c r="K1243" s="11" t="s">
        <v>2033</v>
      </c>
      <c r="L1243" s="11"/>
      <c r="M1243" s="12"/>
      <c r="N1243" s="11"/>
      <c r="O1243" s="11" t="s">
        <v>2028</v>
      </c>
    </row>
    <row r="1244" spans="1:15" ht="19.5" customHeight="1" x14ac:dyDescent="0.25">
      <c r="A1244" s="13" t="s">
        <v>1663</v>
      </c>
      <c r="B1244" s="13"/>
      <c r="C1244" s="13" t="s">
        <v>5198</v>
      </c>
      <c r="D1244" s="13" t="s">
        <v>1883</v>
      </c>
      <c r="E1244" s="13" t="s">
        <v>5197</v>
      </c>
      <c r="F1244" s="13" t="s">
        <v>5194</v>
      </c>
      <c r="G1244" s="13" t="s">
        <v>1663</v>
      </c>
      <c r="H1244" s="13"/>
      <c r="I1244" s="13" t="s">
        <v>8931</v>
      </c>
      <c r="J1244" s="13" t="s">
        <v>8932</v>
      </c>
      <c r="K1244" s="13" t="s">
        <v>1952</v>
      </c>
      <c r="L1244" s="13"/>
      <c r="M1244" s="14"/>
      <c r="N1244" s="13"/>
      <c r="O1244" s="13" t="s">
        <v>2028</v>
      </c>
    </row>
    <row r="1245" spans="1:15" ht="19.5" customHeight="1" x14ac:dyDescent="0.25">
      <c r="A1245" s="11" t="s">
        <v>1663</v>
      </c>
      <c r="B1245" s="11"/>
      <c r="C1245" s="11" t="s">
        <v>5196</v>
      </c>
      <c r="D1245" s="11" t="s">
        <v>1883</v>
      </c>
      <c r="E1245" s="11" t="s">
        <v>5195</v>
      </c>
      <c r="F1245" s="11" t="s">
        <v>5194</v>
      </c>
      <c r="G1245" s="11" t="s">
        <v>1663</v>
      </c>
      <c r="H1245" s="11"/>
      <c r="I1245" s="11" t="s">
        <v>8931</v>
      </c>
      <c r="J1245" s="11" t="s">
        <v>8932</v>
      </c>
      <c r="K1245" s="11" t="s">
        <v>1952</v>
      </c>
      <c r="L1245" s="11"/>
      <c r="M1245" s="12"/>
      <c r="N1245" s="11"/>
      <c r="O1245" s="11" t="s">
        <v>2028</v>
      </c>
    </row>
    <row r="1246" spans="1:15" ht="19.5" customHeight="1" x14ac:dyDescent="0.25">
      <c r="A1246" s="13" t="s">
        <v>1706</v>
      </c>
      <c r="B1246" s="13"/>
      <c r="C1246" s="13" t="s">
        <v>5193</v>
      </c>
      <c r="D1246" s="13" t="s">
        <v>1883</v>
      </c>
      <c r="E1246" s="13" t="s">
        <v>5192</v>
      </c>
      <c r="F1246" s="13"/>
      <c r="G1246" s="13" t="s">
        <v>1706</v>
      </c>
      <c r="H1246" s="13"/>
      <c r="I1246" s="13" t="s">
        <v>5191</v>
      </c>
      <c r="J1246" s="13" t="s">
        <v>5190</v>
      </c>
      <c r="K1246" s="13" t="s">
        <v>1952</v>
      </c>
      <c r="L1246" s="13"/>
      <c r="M1246" s="14"/>
      <c r="N1246" s="13"/>
      <c r="O1246" s="13" t="s">
        <v>2028</v>
      </c>
    </row>
    <row r="1247" spans="1:15" ht="19.5" customHeight="1" x14ac:dyDescent="0.25">
      <c r="A1247" s="11" t="s">
        <v>551</v>
      </c>
      <c r="B1247" s="11"/>
      <c r="C1247" s="11" t="s">
        <v>5189</v>
      </c>
      <c r="D1247" s="11" t="s">
        <v>1883</v>
      </c>
      <c r="E1247" s="11" t="s">
        <v>5186</v>
      </c>
      <c r="F1247" s="11" t="s">
        <v>5185</v>
      </c>
      <c r="G1247" s="11" t="s">
        <v>551</v>
      </c>
      <c r="H1247" s="11" t="s">
        <v>5184</v>
      </c>
      <c r="I1247" s="11" t="s">
        <v>5183</v>
      </c>
      <c r="J1247" s="11" t="s">
        <v>5182</v>
      </c>
      <c r="K1247" s="11" t="s">
        <v>2033</v>
      </c>
      <c r="L1247" s="11"/>
      <c r="M1247" s="12"/>
      <c r="N1247" s="11"/>
      <c r="O1247" s="11" t="s">
        <v>2028</v>
      </c>
    </row>
    <row r="1248" spans="1:15" ht="19.5" customHeight="1" x14ac:dyDescent="0.25">
      <c r="A1248" s="13" t="s">
        <v>551</v>
      </c>
      <c r="B1248" s="13"/>
      <c r="C1248" s="13" t="s">
        <v>5188</v>
      </c>
      <c r="D1248" s="13" t="s">
        <v>1883</v>
      </c>
      <c r="E1248" s="13" t="s">
        <v>5186</v>
      </c>
      <c r="F1248" s="13" t="s">
        <v>5185</v>
      </c>
      <c r="G1248" s="13" t="s">
        <v>551</v>
      </c>
      <c r="H1248" s="13" t="s">
        <v>5184</v>
      </c>
      <c r="I1248" s="13" t="s">
        <v>5183</v>
      </c>
      <c r="J1248" s="13" t="s">
        <v>5182</v>
      </c>
      <c r="K1248" s="13" t="s">
        <v>2033</v>
      </c>
      <c r="L1248" s="13"/>
      <c r="M1248" s="14"/>
      <c r="N1248" s="13"/>
      <c r="O1248" s="13" t="s">
        <v>2028</v>
      </c>
    </row>
    <row r="1249" spans="1:15" ht="19.5" customHeight="1" x14ac:dyDescent="0.25">
      <c r="A1249" s="11" t="s">
        <v>551</v>
      </c>
      <c r="B1249" s="11"/>
      <c r="C1249" s="11" t="s">
        <v>5187</v>
      </c>
      <c r="D1249" s="11" t="s">
        <v>1883</v>
      </c>
      <c r="E1249" s="11" t="s">
        <v>5186</v>
      </c>
      <c r="F1249" s="11" t="s">
        <v>5185</v>
      </c>
      <c r="G1249" s="11" t="s">
        <v>551</v>
      </c>
      <c r="H1249" s="11" t="s">
        <v>5184</v>
      </c>
      <c r="I1249" s="11" t="s">
        <v>5183</v>
      </c>
      <c r="J1249" s="11" t="s">
        <v>5182</v>
      </c>
      <c r="K1249" s="11" t="s">
        <v>2033</v>
      </c>
      <c r="L1249" s="11"/>
      <c r="M1249" s="12"/>
      <c r="N1249" s="11"/>
      <c r="O1249" s="11" t="s">
        <v>2028</v>
      </c>
    </row>
    <row r="1250" spans="1:15" ht="19.5" customHeight="1" x14ac:dyDescent="0.25">
      <c r="A1250" s="13" t="s">
        <v>1078</v>
      </c>
      <c r="B1250" s="13"/>
      <c r="C1250" s="13" t="s">
        <v>5181</v>
      </c>
      <c r="D1250" s="13" t="s">
        <v>1883</v>
      </c>
      <c r="E1250" s="13" t="s">
        <v>5180</v>
      </c>
      <c r="F1250" s="13"/>
      <c r="G1250" s="13" t="s">
        <v>1078</v>
      </c>
      <c r="H1250" s="13"/>
      <c r="I1250" s="13" t="s">
        <v>5179</v>
      </c>
      <c r="J1250" s="13" t="s">
        <v>5178</v>
      </c>
      <c r="K1250" s="13" t="s">
        <v>1952</v>
      </c>
      <c r="L1250" s="13"/>
      <c r="M1250" s="14"/>
      <c r="N1250" s="13"/>
      <c r="O1250" s="13" t="s">
        <v>2028</v>
      </c>
    </row>
    <row r="1251" spans="1:15" ht="19.5" customHeight="1" x14ac:dyDescent="0.25">
      <c r="A1251" s="11" t="s">
        <v>553</v>
      </c>
      <c r="B1251" s="11"/>
      <c r="C1251" s="11" t="s">
        <v>5177</v>
      </c>
      <c r="D1251" s="11" t="s">
        <v>1883</v>
      </c>
      <c r="E1251" s="11" t="s">
        <v>5174</v>
      </c>
      <c r="F1251" s="11" t="s">
        <v>5173</v>
      </c>
      <c r="G1251" s="11" t="s">
        <v>553</v>
      </c>
      <c r="H1251" s="11" t="s">
        <v>5172</v>
      </c>
      <c r="I1251" s="11" t="s">
        <v>5171</v>
      </c>
      <c r="J1251" s="11" t="s">
        <v>5170</v>
      </c>
      <c r="K1251" s="11" t="s">
        <v>1952</v>
      </c>
      <c r="L1251" s="11"/>
      <c r="M1251" s="12"/>
      <c r="N1251" s="11"/>
      <c r="O1251" s="11" t="s">
        <v>2028</v>
      </c>
    </row>
    <row r="1252" spans="1:15" ht="19.5" customHeight="1" x14ac:dyDescent="0.25">
      <c r="A1252" s="13" t="s">
        <v>553</v>
      </c>
      <c r="B1252" s="13"/>
      <c r="C1252" s="13" t="s">
        <v>5176</v>
      </c>
      <c r="D1252" s="13" t="s">
        <v>1883</v>
      </c>
      <c r="E1252" s="13" t="s">
        <v>5174</v>
      </c>
      <c r="F1252" s="13" t="s">
        <v>5173</v>
      </c>
      <c r="G1252" s="13" t="s">
        <v>553</v>
      </c>
      <c r="H1252" s="13" t="s">
        <v>5172</v>
      </c>
      <c r="I1252" s="13" t="s">
        <v>5171</v>
      </c>
      <c r="J1252" s="13" t="s">
        <v>5170</v>
      </c>
      <c r="K1252" s="13" t="s">
        <v>1952</v>
      </c>
      <c r="L1252" s="13"/>
      <c r="M1252" s="14"/>
      <c r="N1252" s="13"/>
      <c r="O1252" s="13" t="s">
        <v>2028</v>
      </c>
    </row>
    <row r="1253" spans="1:15" ht="19.5" customHeight="1" x14ac:dyDescent="0.25">
      <c r="A1253" s="11" t="s">
        <v>553</v>
      </c>
      <c r="B1253" s="11"/>
      <c r="C1253" s="11" t="s">
        <v>5175</v>
      </c>
      <c r="D1253" s="11" t="s">
        <v>1883</v>
      </c>
      <c r="E1253" s="11" t="s">
        <v>5174</v>
      </c>
      <c r="F1253" s="11" t="s">
        <v>5173</v>
      </c>
      <c r="G1253" s="11" t="s">
        <v>553</v>
      </c>
      <c r="H1253" s="11" t="s">
        <v>5172</v>
      </c>
      <c r="I1253" s="11" t="s">
        <v>5171</v>
      </c>
      <c r="J1253" s="11" t="s">
        <v>5170</v>
      </c>
      <c r="K1253" s="11" t="s">
        <v>1952</v>
      </c>
      <c r="L1253" s="11"/>
      <c r="M1253" s="12"/>
      <c r="N1253" s="11"/>
      <c r="O1253" s="11" t="s">
        <v>2028</v>
      </c>
    </row>
    <row r="1254" spans="1:15" ht="19.5" customHeight="1" x14ac:dyDescent="0.25">
      <c r="A1254" s="13" t="s">
        <v>555</v>
      </c>
      <c r="B1254" s="13"/>
      <c r="C1254" s="13" t="s">
        <v>5169</v>
      </c>
      <c r="D1254" s="13" t="s">
        <v>1883</v>
      </c>
      <c r="E1254" s="13" t="s">
        <v>5168</v>
      </c>
      <c r="F1254" s="13"/>
      <c r="G1254" s="13" t="s">
        <v>555</v>
      </c>
      <c r="H1254" s="13" t="s">
        <v>5167</v>
      </c>
      <c r="I1254" s="13" t="s">
        <v>5166</v>
      </c>
      <c r="J1254" s="13" t="s">
        <v>5165</v>
      </c>
      <c r="K1254" s="13" t="s">
        <v>4304</v>
      </c>
      <c r="L1254" s="13"/>
      <c r="M1254" s="14"/>
      <c r="N1254" s="13"/>
      <c r="O1254" s="13" t="s">
        <v>2028</v>
      </c>
    </row>
    <row r="1255" spans="1:15" ht="19.5" customHeight="1" x14ac:dyDescent="0.25">
      <c r="A1255" s="11" t="s">
        <v>557</v>
      </c>
      <c r="B1255" s="11"/>
      <c r="C1255" s="11" t="s">
        <v>5164</v>
      </c>
      <c r="D1255" s="11" t="s">
        <v>1883</v>
      </c>
      <c r="E1255" s="11" t="s">
        <v>5161</v>
      </c>
      <c r="F1255" s="11" t="s">
        <v>5160</v>
      </c>
      <c r="G1255" s="11" t="s">
        <v>5159</v>
      </c>
      <c r="H1255" s="11" t="s">
        <v>5158</v>
      </c>
      <c r="I1255" s="11" t="s">
        <v>5157</v>
      </c>
      <c r="J1255" s="11" t="s">
        <v>5156</v>
      </c>
      <c r="K1255" s="11" t="s">
        <v>1952</v>
      </c>
      <c r="L1255" s="11"/>
      <c r="M1255" s="12"/>
      <c r="N1255" s="11"/>
      <c r="O1255" s="11" t="s">
        <v>2028</v>
      </c>
    </row>
    <row r="1256" spans="1:15" ht="19.5" customHeight="1" x14ac:dyDescent="0.25">
      <c r="A1256" s="13" t="s">
        <v>557</v>
      </c>
      <c r="B1256" s="13"/>
      <c r="C1256" s="13" t="s">
        <v>5163</v>
      </c>
      <c r="D1256" s="13" t="s">
        <v>1883</v>
      </c>
      <c r="E1256" s="13" t="s">
        <v>5161</v>
      </c>
      <c r="F1256" s="13" t="s">
        <v>5160</v>
      </c>
      <c r="G1256" s="13" t="s">
        <v>5159</v>
      </c>
      <c r="H1256" s="13" t="s">
        <v>5158</v>
      </c>
      <c r="I1256" s="13" t="s">
        <v>5157</v>
      </c>
      <c r="J1256" s="13" t="s">
        <v>5156</v>
      </c>
      <c r="K1256" s="13" t="s">
        <v>1952</v>
      </c>
      <c r="L1256" s="13"/>
      <c r="M1256" s="14"/>
      <c r="N1256" s="13"/>
      <c r="O1256" s="13" t="s">
        <v>2028</v>
      </c>
    </row>
    <row r="1257" spans="1:15" ht="19.5" customHeight="1" x14ac:dyDescent="0.25">
      <c r="A1257" s="11" t="s">
        <v>557</v>
      </c>
      <c r="B1257" s="11"/>
      <c r="C1257" s="11" t="s">
        <v>5162</v>
      </c>
      <c r="D1257" s="11" t="s">
        <v>1883</v>
      </c>
      <c r="E1257" s="11" t="s">
        <v>5161</v>
      </c>
      <c r="F1257" s="11" t="s">
        <v>5160</v>
      </c>
      <c r="G1257" s="11" t="s">
        <v>5159</v>
      </c>
      <c r="H1257" s="11" t="s">
        <v>5158</v>
      </c>
      <c r="I1257" s="11" t="s">
        <v>5157</v>
      </c>
      <c r="J1257" s="11" t="s">
        <v>5156</v>
      </c>
      <c r="K1257" s="11" t="s">
        <v>1952</v>
      </c>
      <c r="L1257" s="11"/>
      <c r="M1257" s="12"/>
      <c r="N1257" s="11"/>
      <c r="O1257" s="11" t="s">
        <v>2028</v>
      </c>
    </row>
    <row r="1258" spans="1:15" ht="19.5" customHeight="1" x14ac:dyDescent="0.25">
      <c r="A1258" s="13" t="s">
        <v>559</v>
      </c>
      <c r="B1258" s="13"/>
      <c r="C1258" s="13" t="s">
        <v>5155</v>
      </c>
      <c r="D1258" s="13" t="s">
        <v>1883</v>
      </c>
      <c r="E1258" s="13" t="s">
        <v>5154</v>
      </c>
      <c r="F1258" s="13"/>
      <c r="G1258" s="13" t="s">
        <v>559</v>
      </c>
      <c r="H1258" s="13"/>
      <c r="I1258" s="13" t="s">
        <v>4867</v>
      </c>
      <c r="J1258" s="13" t="s">
        <v>5153</v>
      </c>
      <c r="K1258" s="13" t="s">
        <v>1952</v>
      </c>
      <c r="L1258" s="13"/>
      <c r="M1258" s="14"/>
      <c r="N1258" s="13"/>
      <c r="O1258" s="13" t="s">
        <v>2028</v>
      </c>
    </row>
    <row r="1259" spans="1:15" ht="19.5" customHeight="1" x14ac:dyDescent="0.25">
      <c r="A1259" s="11" t="s">
        <v>301</v>
      </c>
      <c r="B1259" s="11"/>
      <c r="C1259" s="11" t="s">
        <v>5152</v>
      </c>
      <c r="D1259" s="11" t="s">
        <v>1883</v>
      </c>
      <c r="E1259" s="11" t="s">
        <v>5151</v>
      </c>
      <c r="F1259" s="11" t="s">
        <v>5150</v>
      </c>
      <c r="G1259" s="11" t="s">
        <v>301</v>
      </c>
      <c r="H1259" s="11"/>
      <c r="I1259" s="11" t="s">
        <v>5149</v>
      </c>
      <c r="J1259" s="11" t="s">
        <v>5148</v>
      </c>
      <c r="K1259" s="11" t="s">
        <v>2175</v>
      </c>
      <c r="L1259" s="11"/>
      <c r="M1259" s="12"/>
      <c r="N1259" s="11"/>
      <c r="O1259" s="11" t="s">
        <v>2028</v>
      </c>
    </row>
    <row r="1260" spans="1:15" ht="19.5" customHeight="1" x14ac:dyDescent="0.25">
      <c r="A1260" s="13" t="s">
        <v>561</v>
      </c>
      <c r="B1260" s="13"/>
      <c r="C1260" s="13" t="s">
        <v>5147</v>
      </c>
      <c r="D1260" s="13" t="s">
        <v>1883</v>
      </c>
      <c r="E1260" s="13" t="s">
        <v>5146</v>
      </c>
      <c r="F1260" s="13"/>
      <c r="G1260" s="13" t="s">
        <v>561</v>
      </c>
      <c r="H1260" s="13"/>
      <c r="I1260" s="13" t="s">
        <v>5145</v>
      </c>
      <c r="J1260" s="13" t="s">
        <v>5144</v>
      </c>
      <c r="K1260" s="13" t="s">
        <v>3599</v>
      </c>
      <c r="L1260" s="13"/>
      <c r="M1260" s="14"/>
      <c r="N1260" s="13"/>
      <c r="O1260" s="13" t="s">
        <v>2028</v>
      </c>
    </row>
    <row r="1261" spans="1:15" ht="19.5" customHeight="1" x14ac:dyDescent="0.25">
      <c r="A1261" s="11" t="s">
        <v>563</v>
      </c>
      <c r="B1261" s="11"/>
      <c r="C1261" s="11" t="s">
        <v>5143</v>
      </c>
      <c r="D1261" s="11" t="s">
        <v>1883</v>
      </c>
      <c r="E1261" s="11" t="s">
        <v>5142</v>
      </c>
      <c r="F1261" s="11"/>
      <c r="G1261" s="11" t="s">
        <v>563</v>
      </c>
      <c r="H1261" s="11"/>
      <c r="I1261" s="11"/>
      <c r="J1261" s="11"/>
      <c r="K1261" s="11"/>
      <c r="L1261" s="11"/>
      <c r="M1261" s="12"/>
      <c r="N1261" s="11"/>
      <c r="O1261" s="11" t="s">
        <v>2028</v>
      </c>
    </row>
    <row r="1262" spans="1:15" ht="19.5" customHeight="1" x14ac:dyDescent="0.25">
      <c r="A1262" s="13" t="s">
        <v>1237</v>
      </c>
      <c r="B1262" s="13"/>
      <c r="C1262" s="13" t="s">
        <v>5141</v>
      </c>
      <c r="D1262" s="13" t="s">
        <v>1883</v>
      </c>
      <c r="E1262" s="13" t="s">
        <v>5140</v>
      </c>
      <c r="F1262" s="13" t="s">
        <v>5139</v>
      </c>
      <c r="G1262" s="13" t="s">
        <v>5138</v>
      </c>
      <c r="H1262" s="13"/>
      <c r="I1262" s="13" t="s">
        <v>2095</v>
      </c>
      <c r="J1262" s="13" t="s">
        <v>5137</v>
      </c>
      <c r="K1262" s="13" t="s">
        <v>3599</v>
      </c>
      <c r="L1262" s="13"/>
      <c r="M1262" s="14"/>
      <c r="N1262" s="13"/>
      <c r="O1262" s="13" t="s">
        <v>2028</v>
      </c>
    </row>
    <row r="1263" spans="1:15" ht="19.5" customHeight="1" x14ac:dyDescent="0.25">
      <c r="A1263" s="11" t="s">
        <v>5132</v>
      </c>
      <c r="B1263" s="11"/>
      <c r="C1263" s="11" t="s">
        <v>5136</v>
      </c>
      <c r="D1263" s="11" t="s">
        <v>1883</v>
      </c>
      <c r="E1263" s="11" t="s">
        <v>5133</v>
      </c>
      <c r="F1263" s="11"/>
      <c r="G1263" s="11" t="s">
        <v>5132</v>
      </c>
      <c r="H1263" s="11" t="s">
        <v>5131</v>
      </c>
      <c r="I1263" s="11" t="s">
        <v>5130</v>
      </c>
      <c r="J1263" s="11" t="s">
        <v>5129</v>
      </c>
      <c r="K1263" s="11" t="s">
        <v>3599</v>
      </c>
      <c r="L1263" s="11"/>
      <c r="M1263" s="12"/>
      <c r="N1263" s="11"/>
      <c r="O1263" s="11" t="s">
        <v>2028</v>
      </c>
    </row>
    <row r="1264" spans="1:15" ht="19.5" customHeight="1" x14ac:dyDescent="0.25">
      <c r="A1264" s="13" t="s">
        <v>5132</v>
      </c>
      <c r="B1264" s="13"/>
      <c r="C1264" s="13" t="s">
        <v>5135</v>
      </c>
      <c r="D1264" s="13" t="s">
        <v>1883</v>
      </c>
      <c r="E1264" s="13" t="s">
        <v>5133</v>
      </c>
      <c r="F1264" s="13"/>
      <c r="G1264" s="13" t="s">
        <v>5132</v>
      </c>
      <c r="H1264" s="13" t="s">
        <v>5131</v>
      </c>
      <c r="I1264" s="13" t="s">
        <v>5130</v>
      </c>
      <c r="J1264" s="13" t="s">
        <v>5129</v>
      </c>
      <c r="K1264" s="13" t="s">
        <v>3599</v>
      </c>
      <c r="L1264" s="13"/>
      <c r="M1264" s="14"/>
      <c r="N1264" s="13"/>
      <c r="O1264" s="13" t="s">
        <v>2028</v>
      </c>
    </row>
    <row r="1265" spans="1:15" ht="19.5" customHeight="1" x14ac:dyDescent="0.25">
      <c r="A1265" s="11" t="s">
        <v>5132</v>
      </c>
      <c r="B1265" s="11"/>
      <c r="C1265" s="11" t="s">
        <v>5134</v>
      </c>
      <c r="D1265" s="11" t="s">
        <v>1883</v>
      </c>
      <c r="E1265" s="11" t="s">
        <v>5133</v>
      </c>
      <c r="F1265" s="11"/>
      <c r="G1265" s="11" t="s">
        <v>5132</v>
      </c>
      <c r="H1265" s="11" t="s">
        <v>5131</v>
      </c>
      <c r="I1265" s="11" t="s">
        <v>5130</v>
      </c>
      <c r="J1265" s="11" t="s">
        <v>5129</v>
      </c>
      <c r="K1265" s="11" t="s">
        <v>3599</v>
      </c>
      <c r="L1265" s="11"/>
      <c r="M1265" s="12"/>
      <c r="N1265" s="11"/>
      <c r="O1265" s="11" t="s">
        <v>2028</v>
      </c>
    </row>
    <row r="1266" spans="1:15" ht="19.5" customHeight="1" x14ac:dyDescent="0.25">
      <c r="A1266" s="13" t="s">
        <v>565</v>
      </c>
      <c r="B1266" s="13"/>
      <c r="C1266" s="13" t="s">
        <v>5128</v>
      </c>
      <c r="D1266" s="13" t="s">
        <v>1883</v>
      </c>
      <c r="E1266" s="13" t="s">
        <v>5126</v>
      </c>
      <c r="F1266" s="13"/>
      <c r="G1266" s="13" t="s">
        <v>565</v>
      </c>
      <c r="H1266" s="13"/>
      <c r="I1266" s="13" t="s">
        <v>5125</v>
      </c>
      <c r="J1266" s="13" t="s">
        <v>5124</v>
      </c>
      <c r="K1266" s="13" t="s">
        <v>1952</v>
      </c>
      <c r="L1266" s="13"/>
      <c r="M1266" s="14"/>
      <c r="N1266" s="13"/>
      <c r="O1266" s="13" t="s">
        <v>2028</v>
      </c>
    </row>
    <row r="1267" spans="1:15" ht="19.5" customHeight="1" x14ac:dyDescent="0.25">
      <c r="A1267" s="11" t="s">
        <v>565</v>
      </c>
      <c r="B1267" s="11"/>
      <c r="C1267" s="11" t="s">
        <v>5127</v>
      </c>
      <c r="D1267" s="11" t="s">
        <v>1883</v>
      </c>
      <c r="E1267" s="11" t="s">
        <v>5126</v>
      </c>
      <c r="F1267" s="11"/>
      <c r="G1267" s="11" t="s">
        <v>565</v>
      </c>
      <c r="H1267" s="11"/>
      <c r="I1267" s="11" t="s">
        <v>5125</v>
      </c>
      <c r="J1267" s="11" t="s">
        <v>5124</v>
      </c>
      <c r="K1267" s="11" t="s">
        <v>1952</v>
      </c>
      <c r="L1267" s="11"/>
      <c r="M1267" s="12"/>
      <c r="N1267" s="11"/>
      <c r="O1267" s="11" t="s">
        <v>2028</v>
      </c>
    </row>
    <row r="1268" spans="1:15" ht="19.5" customHeight="1" x14ac:dyDescent="0.25">
      <c r="A1268" s="13" t="s">
        <v>567</v>
      </c>
      <c r="B1268" s="13"/>
      <c r="C1268" s="13" t="s">
        <v>5123</v>
      </c>
      <c r="D1268" s="13" t="s">
        <v>1883</v>
      </c>
      <c r="E1268" s="13" t="s">
        <v>5122</v>
      </c>
      <c r="F1268" s="13"/>
      <c r="G1268" s="13" t="s">
        <v>567</v>
      </c>
      <c r="H1268" s="13"/>
      <c r="I1268" s="13"/>
      <c r="J1268" s="13"/>
      <c r="K1268" s="13"/>
      <c r="L1268" s="13"/>
      <c r="M1268" s="14"/>
      <c r="N1268" s="13"/>
      <c r="O1268" s="13" t="s">
        <v>1916</v>
      </c>
    </row>
    <row r="1269" spans="1:15" ht="19.5" customHeight="1" x14ac:dyDescent="0.25">
      <c r="A1269" s="11" t="s">
        <v>567</v>
      </c>
      <c r="B1269" s="11"/>
      <c r="C1269" s="11" t="s">
        <v>5121</v>
      </c>
      <c r="D1269" s="11" t="s">
        <v>1883</v>
      </c>
      <c r="E1269" s="11" t="s">
        <v>5118</v>
      </c>
      <c r="F1269" s="11"/>
      <c r="G1269" s="11" t="s">
        <v>567</v>
      </c>
      <c r="H1269" s="11" t="s">
        <v>5117</v>
      </c>
      <c r="I1269" s="11" t="s">
        <v>5116</v>
      </c>
      <c r="J1269" s="11" t="s">
        <v>5115</v>
      </c>
      <c r="K1269" s="11" t="s">
        <v>5114</v>
      </c>
      <c r="L1269" s="11"/>
      <c r="M1269" s="12"/>
      <c r="N1269" s="11"/>
      <c r="O1269" s="11" t="s">
        <v>2028</v>
      </c>
    </row>
    <row r="1270" spans="1:15" ht="19.5" customHeight="1" x14ac:dyDescent="0.25">
      <c r="A1270" s="13" t="s">
        <v>567</v>
      </c>
      <c r="B1270" s="13"/>
      <c r="C1270" s="13" t="s">
        <v>5120</v>
      </c>
      <c r="D1270" s="13" t="s">
        <v>1883</v>
      </c>
      <c r="E1270" s="13" t="s">
        <v>5118</v>
      </c>
      <c r="F1270" s="13"/>
      <c r="G1270" s="13" t="s">
        <v>567</v>
      </c>
      <c r="H1270" s="13" t="s">
        <v>5117</v>
      </c>
      <c r="I1270" s="13" t="s">
        <v>5116</v>
      </c>
      <c r="J1270" s="13" t="s">
        <v>5115</v>
      </c>
      <c r="K1270" s="13" t="s">
        <v>5114</v>
      </c>
      <c r="L1270" s="13"/>
      <c r="M1270" s="14"/>
      <c r="N1270" s="13"/>
      <c r="O1270" s="13" t="s">
        <v>2028</v>
      </c>
    </row>
    <row r="1271" spans="1:15" ht="19.5" customHeight="1" x14ac:dyDescent="0.25">
      <c r="A1271" s="11" t="s">
        <v>567</v>
      </c>
      <c r="B1271" s="11"/>
      <c r="C1271" s="11" t="s">
        <v>5119</v>
      </c>
      <c r="D1271" s="11" t="s">
        <v>1883</v>
      </c>
      <c r="E1271" s="11" t="s">
        <v>5118</v>
      </c>
      <c r="F1271" s="11"/>
      <c r="G1271" s="11" t="s">
        <v>567</v>
      </c>
      <c r="H1271" s="11" t="s">
        <v>5117</v>
      </c>
      <c r="I1271" s="11" t="s">
        <v>5116</v>
      </c>
      <c r="J1271" s="11" t="s">
        <v>5115</v>
      </c>
      <c r="K1271" s="11" t="s">
        <v>5114</v>
      </c>
      <c r="L1271" s="11"/>
      <c r="M1271" s="12"/>
      <c r="N1271" s="11"/>
      <c r="O1271" s="11" t="s">
        <v>2028</v>
      </c>
    </row>
    <row r="1272" spans="1:15" ht="19.5" customHeight="1" x14ac:dyDescent="0.25">
      <c r="A1272" s="13" t="s">
        <v>569</v>
      </c>
      <c r="B1272" s="13"/>
      <c r="C1272" s="13" t="s">
        <v>5113</v>
      </c>
      <c r="D1272" s="13" t="s">
        <v>1883</v>
      </c>
      <c r="E1272" s="13" t="s">
        <v>5110</v>
      </c>
      <c r="F1272" s="13" t="s">
        <v>5109</v>
      </c>
      <c r="G1272" s="13" t="s">
        <v>569</v>
      </c>
      <c r="H1272" s="13" t="s">
        <v>5108</v>
      </c>
      <c r="I1272" s="13" t="s">
        <v>5107</v>
      </c>
      <c r="J1272" s="13" t="s">
        <v>5106</v>
      </c>
      <c r="K1272" s="13" t="s">
        <v>3599</v>
      </c>
      <c r="L1272" s="13"/>
      <c r="M1272" s="14"/>
      <c r="N1272" s="13"/>
      <c r="O1272" s="13" t="s">
        <v>2028</v>
      </c>
    </row>
    <row r="1273" spans="1:15" ht="19.5" customHeight="1" x14ac:dyDescent="0.25">
      <c r="A1273" s="11" t="s">
        <v>569</v>
      </c>
      <c r="B1273" s="11"/>
      <c r="C1273" s="11" t="s">
        <v>5112</v>
      </c>
      <c r="D1273" s="11" t="s">
        <v>1883</v>
      </c>
      <c r="E1273" s="11" t="s">
        <v>5110</v>
      </c>
      <c r="F1273" s="11" t="s">
        <v>5109</v>
      </c>
      <c r="G1273" s="11" t="s">
        <v>569</v>
      </c>
      <c r="H1273" s="11" t="s">
        <v>5108</v>
      </c>
      <c r="I1273" s="11" t="s">
        <v>5107</v>
      </c>
      <c r="J1273" s="11" t="s">
        <v>5106</v>
      </c>
      <c r="K1273" s="11" t="s">
        <v>3599</v>
      </c>
      <c r="L1273" s="11"/>
      <c r="M1273" s="12"/>
      <c r="N1273" s="11"/>
      <c r="O1273" s="11" t="s">
        <v>2028</v>
      </c>
    </row>
    <row r="1274" spans="1:15" ht="19.5" customHeight="1" x14ac:dyDescent="0.25">
      <c r="A1274" s="13" t="s">
        <v>569</v>
      </c>
      <c r="B1274" s="13"/>
      <c r="C1274" s="13" t="s">
        <v>5111</v>
      </c>
      <c r="D1274" s="13" t="s">
        <v>1883</v>
      </c>
      <c r="E1274" s="13" t="s">
        <v>5110</v>
      </c>
      <c r="F1274" s="13" t="s">
        <v>5109</v>
      </c>
      <c r="G1274" s="13" t="s">
        <v>569</v>
      </c>
      <c r="H1274" s="13" t="s">
        <v>5108</v>
      </c>
      <c r="I1274" s="13" t="s">
        <v>5107</v>
      </c>
      <c r="J1274" s="13" t="s">
        <v>5106</v>
      </c>
      <c r="K1274" s="13" t="s">
        <v>3599</v>
      </c>
      <c r="L1274" s="13"/>
      <c r="M1274" s="14"/>
      <c r="N1274" s="13"/>
      <c r="O1274" s="13" t="s">
        <v>2028</v>
      </c>
    </row>
    <row r="1275" spans="1:15" ht="19.5" customHeight="1" x14ac:dyDescent="0.25">
      <c r="A1275" s="11" t="s">
        <v>571</v>
      </c>
      <c r="B1275" s="11"/>
      <c r="C1275" s="11" t="s">
        <v>5105</v>
      </c>
      <c r="D1275" s="11" t="s">
        <v>1883</v>
      </c>
      <c r="E1275" s="11" t="s">
        <v>5104</v>
      </c>
      <c r="F1275" s="11" t="s">
        <v>5103</v>
      </c>
      <c r="G1275" s="11" t="s">
        <v>571</v>
      </c>
      <c r="H1275" s="11" t="s">
        <v>5102</v>
      </c>
      <c r="I1275" s="11" t="s">
        <v>5101</v>
      </c>
      <c r="J1275" s="11" t="s">
        <v>5100</v>
      </c>
      <c r="K1275" s="11" t="s">
        <v>1952</v>
      </c>
      <c r="L1275" s="11"/>
      <c r="M1275" s="12"/>
      <c r="N1275" s="11"/>
      <c r="O1275" s="11" t="s">
        <v>2028</v>
      </c>
    </row>
    <row r="1276" spans="1:15" ht="19.5" customHeight="1" x14ac:dyDescent="0.25">
      <c r="A1276" s="13" t="s">
        <v>5098</v>
      </c>
      <c r="B1276" s="13"/>
      <c r="C1276" s="13" t="s">
        <v>5099</v>
      </c>
      <c r="D1276" s="13" t="s">
        <v>2368</v>
      </c>
      <c r="E1276" s="13" t="s">
        <v>2806</v>
      </c>
      <c r="F1276" s="13"/>
      <c r="G1276" s="13" t="s">
        <v>5098</v>
      </c>
      <c r="H1276" s="13"/>
      <c r="I1276" s="13"/>
      <c r="J1276" s="13" t="s">
        <v>5097</v>
      </c>
      <c r="K1276" s="13" t="s">
        <v>1952</v>
      </c>
      <c r="L1276" s="13"/>
      <c r="M1276" s="14"/>
      <c r="N1276" s="13"/>
      <c r="O1276" s="13" t="s">
        <v>1945</v>
      </c>
    </row>
    <row r="1277" spans="1:15" ht="19.5" customHeight="1" x14ac:dyDescent="0.25">
      <c r="A1277" s="11" t="s">
        <v>5094</v>
      </c>
      <c r="B1277" s="11"/>
      <c r="C1277" s="11" t="s">
        <v>5096</v>
      </c>
      <c r="D1277" s="11" t="s">
        <v>1883</v>
      </c>
      <c r="E1277" s="11" t="s">
        <v>5095</v>
      </c>
      <c r="F1277" s="11"/>
      <c r="G1277" s="11" t="s">
        <v>5094</v>
      </c>
      <c r="H1277" s="11"/>
      <c r="I1277" s="11"/>
      <c r="J1277" s="11"/>
      <c r="K1277" s="11"/>
      <c r="L1277" s="11"/>
      <c r="M1277" s="12"/>
      <c r="N1277" s="11"/>
      <c r="O1277" s="11" t="s">
        <v>2805</v>
      </c>
    </row>
    <row r="1278" spans="1:15" ht="19.5" customHeight="1" x14ac:dyDescent="0.25">
      <c r="A1278" s="13" t="s">
        <v>1827</v>
      </c>
      <c r="B1278" s="13"/>
      <c r="C1278" s="13" t="s">
        <v>1826</v>
      </c>
      <c r="D1278" s="13" t="s">
        <v>1883</v>
      </c>
      <c r="E1278" s="13" t="s">
        <v>5092</v>
      </c>
      <c r="F1278" s="13" t="s">
        <v>5091</v>
      </c>
      <c r="G1278" s="13" t="s">
        <v>1827</v>
      </c>
      <c r="H1278" s="13"/>
      <c r="I1278" s="13" t="s">
        <v>4036</v>
      </c>
      <c r="J1278" s="13" t="s">
        <v>5090</v>
      </c>
      <c r="K1278" s="13" t="s">
        <v>1952</v>
      </c>
      <c r="L1278" s="13"/>
      <c r="M1278" s="14"/>
      <c r="N1278" s="13"/>
      <c r="O1278" s="13" t="s">
        <v>1877</v>
      </c>
    </row>
    <row r="1279" spans="1:15" ht="19.5" customHeight="1" x14ac:dyDescent="0.25">
      <c r="A1279" s="11" t="s">
        <v>1827</v>
      </c>
      <c r="B1279" s="11"/>
      <c r="C1279" s="11" t="s">
        <v>5093</v>
      </c>
      <c r="D1279" s="11" t="s">
        <v>1883</v>
      </c>
      <c r="E1279" s="11" t="s">
        <v>5092</v>
      </c>
      <c r="F1279" s="11" t="s">
        <v>5091</v>
      </c>
      <c r="G1279" s="11" t="s">
        <v>1827</v>
      </c>
      <c r="H1279" s="11"/>
      <c r="I1279" s="11" t="s">
        <v>4036</v>
      </c>
      <c r="J1279" s="11" t="s">
        <v>5090</v>
      </c>
      <c r="K1279" s="11" t="s">
        <v>1952</v>
      </c>
      <c r="L1279" s="11"/>
      <c r="M1279" s="12"/>
      <c r="N1279" s="11"/>
      <c r="O1279" s="11" t="s">
        <v>1877</v>
      </c>
    </row>
    <row r="1280" spans="1:15" ht="19.5" customHeight="1" x14ac:dyDescent="0.25">
      <c r="A1280" s="13" t="s">
        <v>1480</v>
      </c>
      <c r="B1280" s="13"/>
      <c r="C1280" s="13" t="s">
        <v>5089</v>
      </c>
      <c r="D1280" s="13" t="s">
        <v>1883</v>
      </c>
      <c r="E1280" s="13" t="s">
        <v>5088</v>
      </c>
      <c r="F1280" s="13"/>
      <c r="G1280" s="13" t="s">
        <v>1480</v>
      </c>
      <c r="H1280" s="13"/>
      <c r="I1280" s="13" t="s">
        <v>5087</v>
      </c>
      <c r="J1280" s="13" t="s">
        <v>5086</v>
      </c>
      <c r="K1280" s="13" t="s">
        <v>3599</v>
      </c>
      <c r="L1280" s="13"/>
      <c r="M1280" s="14"/>
      <c r="N1280" s="13"/>
      <c r="O1280" s="13" t="s">
        <v>2028</v>
      </c>
    </row>
    <row r="1281" spans="1:15" ht="19.5" customHeight="1" x14ac:dyDescent="0.25">
      <c r="A1281" s="11" t="s">
        <v>5082</v>
      </c>
      <c r="B1281" s="11"/>
      <c r="C1281" s="11" t="s">
        <v>5085</v>
      </c>
      <c r="D1281" s="11" t="s">
        <v>1883</v>
      </c>
      <c r="E1281" s="11" t="s">
        <v>5084</v>
      </c>
      <c r="F1281" s="11" t="s">
        <v>5083</v>
      </c>
      <c r="G1281" s="11" t="s">
        <v>5082</v>
      </c>
      <c r="H1281" s="11"/>
      <c r="I1281" s="11" t="s">
        <v>5081</v>
      </c>
      <c r="J1281" s="11" t="s">
        <v>5080</v>
      </c>
      <c r="K1281" s="11" t="s">
        <v>2033</v>
      </c>
      <c r="L1281" s="11"/>
      <c r="M1281" s="12"/>
      <c r="N1281" s="11"/>
      <c r="O1281" s="11" t="s">
        <v>2028</v>
      </c>
    </row>
    <row r="1282" spans="1:15" ht="19.5" customHeight="1" x14ac:dyDescent="0.25">
      <c r="A1282" s="13" t="s">
        <v>573</v>
      </c>
      <c r="B1282" s="13"/>
      <c r="C1282" s="13" t="s">
        <v>5079</v>
      </c>
      <c r="D1282" s="13" t="s">
        <v>1883</v>
      </c>
      <c r="E1282" s="13" t="s">
        <v>5076</v>
      </c>
      <c r="F1282" s="13" t="s">
        <v>5075</v>
      </c>
      <c r="G1282" s="13" t="s">
        <v>573</v>
      </c>
      <c r="H1282" s="13"/>
      <c r="I1282" s="13" t="s">
        <v>5074</v>
      </c>
      <c r="J1282" s="13" t="s">
        <v>5073</v>
      </c>
      <c r="K1282" s="13" t="s">
        <v>2033</v>
      </c>
      <c r="L1282" s="13"/>
      <c r="M1282" s="14"/>
      <c r="N1282" s="13"/>
      <c r="O1282" s="13" t="s">
        <v>2028</v>
      </c>
    </row>
    <row r="1283" spans="1:15" ht="19.5" customHeight="1" x14ac:dyDescent="0.25">
      <c r="A1283" s="11" t="s">
        <v>573</v>
      </c>
      <c r="B1283" s="11"/>
      <c r="C1283" s="11" t="s">
        <v>5078</v>
      </c>
      <c r="D1283" s="11" t="s">
        <v>1883</v>
      </c>
      <c r="E1283" s="11" t="s">
        <v>5076</v>
      </c>
      <c r="F1283" s="11" t="s">
        <v>5075</v>
      </c>
      <c r="G1283" s="11" t="s">
        <v>573</v>
      </c>
      <c r="H1283" s="11"/>
      <c r="I1283" s="11" t="s">
        <v>5074</v>
      </c>
      <c r="J1283" s="11" t="s">
        <v>5073</v>
      </c>
      <c r="K1283" s="11" t="s">
        <v>2033</v>
      </c>
      <c r="L1283" s="11"/>
      <c r="M1283" s="12"/>
      <c r="N1283" s="11"/>
      <c r="O1283" s="11" t="s">
        <v>2028</v>
      </c>
    </row>
    <row r="1284" spans="1:15" ht="19.5" customHeight="1" x14ac:dyDescent="0.25">
      <c r="A1284" s="13" t="s">
        <v>573</v>
      </c>
      <c r="B1284" s="13"/>
      <c r="C1284" s="13" t="s">
        <v>5077</v>
      </c>
      <c r="D1284" s="13" t="s">
        <v>1883</v>
      </c>
      <c r="E1284" s="13" t="s">
        <v>5076</v>
      </c>
      <c r="F1284" s="13" t="s">
        <v>5075</v>
      </c>
      <c r="G1284" s="13" t="s">
        <v>573</v>
      </c>
      <c r="H1284" s="13"/>
      <c r="I1284" s="13" t="s">
        <v>5074</v>
      </c>
      <c r="J1284" s="13" t="s">
        <v>5073</v>
      </c>
      <c r="K1284" s="13" t="s">
        <v>2033</v>
      </c>
      <c r="L1284" s="13"/>
      <c r="M1284" s="14"/>
      <c r="N1284" s="13"/>
      <c r="O1284" s="13" t="s">
        <v>2028</v>
      </c>
    </row>
    <row r="1285" spans="1:15" ht="19.5" customHeight="1" x14ac:dyDescent="0.25">
      <c r="A1285" s="11" t="s">
        <v>575</v>
      </c>
      <c r="B1285" s="11"/>
      <c r="C1285" s="11" t="s">
        <v>5072</v>
      </c>
      <c r="D1285" s="11" t="s">
        <v>1883</v>
      </c>
      <c r="E1285" s="11" t="s">
        <v>5068</v>
      </c>
      <c r="F1285" s="11" t="s">
        <v>5067</v>
      </c>
      <c r="G1285" s="11" t="s">
        <v>575</v>
      </c>
      <c r="H1285" s="11" t="s">
        <v>5066</v>
      </c>
      <c r="I1285" s="11" t="s">
        <v>5065</v>
      </c>
      <c r="J1285" s="11" t="s">
        <v>5064</v>
      </c>
      <c r="K1285" s="11" t="s">
        <v>1952</v>
      </c>
      <c r="L1285" s="11"/>
      <c r="M1285" s="12"/>
      <c r="N1285" s="11"/>
      <c r="O1285" s="11" t="s">
        <v>1916</v>
      </c>
    </row>
    <row r="1286" spans="1:15" ht="19.5" customHeight="1" x14ac:dyDescent="0.25">
      <c r="A1286" s="13" t="s">
        <v>575</v>
      </c>
      <c r="B1286" s="13"/>
      <c r="C1286" s="13" t="s">
        <v>5071</v>
      </c>
      <c r="D1286" s="13" t="s">
        <v>1883</v>
      </c>
      <c r="E1286" s="13" t="s">
        <v>5068</v>
      </c>
      <c r="F1286" s="13" t="s">
        <v>5067</v>
      </c>
      <c r="G1286" s="13" t="s">
        <v>575</v>
      </c>
      <c r="H1286" s="13" t="s">
        <v>5066</v>
      </c>
      <c r="I1286" s="13" t="s">
        <v>5065</v>
      </c>
      <c r="J1286" s="13" t="s">
        <v>5064</v>
      </c>
      <c r="K1286" s="13" t="s">
        <v>1952</v>
      </c>
      <c r="L1286" s="13"/>
      <c r="M1286" s="14"/>
      <c r="N1286" s="13"/>
      <c r="O1286" s="13" t="s">
        <v>2028</v>
      </c>
    </row>
    <row r="1287" spans="1:15" ht="19.5" customHeight="1" x14ac:dyDescent="0.25">
      <c r="A1287" s="11" t="s">
        <v>575</v>
      </c>
      <c r="B1287" s="11"/>
      <c r="C1287" s="11" t="s">
        <v>5070</v>
      </c>
      <c r="D1287" s="11" t="s">
        <v>1883</v>
      </c>
      <c r="E1287" s="11" t="s">
        <v>5068</v>
      </c>
      <c r="F1287" s="11" t="s">
        <v>5067</v>
      </c>
      <c r="G1287" s="11" t="s">
        <v>575</v>
      </c>
      <c r="H1287" s="11" t="s">
        <v>5066</v>
      </c>
      <c r="I1287" s="11" t="s">
        <v>5065</v>
      </c>
      <c r="J1287" s="11" t="s">
        <v>5064</v>
      </c>
      <c r="K1287" s="11" t="s">
        <v>1952</v>
      </c>
      <c r="L1287" s="11"/>
      <c r="M1287" s="12"/>
      <c r="N1287" s="11"/>
      <c r="O1287" s="11" t="s">
        <v>2028</v>
      </c>
    </row>
    <row r="1288" spans="1:15" ht="19.5" customHeight="1" x14ac:dyDescent="0.25">
      <c r="A1288" s="13" t="s">
        <v>575</v>
      </c>
      <c r="B1288" s="13"/>
      <c r="C1288" s="13" t="s">
        <v>5069</v>
      </c>
      <c r="D1288" s="13" t="s">
        <v>1883</v>
      </c>
      <c r="E1288" s="13" t="s">
        <v>5068</v>
      </c>
      <c r="F1288" s="13" t="s">
        <v>5067</v>
      </c>
      <c r="G1288" s="13" t="s">
        <v>575</v>
      </c>
      <c r="H1288" s="13" t="s">
        <v>5066</v>
      </c>
      <c r="I1288" s="13" t="s">
        <v>5065</v>
      </c>
      <c r="J1288" s="13" t="s">
        <v>5064</v>
      </c>
      <c r="K1288" s="13" t="s">
        <v>1952</v>
      </c>
      <c r="L1288" s="13"/>
      <c r="M1288" s="14"/>
      <c r="N1288" s="13"/>
      <c r="O1288" s="13" t="s">
        <v>2028</v>
      </c>
    </row>
    <row r="1289" spans="1:15" ht="19.5" customHeight="1" x14ac:dyDescent="0.25">
      <c r="A1289" s="11" t="s">
        <v>577</v>
      </c>
      <c r="B1289" s="11"/>
      <c r="C1289" s="11" t="s">
        <v>5063</v>
      </c>
      <c r="D1289" s="11" t="s">
        <v>1883</v>
      </c>
      <c r="E1289" s="11" t="s">
        <v>5062</v>
      </c>
      <c r="F1289" s="11"/>
      <c r="G1289" s="11" t="s">
        <v>577</v>
      </c>
      <c r="H1289" s="11"/>
      <c r="I1289" s="11" t="s">
        <v>5061</v>
      </c>
      <c r="J1289" s="11" t="s">
        <v>5060</v>
      </c>
      <c r="K1289" s="11" t="s">
        <v>2033</v>
      </c>
      <c r="L1289" s="11"/>
      <c r="M1289" s="12"/>
      <c r="N1289" s="11"/>
      <c r="O1289" s="11" t="s">
        <v>2028</v>
      </c>
    </row>
    <row r="1290" spans="1:15" ht="19.5" customHeight="1" x14ac:dyDescent="0.25">
      <c r="A1290" s="13" t="s">
        <v>579</v>
      </c>
      <c r="B1290" s="13"/>
      <c r="C1290" s="13" t="s">
        <v>5059</v>
      </c>
      <c r="D1290" s="13" t="s">
        <v>1883</v>
      </c>
      <c r="E1290" s="13" t="s">
        <v>5056</v>
      </c>
      <c r="F1290" s="13" t="s">
        <v>5055</v>
      </c>
      <c r="G1290" s="13" t="s">
        <v>579</v>
      </c>
      <c r="H1290" s="13" t="s">
        <v>5054</v>
      </c>
      <c r="I1290" s="13" t="s">
        <v>5053</v>
      </c>
      <c r="J1290" s="13" t="s">
        <v>5052</v>
      </c>
      <c r="K1290" s="13" t="s">
        <v>2033</v>
      </c>
      <c r="L1290" s="13"/>
      <c r="M1290" s="14"/>
      <c r="N1290" s="13"/>
      <c r="O1290" s="13" t="s">
        <v>2028</v>
      </c>
    </row>
    <row r="1291" spans="1:15" ht="19.5" customHeight="1" x14ac:dyDescent="0.25">
      <c r="A1291" s="11" t="s">
        <v>579</v>
      </c>
      <c r="B1291" s="11"/>
      <c r="C1291" s="11" t="s">
        <v>5058</v>
      </c>
      <c r="D1291" s="11" t="s">
        <v>1883</v>
      </c>
      <c r="E1291" s="11" t="s">
        <v>5056</v>
      </c>
      <c r="F1291" s="11" t="s">
        <v>5055</v>
      </c>
      <c r="G1291" s="11" t="s">
        <v>579</v>
      </c>
      <c r="H1291" s="11" t="s">
        <v>5054</v>
      </c>
      <c r="I1291" s="11" t="s">
        <v>5053</v>
      </c>
      <c r="J1291" s="11" t="s">
        <v>5052</v>
      </c>
      <c r="K1291" s="11" t="s">
        <v>2033</v>
      </c>
      <c r="L1291" s="11"/>
      <c r="M1291" s="12"/>
      <c r="N1291" s="11"/>
      <c r="O1291" s="11" t="s">
        <v>2028</v>
      </c>
    </row>
    <row r="1292" spans="1:15" ht="19.5" customHeight="1" x14ac:dyDescent="0.25">
      <c r="A1292" s="13" t="s">
        <v>579</v>
      </c>
      <c r="B1292" s="13"/>
      <c r="C1292" s="13" t="s">
        <v>5057</v>
      </c>
      <c r="D1292" s="13" t="s">
        <v>1883</v>
      </c>
      <c r="E1292" s="13" t="s">
        <v>5056</v>
      </c>
      <c r="F1292" s="13" t="s">
        <v>5055</v>
      </c>
      <c r="G1292" s="13" t="s">
        <v>579</v>
      </c>
      <c r="H1292" s="13" t="s">
        <v>5054</v>
      </c>
      <c r="I1292" s="13" t="s">
        <v>5053</v>
      </c>
      <c r="J1292" s="13" t="s">
        <v>5052</v>
      </c>
      <c r="K1292" s="13" t="s">
        <v>2033</v>
      </c>
      <c r="L1292" s="13"/>
      <c r="M1292" s="14"/>
      <c r="N1292" s="13"/>
      <c r="O1292" s="13" t="s">
        <v>2028</v>
      </c>
    </row>
    <row r="1293" spans="1:15" ht="19.5" customHeight="1" x14ac:dyDescent="0.25">
      <c r="A1293" s="11" t="s">
        <v>1150</v>
      </c>
      <c r="B1293" s="11"/>
      <c r="C1293" s="11" t="s">
        <v>5051</v>
      </c>
      <c r="D1293" s="11" t="s">
        <v>1883</v>
      </c>
      <c r="E1293" s="11" t="s">
        <v>5049</v>
      </c>
      <c r="F1293" s="11"/>
      <c r="G1293" s="11" t="s">
        <v>1150</v>
      </c>
      <c r="H1293" s="11"/>
      <c r="I1293" s="11" t="s">
        <v>5048</v>
      </c>
      <c r="J1293" s="11" t="s">
        <v>5047</v>
      </c>
      <c r="K1293" s="11" t="s">
        <v>1952</v>
      </c>
      <c r="L1293" s="11"/>
      <c r="M1293" s="12"/>
      <c r="N1293" s="11"/>
      <c r="O1293" s="11" t="s">
        <v>1916</v>
      </c>
    </row>
    <row r="1294" spans="1:15" ht="19.5" customHeight="1" x14ac:dyDescent="0.25">
      <c r="A1294" s="13" t="s">
        <v>1150</v>
      </c>
      <c r="B1294" s="13"/>
      <c r="C1294" s="13" t="s">
        <v>5050</v>
      </c>
      <c r="D1294" s="13" t="s">
        <v>1883</v>
      </c>
      <c r="E1294" s="13" t="s">
        <v>5049</v>
      </c>
      <c r="F1294" s="13"/>
      <c r="G1294" s="13" t="s">
        <v>1150</v>
      </c>
      <c r="H1294" s="13"/>
      <c r="I1294" s="13" t="s">
        <v>5048</v>
      </c>
      <c r="J1294" s="13" t="s">
        <v>5047</v>
      </c>
      <c r="K1294" s="13" t="s">
        <v>1952</v>
      </c>
      <c r="L1294" s="13"/>
      <c r="M1294" s="14"/>
      <c r="N1294" s="13"/>
      <c r="O1294" s="13" t="s">
        <v>2028</v>
      </c>
    </row>
    <row r="1295" spans="1:15" ht="19.5" customHeight="1" x14ac:dyDescent="0.25">
      <c r="A1295" s="11" t="s">
        <v>1288</v>
      </c>
      <c r="B1295" s="11"/>
      <c r="C1295" s="11" t="s">
        <v>5046</v>
      </c>
      <c r="D1295" s="11" t="s">
        <v>1883</v>
      </c>
      <c r="E1295" s="11" t="s">
        <v>5045</v>
      </c>
      <c r="F1295" s="11" t="s">
        <v>5044</v>
      </c>
      <c r="G1295" s="11" t="s">
        <v>1288</v>
      </c>
      <c r="H1295" s="11" t="s">
        <v>5043</v>
      </c>
      <c r="I1295" s="11" t="s">
        <v>5042</v>
      </c>
      <c r="J1295" s="11" t="s">
        <v>5041</v>
      </c>
      <c r="K1295" s="11" t="s">
        <v>2033</v>
      </c>
      <c r="L1295" s="11"/>
      <c r="M1295" s="12"/>
      <c r="N1295" s="11"/>
      <c r="O1295" s="11" t="s">
        <v>2028</v>
      </c>
    </row>
    <row r="1296" spans="1:15" ht="19.5" customHeight="1" x14ac:dyDescent="0.25">
      <c r="A1296" s="13" t="s">
        <v>581</v>
      </c>
      <c r="B1296" s="13"/>
      <c r="C1296" s="13" t="s">
        <v>5040</v>
      </c>
      <c r="D1296" s="13" t="s">
        <v>1883</v>
      </c>
      <c r="E1296" s="13" t="s">
        <v>5037</v>
      </c>
      <c r="F1296" s="13" t="s">
        <v>5036</v>
      </c>
      <c r="G1296" s="13" t="s">
        <v>581</v>
      </c>
      <c r="H1296" s="13" t="s">
        <v>5035</v>
      </c>
      <c r="I1296" s="13" t="s">
        <v>5034</v>
      </c>
      <c r="J1296" s="13" t="s">
        <v>5033</v>
      </c>
      <c r="K1296" s="13" t="s">
        <v>1952</v>
      </c>
      <c r="L1296" s="13"/>
      <c r="M1296" s="14"/>
      <c r="N1296" s="13"/>
      <c r="O1296" s="13" t="s">
        <v>2028</v>
      </c>
    </row>
    <row r="1297" spans="1:15" ht="19.5" customHeight="1" x14ac:dyDescent="0.25">
      <c r="A1297" s="11" t="s">
        <v>581</v>
      </c>
      <c r="B1297" s="11"/>
      <c r="C1297" s="11" t="s">
        <v>5039</v>
      </c>
      <c r="D1297" s="11" t="s">
        <v>1883</v>
      </c>
      <c r="E1297" s="11" t="s">
        <v>5037</v>
      </c>
      <c r="F1297" s="11" t="s">
        <v>5036</v>
      </c>
      <c r="G1297" s="11" t="s">
        <v>581</v>
      </c>
      <c r="H1297" s="11" t="s">
        <v>5035</v>
      </c>
      <c r="I1297" s="11" t="s">
        <v>5034</v>
      </c>
      <c r="J1297" s="11" t="s">
        <v>5033</v>
      </c>
      <c r="K1297" s="11" t="s">
        <v>1952</v>
      </c>
      <c r="L1297" s="11"/>
      <c r="M1297" s="12"/>
      <c r="N1297" s="11"/>
      <c r="O1297" s="11" t="s">
        <v>2028</v>
      </c>
    </row>
    <row r="1298" spans="1:15" ht="19.5" customHeight="1" x14ac:dyDescent="0.25">
      <c r="A1298" s="13" t="s">
        <v>581</v>
      </c>
      <c r="B1298" s="13"/>
      <c r="C1298" s="13" t="s">
        <v>5038</v>
      </c>
      <c r="D1298" s="13" t="s">
        <v>1883</v>
      </c>
      <c r="E1298" s="13" t="s">
        <v>5037</v>
      </c>
      <c r="F1298" s="13" t="s">
        <v>5036</v>
      </c>
      <c r="G1298" s="13" t="s">
        <v>581</v>
      </c>
      <c r="H1298" s="13" t="s">
        <v>5035</v>
      </c>
      <c r="I1298" s="13" t="s">
        <v>5034</v>
      </c>
      <c r="J1298" s="13" t="s">
        <v>5033</v>
      </c>
      <c r="K1298" s="13" t="s">
        <v>1952</v>
      </c>
      <c r="L1298" s="13"/>
      <c r="M1298" s="14"/>
      <c r="N1298" s="13"/>
      <c r="O1298" s="13" t="s">
        <v>2028</v>
      </c>
    </row>
    <row r="1299" spans="1:15" ht="19.5" customHeight="1" x14ac:dyDescent="0.25">
      <c r="A1299" s="11" t="s">
        <v>5032</v>
      </c>
      <c r="B1299" s="11"/>
      <c r="C1299" s="11" t="s">
        <v>5031</v>
      </c>
      <c r="D1299" s="11" t="s">
        <v>1883</v>
      </c>
      <c r="E1299" s="11" t="s">
        <v>5030</v>
      </c>
      <c r="F1299" s="11"/>
      <c r="G1299" s="11" t="s">
        <v>5029</v>
      </c>
      <c r="H1299" s="11"/>
      <c r="I1299" s="11" t="s">
        <v>5028</v>
      </c>
      <c r="J1299" s="11" t="s">
        <v>5027</v>
      </c>
      <c r="K1299" s="11" t="s">
        <v>3599</v>
      </c>
      <c r="L1299" s="11"/>
      <c r="M1299" s="12"/>
      <c r="N1299" s="11"/>
      <c r="O1299" s="11" t="s">
        <v>2028</v>
      </c>
    </row>
    <row r="1300" spans="1:15" ht="19.5" customHeight="1" x14ac:dyDescent="0.25">
      <c r="A1300" s="13" t="s">
        <v>1245</v>
      </c>
      <c r="B1300" s="13"/>
      <c r="C1300" s="13" t="s">
        <v>5026</v>
      </c>
      <c r="D1300" s="13" t="s">
        <v>1883</v>
      </c>
      <c r="E1300" s="13" t="s">
        <v>5025</v>
      </c>
      <c r="F1300" s="13"/>
      <c r="G1300" s="13" t="s">
        <v>1245</v>
      </c>
      <c r="H1300" s="13"/>
      <c r="I1300" s="13"/>
      <c r="J1300" s="13"/>
      <c r="K1300" s="13" t="s">
        <v>2033</v>
      </c>
      <c r="L1300" s="13"/>
      <c r="M1300" s="14"/>
      <c r="N1300" s="13"/>
      <c r="O1300" s="13" t="s">
        <v>2028</v>
      </c>
    </row>
    <row r="1301" spans="1:15" ht="19.5" customHeight="1" x14ac:dyDescent="0.25">
      <c r="A1301" s="11" t="s">
        <v>1310</v>
      </c>
      <c r="B1301" s="11"/>
      <c r="C1301" s="11" t="s">
        <v>5024</v>
      </c>
      <c r="D1301" s="11" t="s">
        <v>1883</v>
      </c>
      <c r="E1301" s="11" t="s">
        <v>5023</v>
      </c>
      <c r="F1301" s="11" t="s">
        <v>5022</v>
      </c>
      <c r="G1301" s="11" t="s">
        <v>1310</v>
      </c>
      <c r="H1301" s="11" t="s">
        <v>5021</v>
      </c>
      <c r="I1301" s="11" t="s">
        <v>5020</v>
      </c>
      <c r="J1301" s="11" t="s">
        <v>5019</v>
      </c>
      <c r="K1301" s="11" t="s">
        <v>2033</v>
      </c>
      <c r="L1301" s="11"/>
      <c r="M1301" s="12"/>
      <c r="N1301" s="11"/>
      <c r="O1301" s="11" t="s">
        <v>2028</v>
      </c>
    </row>
    <row r="1302" spans="1:15" ht="19.5" customHeight="1" x14ac:dyDescent="0.25">
      <c r="A1302" s="13" t="s">
        <v>1815</v>
      </c>
      <c r="B1302" s="13"/>
      <c r="C1302" s="13" t="s">
        <v>1814</v>
      </c>
      <c r="D1302" s="13" t="s">
        <v>1883</v>
      </c>
      <c r="E1302" s="13" t="s">
        <v>5018</v>
      </c>
      <c r="F1302" s="13" t="s">
        <v>5017</v>
      </c>
      <c r="G1302" s="13" t="s">
        <v>1815</v>
      </c>
      <c r="H1302" s="13"/>
      <c r="I1302" s="13" t="s">
        <v>5016</v>
      </c>
      <c r="J1302" s="13" t="s">
        <v>5015</v>
      </c>
      <c r="K1302" s="13" t="s">
        <v>4943</v>
      </c>
      <c r="L1302" s="13"/>
      <c r="M1302" s="14"/>
      <c r="N1302" s="13"/>
      <c r="O1302" s="13" t="s">
        <v>1877</v>
      </c>
    </row>
    <row r="1303" spans="1:15" ht="19.5" customHeight="1" x14ac:dyDescent="0.25">
      <c r="A1303" s="11" t="s">
        <v>583</v>
      </c>
      <c r="B1303" s="11"/>
      <c r="C1303" s="11" t="s">
        <v>5014</v>
      </c>
      <c r="D1303" s="11" t="s">
        <v>1883</v>
      </c>
      <c r="E1303" s="11" t="s">
        <v>5013</v>
      </c>
      <c r="F1303" s="11" t="s">
        <v>5012</v>
      </c>
      <c r="G1303" s="11" t="s">
        <v>583</v>
      </c>
      <c r="H1303" s="11"/>
      <c r="I1303" s="11" t="s">
        <v>5011</v>
      </c>
      <c r="J1303" s="16" t="s">
        <v>5010</v>
      </c>
      <c r="K1303" s="11" t="s">
        <v>5009</v>
      </c>
      <c r="L1303" s="11"/>
      <c r="M1303" s="12"/>
      <c r="N1303" s="11"/>
      <c r="O1303" s="11" t="s">
        <v>2028</v>
      </c>
    </row>
    <row r="1304" spans="1:15" ht="19.5" customHeight="1" x14ac:dyDescent="0.25">
      <c r="A1304" s="13" t="s">
        <v>5003</v>
      </c>
      <c r="B1304" s="13"/>
      <c r="C1304" s="13" t="s">
        <v>5008</v>
      </c>
      <c r="D1304" s="13" t="s">
        <v>1883</v>
      </c>
      <c r="E1304" s="13" t="s">
        <v>5005</v>
      </c>
      <c r="F1304" s="13" t="s">
        <v>5004</v>
      </c>
      <c r="G1304" s="13" t="s">
        <v>5003</v>
      </c>
      <c r="H1304" s="13" t="s">
        <v>5002</v>
      </c>
      <c r="I1304" s="13" t="s">
        <v>5001</v>
      </c>
      <c r="J1304" s="13" t="s">
        <v>5000</v>
      </c>
      <c r="K1304" s="13" t="s">
        <v>3599</v>
      </c>
      <c r="L1304" s="13"/>
      <c r="M1304" s="14"/>
      <c r="N1304" s="13"/>
      <c r="O1304" s="13" t="s">
        <v>2028</v>
      </c>
    </row>
    <row r="1305" spans="1:15" ht="19.5" customHeight="1" x14ac:dyDescent="0.25">
      <c r="A1305" s="11" t="s">
        <v>5003</v>
      </c>
      <c r="B1305" s="11"/>
      <c r="C1305" s="11" t="s">
        <v>5007</v>
      </c>
      <c r="D1305" s="11" t="s">
        <v>1883</v>
      </c>
      <c r="E1305" s="11" t="s">
        <v>5005</v>
      </c>
      <c r="F1305" s="11" t="s">
        <v>5004</v>
      </c>
      <c r="G1305" s="11" t="s">
        <v>5003</v>
      </c>
      <c r="H1305" s="11" t="s">
        <v>5002</v>
      </c>
      <c r="I1305" s="11" t="s">
        <v>5001</v>
      </c>
      <c r="J1305" s="11" t="s">
        <v>5000</v>
      </c>
      <c r="K1305" s="11" t="s">
        <v>3599</v>
      </c>
      <c r="L1305" s="11"/>
      <c r="M1305" s="12"/>
      <c r="N1305" s="11"/>
      <c r="O1305" s="11" t="s">
        <v>2028</v>
      </c>
    </row>
    <row r="1306" spans="1:15" ht="19.5" customHeight="1" x14ac:dyDescent="0.25">
      <c r="A1306" s="13" t="s">
        <v>5003</v>
      </c>
      <c r="B1306" s="13"/>
      <c r="C1306" s="13" t="s">
        <v>5006</v>
      </c>
      <c r="D1306" s="13" t="s">
        <v>1883</v>
      </c>
      <c r="E1306" s="13" t="s">
        <v>5005</v>
      </c>
      <c r="F1306" s="13" t="s">
        <v>5004</v>
      </c>
      <c r="G1306" s="13" t="s">
        <v>5003</v>
      </c>
      <c r="H1306" s="13" t="s">
        <v>5002</v>
      </c>
      <c r="I1306" s="13" t="s">
        <v>5001</v>
      </c>
      <c r="J1306" s="13" t="s">
        <v>5000</v>
      </c>
      <c r="K1306" s="13" t="s">
        <v>3599</v>
      </c>
      <c r="L1306" s="13"/>
      <c r="M1306" s="14"/>
      <c r="N1306" s="13"/>
      <c r="O1306" s="13" t="s">
        <v>2028</v>
      </c>
    </row>
    <row r="1307" spans="1:15" ht="19.5" customHeight="1" x14ac:dyDescent="0.25">
      <c r="A1307" s="11" t="s">
        <v>585</v>
      </c>
      <c r="B1307" s="11"/>
      <c r="C1307" s="11" t="s">
        <v>4999</v>
      </c>
      <c r="D1307" s="11" t="s">
        <v>1883</v>
      </c>
      <c r="E1307" s="11" t="s">
        <v>4996</v>
      </c>
      <c r="F1307" s="11" t="s">
        <v>4995</v>
      </c>
      <c r="G1307" s="11" t="s">
        <v>585</v>
      </c>
      <c r="H1307" s="11" t="s">
        <v>4994</v>
      </c>
      <c r="I1307" s="11" t="s">
        <v>4993</v>
      </c>
      <c r="J1307" s="11" t="s">
        <v>4992</v>
      </c>
      <c r="K1307" s="11" t="s">
        <v>2033</v>
      </c>
      <c r="L1307" s="11"/>
      <c r="M1307" s="12"/>
      <c r="N1307" s="11"/>
      <c r="O1307" s="11" t="s">
        <v>2028</v>
      </c>
    </row>
    <row r="1308" spans="1:15" ht="19.5" customHeight="1" x14ac:dyDescent="0.25">
      <c r="A1308" s="13" t="s">
        <v>585</v>
      </c>
      <c r="B1308" s="13"/>
      <c r="C1308" s="13" t="s">
        <v>4998</v>
      </c>
      <c r="D1308" s="13" t="s">
        <v>1883</v>
      </c>
      <c r="E1308" s="13" t="s">
        <v>4996</v>
      </c>
      <c r="F1308" s="13" t="s">
        <v>4995</v>
      </c>
      <c r="G1308" s="13" t="s">
        <v>585</v>
      </c>
      <c r="H1308" s="13" t="s">
        <v>4994</v>
      </c>
      <c r="I1308" s="13" t="s">
        <v>4993</v>
      </c>
      <c r="J1308" s="13" t="s">
        <v>4992</v>
      </c>
      <c r="K1308" s="13" t="s">
        <v>2033</v>
      </c>
      <c r="L1308" s="13"/>
      <c r="M1308" s="14"/>
      <c r="N1308" s="13"/>
      <c r="O1308" s="13" t="s">
        <v>2028</v>
      </c>
    </row>
    <row r="1309" spans="1:15" ht="19.5" customHeight="1" x14ac:dyDescent="0.25">
      <c r="A1309" s="11" t="s">
        <v>585</v>
      </c>
      <c r="B1309" s="11"/>
      <c r="C1309" s="11" t="s">
        <v>4997</v>
      </c>
      <c r="D1309" s="11" t="s">
        <v>1883</v>
      </c>
      <c r="E1309" s="11" t="s">
        <v>4996</v>
      </c>
      <c r="F1309" s="11" t="s">
        <v>4995</v>
      </c>
      <c r="G1309" s="11" t="s">
        <v>585</v>
      </c>
      <c r="H1309" s="11" t="s">
        <v>4994</v>
      </c>
      <c r="I1309" s="11" t="s">
        <v>4993</v>
      </c>
      <c r="J1309" s="11" t="s">
        <v>4992</v>
      </c>
      <c r="K1309" s="11" t="s">
        <v>2033</v>
      </c>
      <c r="L1309" s="11"/>
      <c r="M1309" s="12"/>
      <c r="N1309" s="11"/>
      <c r="O1309" s="11" t="s">
        <v>2028</v>
      </c>
    </row>
    <row r="1310" spans="1:15" ht="19.5" customHeight="1" x14ac:dyDescent="0.25">
      <c r="A1310" s="13" t="s">
        <v>1635</v>
      </c>
      <c r="B1310" s="13"/>
      <c r="C1310" s="13" t="s">
        <v>4983</v>
      </c>
      <c r="D1310" s="13" t="s">
        <v>1883</v>
      </c>
      <c r="E1310" s="13" t="s">
        <v>4982</v>
      </c>
      <c r="F1310" s="13"/>
      <c r="G1310" s="13" t="s">
        <v>1635</v>
      </c>
      <c r="H1310" s="13"/>
      <c r="I1310" s="13" t="s">
        <v>4981</v>
      </c>
      <c r="J1310" s="13" t="s">
        <v>4980</v>
      </c>
      <c r="K1310" s="13" t="s">
        <v>3599</v>
      </c>
      <c r="L1310" s="13"/>
      <c r="M1310" s="14"/>
      <c r="N1310" s="13"/>
      <c r="O1310" s="13" t="s">
        <v>2028</v>
      </c>
    </row>
    <row r="1311" spans="1:15" ht="19.5" customHeight="1" x14ac:dyDescent="0.25">
      <c r="A1311" s="11" t="s">
        <v>1072</v>
      </c>
      <c r="B1311" s="11"/>
      <c r="C1311" s="11" t="s">
        <v>4979</v>
      </c>
      <c r="D1311" s="11" t="s">
        <v>1883</v>
      </c>
      <c r="E1311" s="11" t="s">
        <v>4978</v>
      </c>
      <c r="F1311" s="11"/>
      <c r="G1311" s="11" t="s">
        <v>1072</v>
      </c>
      <c r="H1311" s="11"/>
      <c r="I1311" s="11" t="s">
        <v>4977</v>
      </c>
      <c r="J1311" s="11" t="s">
        <v>4976</v>
      </c>
      <c r="K1311" s="11" t="s">
        <v>2033</v>
      </c>
      <c r="L1311" s="11"/>
      <c r="M1311" s="12"/>
      <c r="N1311" s="11"/>
      <c r="O1311" s="11" t="s">
        <v>2028</v>
      </c>
    </row>
    <row r="1312" spans="1:15" ht="19.5" customHeight="1" x14ac:dyDescent="0.25">
      <c r="A1312" s="13" t="s">
        <v>1789</v>
      </c>
      <c r="B1312" s="13"/>
      <c r="C1312" s="13" t="s">
        <v>4975</v>
      </c>
      <c r="D1312" s="13" t="s">
        <v>1883</v>
      </c>
      <c r="E1312" s="13" t="s">
        <v>4973</v>
      </c>
      <c r="F1312" s="13"/>
      <c r="G1312" s="13" t="s">
        <v>1789</v>
      </c>
      <c r="H1312" s="13"/>
      <c r="I1312" s="13" t="s">
        <v>4972</v>
      </c>
      <c r="J1312" s="13" t="s">
        <v>4971</v>
      </c>
      <c r="K1312" s="13" t="s">
        <v>2033</v>
      </c>
      <c r="L1312" s="13"/>
      <c r="M1312" s="14"/>
      <c r="N1312" s="13"/>
      <c r="O1312" s="13" t="s">
        <v>2028</v>
      </c>
    </row>
    <row r="1313" spans="1:15" ht="19.5" customHeight="1" x14ac:dyDescent="0.25">
      <c r="A1313" s="11" t="s">
        <v>1789</v>
      </c>
      <c r="B1313" s="11"/>
      <c r="C1313" s="11" t="s">
        <v>4974</v>
      </c>
      <c r="D1313" s="11" t="s">
        <v>1883</v>
      </c>
      <c r="E1313" s="11" t="s">
        <v>4973</v>
      </c>
      <c r="F1313" s="11"/>
      <c r="G1313" s="11" t="s">
        <v>1789</v>
      </c>
      <c r="H1313" s="11"/>
      <c r="I1313" s="11" t="s">
        <v>4972</v>
      </c>
      <c r="J1313" s="11" t="s">
        <v>4971</v>
      </c>
      <c r="K1313" s="11" t="s">
        <v>2033</v>
      </c>
      <c r="L1313" s="11"/>
      <c r="M1313" s="12"/>
      <c r="N1313" s="11"/>
      <c r="O1313" s="11" t="s">
        <v>2028</v>
      </c>
    </row>
    <row r="1314" spans="1:15" ht="19.5" customHeight="1" x14ac:dyDescent="0.25">
      <c r="A1314" s="13" t="s">
        <v>587</v>
      </c>
      <c r="B1314" s="13"/>
      <c r="C1314" s="13" t="s">
        <v>4970</v>
      </c>
      <c r="D1314" s="13" t="s">
        <v>1883</v>
      </c>
      <c r="E1314" s="13" t="s">
        <v>4967</v>
      </c>
      <c r="F1314" s="13" t="s">
        <v>4966</v>
      </c>
      <c r="G1314" s="13" t="s">
        <v>587</v>
      </c>
      <c r="H1314" s="13" t="s">
        <v>4965</v>
      </c>
      <c r="I1314" s="13" t="s">
        <v>4964</v>
      </c>
      <c r="J1314" s="13" t="s">
        <v>4963</v>
      </c>
      <c r="K1314" s="13" t="s">
        <v>2033</v>
      </c>
      <c r="L1314" s="13"/>
      <c r="M1314" s="14"/>
      <c r="N1314" s="13"/>
      <c r="O1314" s="13" t="s">
        <v>2028</v>
      </c>
    </row>
    <row r="1315" spans="1:15" ht="19.5" customHeight="1" x14ac:dyDescent="0.25">
      <c r="A1315" s="11" t="s">
        <v>587</v>
      </c>
      <c r="B1315" s="11"/>
      <c r="C1315" s="11" t="s">
        <v>4969</v>
      </c>
      <c r="D1315" s="11" t="s">
        <v>1883</v>
      </c>
      <c r="E1315" s="11" t="s">
        <v>4967</v>
      </c>
      <c r="F1315" s="11" t="s">
        <v>4966</v>
      </c>
      <c r="G1315" s="11" t="s">
        <v>587</v>
      </c>
      <c r="H1315" s="11" t="s">
        <v>4965</v>
      </c>
      <c r="I1315" s="11" t="s">
        <v>4964</v>
      </c>
      <c r="J1315" s="11" t="s">
        <v>4963</v>
      </c>
      <c r="K1315" s="11" t="s">
        <v>2033</v>
      </c>
      <c r="L1315" s="11"/>
      <c r="M1315" s="12"/>
      <c r="N1315" s="11"/>
      <c r="O1315" s="11" t="s">
        <v>2028</v>
      </c>
    </row>
    <row r="1316" spans="1:15" ht="19.5" customHeight="1" x14ac:dyDescent="0.25">
      <c r="A1316" s="13" t="s">
        <v>587</v>
      </c>
      <c r="B1316" s="13"/>
      <c r="C1316" s="13" t="s">
        <v>4968</v>
      </c>
      <c r="D1316" s="13" t="s">
        <v>1883</v>
      </c>
      <c r="E1316" s="13" t="s">
        <v>4967</v>
      </c>
      <c r="F1316" s="13" t="s">
        <v>4966</v>
      </c>
      <c r="G1316" s="13" t="s">
        <v>587</v>
      </c>
      <c r="H1316" s="13" t="s">
        <v>4965</v>
      </c>
      <c r="I1316" s="13" t="s">
        <v>4964</v>
      </c>
      <c r="J1316" s="13" t="s">
        <v>4963</v>
      </c>
      <c r="K1316" s="13" t="s">
        <v>2033</v>
      </c>
      <c r="L1316" s="13"/>
      <c r="M1316" s="14"/>
      <c r="N1316" s="13"/>
      <c r="O1316" s="13" t="s">
        <v>2028</v>
      </c>
    </row>
    <row r="1317" spans="1:15" ht="19.5" customHeight="1" x14ac:dyDescent="0.25">
      <c r="A1317" s="11" t="s">
        <v>4957</v>
      </c>
      <c r="B1317" s="11"/>
      <c r="C1317" s="11" t="s">
        <v>4962</v>
      </c>
      <c r="D1317" s="11" t="s">
        <v>1883</v>
      </c>
      <c r="E1317" s="11" t="s">
        <v>4959</v>
      </c>
      <c r="F1317" s="11" t="s">
        <v>4958</v>
      </c>
      <c r="G1317" s="11" t="s">
        <v>4957</v>
      </c>
      <c r="H1317" s="11" t="s">
        <v>4956</v>
      </c>
      <c r="I1317" s="11" t="s">
        <v>4955</v>
      </c>
      <c r="J1317" s="11" t="s">
        <v>4954</v>
      </c>
      <c r="K1317" s="11" t="s">
        <v>3599</v>
      </c>
      <c r="L1317" s="11"/>
      <c r="M1317" s="12"/>
      <c r="N1317" s="11"/>
      <c r="O1317" s="11" t="s">
        <v>2028</v>
      </c>
    </row>
    <row r="1318" spans="1:15" ht="19.5" customHeight="1" x14ac:dyDescent="0.25">
      <c r="A1318" s="13" t="s">
        <v>4957</v>
      </c>
      <c r="B1318" s="13"/>
      <c r="C1318" s="13" t="s">
        <v>4961</v>
      </c>
      <c r="D1318" s="13" t="s">
        <v>1883</v>
      </c>
      <c r="E1318" s="13" t="s">
        <v>4959</v>
      </c>
      <c r="F1318" s="13" t="s">
        <v>4958</v>
      </c>
      <c r="G1318" s="13" t="s">
        <v>4957</v>
      </c>
      <c r="H1318" s="13" t="s">
        <v>4956</v>
      </c>
      <c r="I1318" s="13" t="s">
        <v>4955</v>
      </c>
      <c r="J1318" s="13" t="s">
        <v>4954</v>
      </c>
      <c r="K1318" s="13" t="s">
        <v>3599</v>
      </c>
      <c r="L1318" s="13"/>
      <c r="M1318" s="14"/>
      <c r="N1318" s="13"/>
      <c r="O1318" s="13" t="s">
        <v>2028</v>
      </c>
    </row>
    <row r="1319" spans="1:15" ht="19.5" customHeight="1" x14ac:dyDescent="0.25">
      <c r="A1319" s="11" t="s">
        <v>4957</v>
      </c>
      <c r="B1319" s="11"/>
      <c r="C1319" s="11" t="s">
        <v>4960</v>
      </c>
      <c r="D1319" s="11" t="s">
        <v>1883</v>
      </c>
      <c r="E1319" s="11" t="s">
        <v>4959</v>
      </c>
      <c r="F1319" s="11" t="s">
        <v>4958</v>
      </c>
      <c r="G1319" s="11" t="s">
        <v>4957</v>
      </c>
      <c r="H1319" s="11" t="s">
        <v>4956</v>
      </c>
      <c r="I1319" s="11" t="s">
        <v>4955</v>
      </c>
      <c r="J1319" s="11" t="s">
        <v>4954</v>
      </c>
      <c r="K1319" s="11" t="s">
        <v>3599</v>
      </c>
      <c r="L1319" s="11"/>
      <c r="M1319" s="12"/>
      <c r="N1319" s="11"/>
      <c r="O1319" s="11" t="s">
        <v>2028</v>
      </c>
    </row>
    <row r="1320" spans="1:15" ht="19.5" customHeight="1" x14ac:dyDescent="0.25">
      <c r="A1320" s="13" t="s">
        <v>1857</v>
      </c>
      <c r="B1320" s="13"/>
      <c r="C1320" s="13" t="s">
        <v>4952</v>
      </c>
      <c r="D1320" s="13" t="s">
        <v>1883</v>
      </c>
      <c r="E1320" s="13" t="s">
        <v>4951</v>
      </c>
      <c r="F1320" s="13" t="s">
        <v>4950</v>
      </c>
      <c r="G1320" s="13" t="s">
        <v>1857</v>
      </c>
      <c r="H1320" s="13"/>
      <c r="I1320" s="13" t="s">
        <v>4949</v>
      </c>
      <c r="J1320" s="13" t="s">
        <v>4948</v>
      </c>
      <c r="K1320" s="13" t="s">
        <v>1952</v>
      </c>
      <c r="L1320" s="13"/>
      <c r="M1320" s="14"/>
      <c r="N1320" s="13"/>
      <c r="O1320" s="13"/>
    </row>
    <row r="1321" spans="1:15" ht="19.5" customHeight="1" x14ac:dyDescent="0.25">
      <c r="A1321" s="11" t="s">
        <v>1857</v>
      </c>
      <c r="B1321" s="11"/>
      <c r="C1321" s="11" t="s">
        <v>4953</v>
      </c>
      <c r="D1321" s="11" t="s">
        <v>1883</v>
      </c>
      <c r="E1321" s="11" t="s">
        <v>4951</v>
      </c>
      <c r="F1321" s="11" t="s">
        <v>4950</v>
      </c>
      <c r="G1321" s="11" t="s">
        <v>1857</v>
      </c>
      <c r="H1321" s="11"/>
      <c r="I1321" s="11" t="s">
        <v>4949</v>
      </c>
      <c r="J1321" s="11" t="s">
        <v>4948</v>
      </c>
      <c r="K1321" s="11" t="s">
        <v>1952</v>
      </c>
      <c r="L1321" s="11"/>
      <c r="M1321" s="12"/>
      <c r="N1321" s="11"/>
      <c r="O1321" s="11"/>
    </row>
    <row r="1322" spans="1:15" ht="19.5" customHeight="1" x14ac:dyDescent="0.25">
      <c r="A1322" s="13" t="s">
        <v>590</v>
      </c>
      <c r="B1322" s="13"/>
      <c r="C1322" s="13" t="s">
        <v>4947</v>
      </c>
      <c r="D1322" s="13" t="s">
        <v>1883</v>
      </c>
      <c r="E1322" s="13" t="s">
        <v>4946</v>
      </c>
      <c r="F1322" s="13"/>
      <c r="G1322" s="13" t="s">
        <v>590</v>
      </c>
      <c r="H1322" s="13"/>
      <c r="I1322" s="13" t="s">
        <v>4945</v>
      </c>
      <c r="J1322" s="13" t="s">
        <v>4944</v>
      </c>
      <c r="K1322" s="13" t="s">
        <v>4943</v>
      </c>
      <c r="L1322" s="13"/>
      <c r="M1322" s="14"/>
      <c r="N1322" s="13"/>
      <c r="O1322" s="13" t="s">
        <v>2028</v>
      </c>
    </row>
    <row r="1323" spans="1:15" ht="19.5" customHeight="1" x14ac:dyDescent="0.25">
      <c r="A1323" s="11" t="s">
        <v>592</v>
      </c>
      <c r="B1323" s="11"/>
      <c r="C1323" s="11" t="s">
        <v>4942</v>
      </c>
      <c r="D1323" s="11" t="s">
        <v>1883</v>
      </c>
      <c r="E1323" s="11" t="s">
        <v>4939</v>
      </c>
      <c r="F1323" s="11" t="s">
        <v>4938</v>
      </c>
      <c r="G1323" s="11" t="s">
        <v>592</v>
      </c>
      <c r="H1323" s="11" t="s">
        <v>4937</v>
      </c>
      <c r="I1323" s="11" t="s">
        <v>4936</v>
      </c>
      <c r="J1323" s="11" t="s">
        <v>4935</v>
      </c>
      <c r="K1323" s="11" t="s">
        <v>2033</v>
      </c>
      <c r="L1323" s="11"/>
      <c r="M1323" s="12"/>
      <c r="N1323" s="11"/>
      <c r="O1323" s="11" t="s">
        <v>2028</v>
      </c>
    </row>
    <row r="1324" spans="1:15" ht="19.5" customHeight="1" x14ac:dyDescent="0.25">
      <c r="A1324" s="13" t="s">
        <v>592</v>
      </c>
      <c r="B1324" s="13"/>
      <c r="C1324" s="13" t="s">
        <v>4941</v>
      </c>
      <c r="D1324" s="13" t="s">
        <v>1883</v>
      </c>
      <c r="E1324" s="13" t="s">
        <v>4939</v>
      </c>
      <c r="F1324" s="13" t="s">
        <v>4938</v>
      </c>
      <c r="G1324" s="13" t="s">
        <v>592</v>
      </c>
      <c r="H1324" s="13" t="s">
        <v>4937</v>
      </c>
      <c r="I1324" s="13" t="s">
        <v>4936</v>
      </c>
      <c r="J1324" s="13" t="s">
        <v>4935</v>
      </c>
      <c r="K1324" s="13" t="s">
        <v>2033</v>
      </c>
      <c r="L1324" s="13"/>
      <c r="M1324" s="14"/>
      <c r="N1324" s="13"/>
      <c r="O1324" s="13" t="s">
        <v>2028</v>
      </c>
    </row>
    <row r="1325" spans="1:15" ht="19.5" customHeight="1" x14ac:dyDescent="0.25">
      <c r="A1325" s="11" t="s">
        <v>592</v>
      </c>
      <c r="B1325" s="11"/>
      <c r="C1325" s="11" t="s">
        <v>4940</v>
      </c>
      <c r="D1325" s="11" t="s">
        <v>1883</v>
      </c>
      <c r="E1325" s="11" t="s">
        <v>4939</v>
      </c>
      <c r="F1325" s="11" t="s">
        <v>4938</v>
      </c>
      <c r="G1325" s="11" t="s">
        <v>592</v>
      </c>
      <c r="H1325" s="11" t="s">
        <v>4937</v>
      </c>
      <c r="I1325" s="11" t="s">
        <v>4936</v>
      </c>
      <c r="J1325" s="11" t="s">
        <v>4935</v>
      </c>
      <c r="K1325" s="11" t="s">
        <v>2033</v>
      </c>
      <c r="L1325" s="11"/>
      <c r="M1325" s="12"/>
      <c r="N1325" s="11"/>
      <c r="O1325" s="11" t="s">
        <v>2028</v>
      </c>
    </row>
    <row r="1326" spans="1:15" ht="19.5" customHeight="1" x14ac:dyDescent="0.25">
      <c r="A1326" s="13" t="s">
        <v>594</v>
      </c>
      <c r="B1326" s="13"/>
      <c r="C1326" s="13" t="s">
        <v>4934</v>
      </c>
      <c r="D1326" s="13" t="s">
        <v>1883</v>
      </c>
      <c r="E1326" s="13" t="s">
        <v>4933</v>
      </c>
      <c r="F1326" s="13" t="s">
        <v>4932</v>
      </c>
      <c r="G1326" s="13" t="s">
        <v>594</v>
      </c>
      <c r="H1326" s="13" t="s">
        <v>4931</v>
      </c>
      <c r="I1326" s="13" t="s">
        <v>4930</v>
      </c>
      <c r="J1326" s="13" t="s">
        <v>4929</v>
      </c>
      <c r="K1326" s="13" t="s">
        <v>2033</v>
      </c>
      <c r="L1326" s="13"/>
      <c r="M1326" s="14"/>
      <c r="N1326" s="13"/>
      <c r="O1326" s="13" t="s">
        <v>2028</v>
      </c>
    </row>
    <row r="1327" spans="1:15" ht="19.5" customHeight="1" x14ac:dyDescent="0.25">
      <c r="A1327" s="11" t="s">
        <v>1316</v>
      </c>
      <c r="B1327" s="11"/>
      <c r="C1327" s="11" t="s">
        <v>4928</v>
      </c>
      <c r="D1327" s="11" t="s">
        <v>1883</v>
      </c>
      <c r="E1327" s="11" t="s">
        <v>4927</v>
      </c>
      <c r="F1327" s="11"/>
      <c r="G1327" s="11" t="s">
        <v>1316</v>
      </c>
      <c r="H1327" s="11"/>
      <c r="I1327" s="11" t="s">
        <v>4926</v>
      </c>
      <c r="J1327" s="11" t="s">
        <v>4925</v>
      </c>
      <c r="K1327" s="11" t="s">
        <v>3599</v>
      </c>
      <c r="L1327" s="11"/>
      <c r="M1327" s="12"/>
      <c r="N1327" s="11"/>
      <c r="O1327" s="11" t="s">
        <v>2028</v>
      </c>
    </row>
    <row r="1328" spans="1:15" ht="19.5" customHeight="1" x14ac:dyDescent="0.25">
      <c r="A1328" s="13" t="s">
        <v>596</v>
      </c>
      <c r="B1328" s="13"/>
      <c r="C1328" s="13" t="s">
        <v>4924</v>
      </c>
      <c r="D1328" s="13" t="s">
        <v>1883</v>
      </c>
      <c r="E1328" s="13" t="s">
        <v>4921</v>
      </c>
      <c r="F1328" s="13" t="s">
        <v>4920</v>
      </c>
      <c r="G1328" s="13" t="s">
        <v>596</v>
      </c>
      <c r="H1328" s="13"/>
      <c r="I1328" s="13" t="s">
        <v>4919</v>
      </c>
      <c r="J1328" s="13" t="s">
        <v>4918</v>
      </c>
      <c r="K1328" s="13" t="s">
        <v>2033</v>
      </c>
      <c r="L1328" s="13"/>
      <c r="M1328" s="14"/>
      <c r="N1328" s="13"/>
      <c r="O1328" s="13" t="s">
        <v>2028</v>
      </c>
    </row>
    <row r="1329" spans="1:15" ht="19.5" customHeight="1" x14ac:dyDescent="0.25">
      <c r="A1329" s="11" t="s">
        <v>596</v>
      </c>
      <c r="B1329" s="11"/>
      <c r="C1329" s="11" t="s">
        <v>4923</v>
      </c>
      <c r="D1329" s="11" t="s">
        <v>1883</v>
      </c>
      <c r="E1329" s="11" t="s">
        <v>4921</v>
      </c>
      <c r="F1329" s="11" t="s">
        <v>4920</v>
      </c>
      <c r="G1329" s="11" t="s">
        <v>596</v>
      </c>
      <c r="H1329" s="11"/>
      <c r="I1329" s="11" t="s">
        <v>4919</v>
      </c>
      <c r="J1329" s="11" t="s">
        <v>4918</v>
      </c>
      <c r="K1329" s="11" t="s">
        <v>2033</v>
      </c>
      <c r="L1329" s="11"/>
      <c r="M1329" s="12"/>
      <c r="N1329" s="11"/>
      <c r="O1329" s="11" t="s">
        <v>2028</v>
      </c>
    </row>
    <row r="1330" spans="1:15" ht="19.5" customHeight="1" x14ac:dyDescent="0.25">
      <c r="A1330" s="13" t="s">
        <v>596</v>
      </c>
      <c r="B1330" s="13"/>
      <c r="C1330" s="13" t="s">
        <v>4922</v>
      </c>
      <c r="D1330" s="13" t="s">
        <v>1883</v>
      </c>
      <c r="E1330" s="13" t="s">
        <v>4921</v>
      </c>
      <c r="F1330" s="13" t="s">
        <v>4920</v>
      </c>
      <c r="G1330" s="13" t="s">
        <v>596</v>
      </c>
      <c r="H1330" s="13"/>
      <c r="I1330" s="13" t="s">
        <v>4919</v>
      </c>
      <c r="J1330" s="13" t="s">
        <v>4918</v>
      </c>
      <c r="K1330" s="13" t="s">
        <v>2033</v>
      </c>
      <c r="L1330" s="13"/>
      <c r="M1330" s="14"/>
      <c r="N1330" s="13"/>
      <c r="O1330" s="13" t="s">
        <v>2028</v>
      </c>
    </row>
    <row r="1331" spans="1:15" ht="19.5" customHeight="1" x14ac:dyDescent="0.25">
      <c r="A1331" s="11" t="s">
        <v>598</v>
      </c>
      <c r="B1331" s="11"/>
      <c r="C1331" s="11" t="s">
        <v>4917</v>
      </c>
      <c r="D1331" s="11" t="s">
        <v>1883</v>
      </c>
      <c r="E1331" s="11" t="s">
        <v>4914</v>
      </c>
      <c r="F1331" s="11"/>
      <c r="G1331" s="11" t="s">
        <v>598</v>
      </c>
      <c r="H1331" s="11"/>
      <c r="I1331" s="11" t="s">
        <v>4913</v>
      </c>
      <c r="J1331" s="11" t="s">
        <v>4912</v>
      </c>
      <c r="K1331" s="11" t="s">
        <v>2033</v>
      </c>
      <c r="L1331" s="11"/>
      <c r="M1331" s="12"/>
      <c r="N1331" s="11"/>
      <c r="O1331" s="11" t="s">
        <v>2028</v>
      </c>
    </row>
    <row r="1332" spans="1:15" ht="19.5" customHeight="1" x14ac:dyDescent="0.25">
      <c r="A1332" s="13" t="s">
        <v>598</v>
      </c>
      <c r="B1332" s="13"/>
      <c r="C1332" s="13" t="s">
        <v>4916</v>
      </c>
      <c r="D1332" s="13" t="s">
        <v>1883</v>
      </c>
      <c r="E1332" s="13" t="s">
        <v>4914</v>
      </c>
      <c r="F1332" s="13"/>
      <c r="G1332" s="13" t="s">
        <v>598</v>
      </c>
      <c r="H1332" s="13"/>
      <c r="I1332" s="13" t="s">
        <v>4913</v>
      </c>
      <c r="J1332" s="13" t="s">
        <v>4912</v>
      </c>
      <c r="K1332" s="13" t="s">
        <v>2033</v>
      </c>
      <c r="L1332" s="13"/>
      <c r="M1332" s="14"/>
      <c r="N1332" s="13"/>
      <c r="O1332" s="13" t="s">
        <v>2028</v>
      </c>
    </row>
    <row r="1333" spans="1:15" ht="19.5" customHeight="1" x14ac:dyDescent="0.25">
      <c r="A1333" s="11" t="s">
        <v>598</v>
      </c>
      <c r="B1333" s="11"/>
      <c r="C1333" s="11" t="s">
        <v>4915</v>
      </c>
      <c r="D1333" s="11" t="s">
        <v>1883</v>
      </c>
      <c r="E1333" s="11" t="s">
        <v>4914</v>
      </c>
      <c r="F1333" s="11"/>
      <c r="G1333" s="11" t="s">
        <v>598</v>
      </c>
      <c r="H1333" s="11"/>
      <c r="I1333" s="11" t="s">
        <v>4913</v>
      </c>
      <c r="J1333" s="11" t="s">
        <v>4912</v>
      </c>
      <c r="K1333" s="11" t="s">
        <v>2033</v>
      </c>
      <c r="L1333" s="11"/>
      <c r="M1333" s="12"/>
      <c r="N1333" s="11"/>
      <c r="O1333" s="11" t="s">
        <v>2028</v>
      </c>
    </row>
    <row r="1334" spans="1:15" ht="19.5" customHeight="1" x14ac:dyDescent="0.25">
      <c r="A1334" s="13" t="s">
        <v>600</v>
      </c>
      <c r="B1334" s="13"/>
      <c r="C1334" s="13" t="s">
        <v>4911</v>
      </c>
      <c r="D1334" s="13" t="s">
        <v>1883</v>
      </c>
      <c r="E1334" s="13" t="s">
        <v>4905</v>
      </c>
      <c r="F1334" s="13" t="s">
        <v>4537</v>
      </c>
      <c r="G1334" s="13" t="s">
        <v>600</v>
      </c>
      <c r="H1334" s="13"/>
      <c r="I1334" s="13" t="s">
        <v>4908</v>
      </c>
      <c r="J1334" s="13" t="s">
        <v>4907</v>
      </c>
      <c r="K1334" s="13" t="s">
        <v>3599</v>
      </c>
      <c r="L1334" s="13"/>
      <c r="M1334" s="14"/>
      <c r="N1334" s="13"/>
      <c r="O1334" s="13" t="s">
        <v>2028</v>
      </c>
    </row>
    <row r="1335" spans="1:15" ht="19.5" customHeight="1" x14ac:dyDescent="0.25">
      <c r="A1335" s="11" t="s">
        <v>600</v>
      </c>
      <c r="B1335" s="11"/>
      <c r="C1335" s="11" t="s">
        <v>4910</v>
      </c>
      <c r="D1335" s="11" t="s">
        <v>1883</v>
      </c>
      <c r="E1335" s="11" t="s">
        <v>4905</v>
      </c>
      <c r="F1335" s="11" t="s">
        <v>4537</v>
      </c>
      <c r="G1335" s="11" t="s">
        <v>600</v>
      </c>
      <c r="H1335" s="11"/>
      <c r="I1335" s="11" t="s">
        <v>4908</v>
      </c>
      <c r="J1335" s="11" t="s">
        <v>4907</v>
      </c>
      <c r="K1335" s="11" t="s">
        <v>3599</v>
      </c>
      <c r="L1335" s="11"/>
      <c r="M1335" s="12"/>
      <c r="N1335" s="11"/>
      <c r="O1335" s="11" t="s">
        <v>2028</v>
      </c>
    </row>
    <row r="1336" spans="1:15" ht="19.5" customHeight="1" x14ac:dyDescent="0.25">
      <c r="A1336" s="13" t="s">
        <v>600</v>
      </c>
      <c r="B1336" s="13"/>
      <c r="C1336" s="13" t="s">
        <v>4909</v>
      </c>
      <c r="D1336" s="13" t="s">
        <v>1883</v>
      </c>
      <c r="E1336" s="13" t="s">
        <v>4905</v>
      </c>
      <c r="F1336" s="13" t="s">
        <v>4537</v>
      </c>
      <c r="G1336" s="13" t="s">
        <v>600</v>
      </c>
      <c r="H1336" s="13"/>
      <c r="I1336" s="13" t="s">
        <v>4908</v>
      </c>
      <c r="J1336" s="13" t="s">
        <v>4907</v>
      </c>
      <c r="K1336" s="13" t="s">
        <v>3599</v>
      </c>
      <c r="L1336" s="13"/>
      <c r="M1336" s="14"/>
      <c r="N1336" s="13"/>
      <c r="O1336" s="13" t="s">
        <v>2028</v>
      </c>
    </row>
    <row r="1337" spans="1:15" ht="19.5" customHeight="1" x14ac:dyDescent="0.25">
      <c r="A1337" s="11" t="s">
        <v>600</v>
      </c>
      <c r="B1337" s="11"/>
      <c r="C1337" s="11" t="s">
        <v>4906</v>
      </c>
      <c r="D1337" s="11" t="s">
        <v>1883</v>
      </c>
      <c r="E1337" s="11" t="s">
        <v>4905</v>
      </c>
      <c r="F1337" s="11"/>
      <c r="G1337" s="11" t="s">
        <v>600</v>
      </c>
      <c r="H1337" s="11"/>
      <c r="I1337" s="11"/>
      <c r="J1337" s="11"/>
      <c r="K1337" s="11"/>
      <c r="L1337" s="11"/>
      <c r="M1337" s="12"/>
      <c r="N1337" s="11"/>
      <c r="O1337" s="11" t="s">
        <v>1916</v>
      </c>
    </row>
    <row r="1338" spans="1:15" ht="19.5" customHeight="1" x14ac:dyDescent="0.25">
      <c r="A1338" s="13" t="s">
        <v>1622</v>
      </c>
      <c r="B1338" s="13"/>
      <c r="C1338" s="13" t="s">
        <v>4904</v>
      </c>
      <c r="D1338" s="13" t="s">
        <v>1883</v>
      </c>
      <c r="E1338" s="13" t="s">
        <v>4903</v>
      </c>
      <c r="F1338" s="13"/>
      <c r="G1338" s="13" t="s">
        <v>1622</v>
      </c>
      <c r="H1338" s="13"/>
      <c r="I1338" s="13" t="s">
        <v>4902</v>
      </c>
      <c r="J1338" s="13" t="s">
        <v>4901</v>
      </c>
      <c r="K1338" s="13" t="s">
        <v>2033</v>
      </c>
      <c r="L1338" s="13"/>
      <c r="M1338" s="14"/>
      <c r="N1338" s="13"/>
      <c r="O1338" s="13" t="s">
        <v>2028</v>
      </c>
    </row>
    <row r="1339" spans="1:15" ht="19.5" customHeight="1" x14ac:dyDescent="0.25">
      <c r="A1339" s="11" t="s">
        <v>4897</v>
      </c>
      <c r="B1339" s="11"/>
      <c r="C1339" s="11" t="s">
        <v>4900</v>
      </c>
      <c r="D1339" s="11" t="s">
        <v>1883</v>
      </c>
      <c r="E1339" s="11" t="s">
        <v>4899</v>
      </c>
      <c r="F1339" s="11" t="s">
        <v>4898</v>
      </c>
      <c r="G1339" s="11" t="s">
        <v>4897</v>
      </c>
      <c r="H1339" s="11"/>
      <c r="I1339" s="11" t="s">
        <v>4896</v>
      </c>
      <c r="J1339" s="11" t="s">
        <v>4895</v>
      </c>
      <c r="K1339" s="11" t="s">
        <v>3599</v>
      </c>
      <c r="L1339" s="11"/>
      <c r="M1339" s="12"/>
      <c r="N1339" s="11"/>
      <c r="O1339" s="11" t="s">
        <v>2028</v>
      </c>
    </row>
    <row r="1340" spans="1:15" ht="19.5" customHeight="1" x14ac:dyDescent="0.25">
      <c r="A1340" s="13" t="s">
        <v>602</v>
      </c>
      <c r="B1340" s="13"/>
      <c r="C1340" s="13" t="s">
        <v>4894</v>
      </c>
      <c r="D1340" s="13" t="s">
        <v>1883</v>
      </c>
      <c r="E1340" s="13" t="s">
        <v>4891</v>
      </c>
      <c r="F1340" s="13" t="s">
        <v>4890</v>
      </c>
      <c r="G1340" s="13" t="s">
        <v>602</v>
      </c>
      <c r="H1340" s="13"/>
      <c r="I1340" s="13" t="s">
        <v>4889</v>
      </c>
      <c r="J1340" s="13" t="s">
        <v>4888</v>
      </c>
      <c r="K1340" s="13" t="s">
        <v>1952</v>
      </c>
      <c r="L1340" s="13"/>
      <c r="M1340" s="14"/>
      <c r="N1340" s="13"/>
      <c r="O1340" s="13" t="s">
        <v>2028</v>
      </c>
    </row>
    <row r="1341" spans="1:15" ht="19.5" customHeight="1" x14ac:dyDescent="0.25">
      <c r="A1341" s="11" t="s">
        <v>602</v>
      </c>
      <c r="B1341" s="11"/>
      <c r="C1341" s="11" t="s">
        <v>4893</v>
      </c>
      <c r="D1341" s="11" t="s">
        <v>1883</v>
      </c>
      <c r="E1341" s="11" t="s">
        <v>4891</v>
      </c>
      <c r="F1341" s="11" t="s">
        <v>4890</v>
      </c>
      <c r="G1341" s="11" t="s">
        <v>602</v>
      </c>
      <c r="H1341" s="11"/>
      <c r="I1341" s="11" t="s">
        <v>4889</v>
      </c>
      <c r="J1341" s="11" t="s">
        <v>4888</v>
      </c>
      <c r="K1341" s="11" t="s">
        <v>1952</v>
      </c>
      <c r="L1341" s="11"/>
      <c r="M1341" s="12"/>
      <c r="N1341" s="11"/>
      <c r="O1341" s="11" t="s">
        <v>2028</v>
      </c>
    </row>
    <row r="1342" spans="1:15" ht="19.5" customHeight="1" x14ac:dyDescent="0.25">
      <c r="A1342" s="13" t="s">
        <v>602</v>
      </c>
      <c r="B1342" s="13"/>
      <c r="C1342" s="13" t="s">
        <v>4892</v>
      </c>
      <c r="D1342" s="13" t="s">
        <v>1883</v>
      </c>
      <c r="E1342" s="13" t="s">
        <v>4891</v>
      </c>
      <c r="F1342" s="13" t="s">
        <v>4890</v>
      </c>
      <c r="G1342" s="13" t="s">
        <v>602</v>
      </c>
      <c r="H1342" s="13"/>
      <c r="I1342" s="13" t="s">
        <v>4889</v>
      </c>
      <c r="J1342" s="13" t="s">
        <v>4888</v>
      </c>
      <c r="K1342" s="13" t="s">
        <v>1952</v>
      </c>
      <c r="L1342" s="13"/>
      <c r="M1342" s="14"/>
      <c r="N1342" s="13"/>
      <c r="O1342" s="13" t="s">
        <v>2028</v>
      </c>
    </row>
    <row r="1343" spans="1:15" ht="19.5" customHeight="1" x14ac:dyDescent="0.25">
      <c r="A1343" s="11" t="s">
        <v>604</v>
      </c>
      <c r="B1343" s="11"/>
      <c r="C1343" s="11" t="s">
        <v>4887</v>
      </c>
      <c r="D1343" s="11" t="s">
        <v>1883</v>
      </c>
      <c r="E1343" s="11" t="s">
        <v>4884</v>
      </c>
      <c r="F1343" s="11" t="s">
        <v>4883</v>
      </c>
      <c r="G1343" s="11" t="s">
        <v>604</v>
      </c>
      <c r="H1343" s="11" t="s">
        <v>4882</v>
      </c>
      <c r="I1343" s="11" t="s">
        <v>4881</v>
      </c>
      <c r="J1343" s="11" t="s">
        <v>4880</v>
      </c>
      <c r="K1343" s="11" t="s">
        <v>3599</v>
      </c>
      <c r="L1343" s="11"/>
      <c r="M1343" s="12"/>
      <c r="N1343" s="11"/>
      <c r="O1343" s="11" t="s">
        <v>2028</v>
      </c>
    </row>
    <row r="1344" spans="1:15" ht="19.5" customHeight="1" x14ac:dyDescent="0.25">
      <c r="A1344" s="13" t="s">
        <v>604</v>
      </c>
      <c r="B1344" s="13"/>
      <c r="C1344" s="13" t="s">
        <v>4886</v>
      </c>
      <c r="D1344" s="13" t="s">
        <v>1883</v>
      </c>
      <c r="E1344" s="13" t="s">
        <v>4884</v>
      </c>
      <c r="F1344" s="13" t="s">
        <v>4883</v>
      </c>
      <c r="G1344" s="13" t="s">
        <v>604</v>
      </c>
      <c r="H1344" s="13" t="s">
        <v>4882</v>
      </c>
      <c r="I1344" s="13" t="s">
        <v>4881</v>
      </c>
      <c r="J1344" s="13" t="s">
        <v>4880</v>
      </c>
      <c r="K1344" s="13" t="s">
        <v>3599</v>
      </c>
      <c r="L1344" s="13"/>
      <c r="M1344" s="14"/>
      <c r="N1344" s="13"/>
      <c r="O1344" s="13" t="s">
        <v>2028</v>
      </c>
    </row>
    <row r="1345" spans="1:15" ht="19.5" customHeight="1" x14ac:dyDescent="0.25">
      <c r="A1345" s="11" t="s">
        <v>604</v>
      </c>
      <c r="B1345" s="11"/>
      <c r="C1345" s="11" t="s">
        <v>4885</v>
      </c>
      <c r="D1345" s="11" t="s">
        <v>1883</v>
      </c>
      <c r="E1345" s="11" t="s">
        <v>4884</v>
      </c>
      <c r="F1345" s="11" t="s">
        <v>4883</v>
      </c>
      <c r="G1345" s="11" t="s">
        <v>604</v>
      </c>
      <c r="H1345" s="11" t="s">
        <v>4882</v>
      </c>
      <c r="I1345" s="11" t="s">
        <v>4881</v>
      </c>
      <c r="J1345" s="11" t="s">
        <v>4880</v>
      </c>
      <c r="K1345" s="11" t="s">
        <v>3599</v>
      </c>
      <c r="L1345" s="11"/>
      <c r="M1345" s="12"/>
      <c r="N1345" s="11"/>
      <c r="O1345" s="11" t="s">
        <v>2028</v>
      </c>
    </row>
    <row r="1346" spans="1:15" ht="19.5" customHeight="1" x14ac:dyDescent="0.25">
      <c r="A1346" s="13" t="s">
        <v>606</v>
      </c>
      <c r="B1346" s="13"/>
      <c r="C1346" s="13" t="s">
        <v>4879</v>
      </c>
      <c r="D1346" s="13" t="s">
        <v>1883</v>
      </c>
      <c r="E1346" s="13" t="s">
        <v>4876</v>
      </c>
      <c r="F1346" s="13"/>
      <c r="G1346" s="13" t="s">
        <v>606</v>
      </c>
      <c r="H1346" s="13"/>
      <c r="I1346" s="13" t="s">
        <v>4875</v>
      </c>
      <c r="J1346" s="13" t="s">
        <v>4874</v>
      </c>
      <c r="K1346" s="13" t="s">
        <v>2033</v>
      </c>
      <c r="L1346" s="13"/>
      <c r="M1346" s="14"/>
      <c r="N1346" s="13"/>
      <c r="O1346" s="13" t="s">
        <v>2028</v>
      </c>
    </row>
    <row r="1347" spans="1:15" ht="19.5" customHeight="1" x14ac:dyDescent="0.25">
      <c r="A1347" s="11" t="s">
        <v>606</v>
      </c>
      <c r="B1347" s="11"/>
      <c r="C1347" s="11" t="s">
        <v>4878</v>
      </c>
      <c r="D1347" s="11" t="s">
        <v>1883</v>
      </c>
      <c r="E1347" s="11" t="s">
        <v>4876</v>
      </c>
      <c r="F1347" s="11"/>
      <c r="G1347" s="11" t="s">
        <v>606</v>
      </c>
      <c r="H1347" s="11"/>
      <c r="I1347" s="11" t="s">
        <v>4875</v>
      </c>
      <c r="J1347" s="11" t="s">
        <v>4874</v>
      </c>
      <c r="K1347" s="11" t="s">
        <v>2033</v>
      </c>
      <c r="L1347" s="11"/>
      <c r="M1347" s="12"/>
      <c r="N1347" s="11"/>
      <c r="O1347" s="11" t="s">
        <v>2028</v>
      </c>
    </row>
    <row r="1348" spans="1:15" ht="19.5" customHeight="1" x14ac:dyDescent="0.25">
      <c r="A1348" s="13" t="s">
        <v>606</v>
      </c>
      <c r="B1348" s="13"/>
      <c r="C1348" s="13" t="s">
        <v>4877</v>
      </c>
      <c r="D1348" s="13" t="s">
        <v>1883</v>
      </c>
      <c r="E1348" s="13" t="s">
        <v>4876</v>
      </c>
      <c r="F1348" s="13"/>
      <c r="G1348" s="13" t="s">
        <v>606</v>
      </c>
      <c r="H1348" s="13"/>
      <c r="I1348" s="13" t="s">
        <v>4875</v>
      </c>
      <c r="J1348" s="13" t="s">
        <v>4874</v>
      </c>
      <c r="K1348" s="13" t="s">
        <v>2033</v>
      </c>
      <c r="L1348" s="13"/>
      <c r="M1348" s="14"/>
      <c r="N1348" s="13"/>
      <c r="O1348" s="13" t="s">
        <v>2028</v>
      </c>
    </row>
    <row r="1349" spans="1:15" ht="19.5" customHeight="1" x14ac:dyDescent="0.25">
      <c r="A1349" s="11" t="s">
        <v>4871</v>
      </c>
      <c r="B1349" s="11"/>
      <c r="C1349" s="11" t="s">
        <v>4873</v>
      </c>
      <c r="D1349" s="11" t="s">
        <v>1883</v>
      </c>
      <c r="E1349" s="11" t="s">
        <v>4872</v>
      </c>
      <c r="F1349" s="11"/>
      <c r="G1349" s="11" t="s">
        <v>4871</v>
      </c>
      <c r="H1349" s="11"/>
      <c r="I1349" s="11"/>
      <c r="J1349" s="11"/>
      <c r="K1349" s="11"/>
      <c r="L1349" s="11"/>
      <c r="M1349" s="12"/>
      <c r="N1349" s="11"/>
      <c r="O1349" s="11" t="s">
        <v>1916</v>
      </c>
    </row>
    <row r="1350" spans="1:15" ht="19.5" customHeight="1" x14ac:dyDescent="0.25">
      <c r="A1350" s="13" t="s">
        <v>1112</v>
      </c>
      <c r="B1350" s="13"/>
      <c r="C1350" s="13" t="s">
        <v>4870</v>
      </c>
      <c r="D1350" s="13" t="s">
        <v>1883</v>
      </c>
      <c r="E1350" s="13" t="s">
        <v>4868</v>
      </c>
      <c r="F1350" s="13"/>
      <c r="G1350" s="13" t="s">
        <v>1112</v>
      </c>
      <c r="H1350" s="13"/>
      <c r="I1350" s="13" t="s">
        <v>4867</v>
      </c>
      <c r="J1350" s="13" t="s">
        <v>4866</v>
      </c>
      <c r="K1350" s="13" t="s">
        <v>2122</v>
      </c>
      <c r="L1350" s="13"/>
      <c r="M1350" s="14"/>
      <c r="N1350" s="13"/>
      <c r="O1350" s="13" t="s">
        <v>2028</v>
      </c>
    </row>
    <row r="1351" spans="1:15" ht="19.5" customHeight="1" x14ac:dyDescent="0.25">
      <c r="A1351" s="11" t="s">
        <v>1112</v>
      </c>
      <c r="B1351" s="11"/>
      <c r="C1351" s="11" t="s">
        <v>4869</v>
      </c>
      <c r="D1351" s="11" t="s">
        <v>1883</v>
      </c>
      <c r="E1351" s="11" t="s">
        <v>4868</v>
      </c>
      <c r="F1351" s="11"/>
      <c r="G1351" s="11" t="s">
        <v>1112</v>
      </c>
      <c r="H1351" s="11"/>
      <c r="I1351" s="11" t="s">
        <v>4867</v>
      </c>
      <c r="J1351" s="11" t="s">
        <v>4866</v>
      </c>
      <c r="K1351" s="11" t="s">
        <v>1952</v>
      </c>
      <c r="L1351" s="11"/>
      <c r="M1351" s="12"/>
      <c r="N1351" s="11"/>
      <c r="O1351" s="11" t="s">
        <v>2028</v>
      </c>
    </row>
    <row r="1352" spans="1:15" ht="19.5" customHeight="1" x14ac:dyDescent="0.25">
      <c r="A1352" s="13" t="s">
        <v>4863</v>
      </c>
      <c r="B1352" s="13"/>
      <c r="C1352" s="13" t="s">
        <v>4865</v>
      </c>
      <c r="D1352" s="13" t="s">
        <v>1883</v>
      </c>
      <c r="E1352" s="13" t="s">
        <v>4864</v>
      </c>
      <c r="F1352" s="13"/>
      <c r="G1352" s="13" t="s">
        <v>4863</v>
      </c>
      <c r="H1352" s="13" t="s">
        <v>4862</v>
      </c>
      <c r="I1352" s="13" t="s">
        <v>4861</v>
      </c>
      <c r="J1352" s="13" t="s">
        <v>4860</v>
      </c>
      <c r="K1352" s="13" t="s">
        <v>3599</v>
      </c>
      <c r="L1352" s="13"/>
      <c r="M1352" s="14"/>
      <c r="N1352" s="13"/>
      <c r="O1352" s="13" t="s">
        <v>2028</v>
      </c>
    </row>
    <row r="1353" spans="1:15" ht="19.5" customHeight="1" x14ac:dyDescent="0.25">
      <c r="A1353" s="11" t="s">
        <v>1512</v>
      </c>
      <c r="B1353" s="11"/>
      <c r="C1353" s="11" t="s">
        <v>4859</v>
      </c>
      <c r="D1353" s="11" t="s">
        <v>1883</v>
      </c>
      <c r="E1353" s="11" t="s">
        <v>4857</v>
      </c>
      <c r="F1353" s="11"/>
      <c r="G1353" s="11" t="s">
        <v>1512</v>
      </c>
      <c r="H1353" s="11"/>
      <c r="I1353" s="11" t="s">
        <v>4856</v>
      </c>
      <c r="J1353" s="11" t="s">
        <v>4855</v>
      </c>
      <c r="K1353" s="11" t="s">
        <v>2033</v>
      </c>
      <c r="L1353" s="11"/>
      <c r="M1353" s="12"/>
      <c r="N1353" s="11"/>
      <c r="O1353" s="11" t="s">
        <v>2028</v>
      </c>
    </row>
    <row r="1354" spans="1:15" ht="19.5" customHeight="1" x14ac:dyDescent="0.25">
      <c r="A1354" s="13" t="s">
        <v>1512</v>
      </c>
      <c r="B1354" s="13"/>
      <c r="C1354" s="13" t="s">
        <v>4858</v>
      </c>
      <c r="D1354" s="13" t="s">
        <v>1883</v>
      </c>
      <c r="E1354" s="13" t="s">
        <v>4857</v>
      </c>
      <c r="F1354" s="13"/>
      <c r="G1354" s="13" t="s">
        <v>1512</v>
      </c>
      <c r="H1354" s="13"/>
      <c r="I1354" s="13" t="s">
        <v>4856</v>
      </c>
      <c r="J1354" s="13" t="s">
        <v>4855</v>
      </c>
      <c r="K1354" s="13" t="s">
        <v>2033</v>
      </c>
      <c r="L1354" s="13"/>
      <c r="M1354" s="14"/>
      <c r="N1354" s="13"/>
      <c r="O1354" s="13" t="s">
        <v>2028</v>
      </c>
    </row>
    <row r="1355" spans="1:15" ht="19.5" customHeight="1" x14ac:dyDescent="0.25">
      <c r="A1355" s="11" t="s">
        <v>1606</v>
      </c>
      <c r="B1355" s="11"/>
      <c r="C1355" s="11" t="s">
        <v>4854</v>
      </c>
      <c r="D1355" s="11" t="s">
        <v>1883</v>
      </c>
      <c r="E1355" s="11" t="s">
        <v>4853</v>
      </c>
      <c r="F1355" s="11"/>
      <c r="G1355" s="11" t="s">
        <v>1606</v>
      </c>
      <c r="H1355" s="11"/>
      <c r="I1355" s="11" t="s">
        <v>4852</v>
      </c>
      <c r="J1355" s="11" t="s">
        <v>4851</v>
      </c>
      <c r="K1355" s="11" t="s">
        <v>2033</v>
      </c>
      <c r="L1355" s="11"/>
      <c r="M1355" s="12"/>
      <c r="N1355" s="11"/>
      <c r="O1355" s="11" t="s">
        <v>2028</v>
      </c>
    </row>
    <row r="1356" spans="1:15" ht="19.5" customHeight="1" x14ac:dyDescent="0.25">
      <c r="A1356" s="13" t="s">
        <v>4848</v>
      </c>
      <c r="B1356" s="13"/>
      <c r="C1356" s="13" t="s">
        <v>4850</v>
      </c>
      <c r="D1356" s="13" t="s">
        <v>1883</v>
      </c>
      <c r="E1356" s="13" t="s">
        <v>4849</v>
      </c>
      <c r="F1356" s="13"/>
      <c r="G1356" s="13" t="s">
        <v>4848</v>
      </c>
      <c r="H1356" s="13"/>
      <c r="I1356" s="13" t="s">
        <v>4847</v>
      </c>
      <c r="J1356" s="13" t="s">
        <v>4846</v>
      </c>
      <c r="K1356" s="13" t="s">
        <v>2033</v>
      </c>
      <c r="L1356" s="13"/>
      <c r="M1356" s="14"/>
      <c r="N1356" s="13"/>
      <c r="O1356" s="13" t="s">
        <v>1877</v>
      </c>
    </row>
    <row r="1357" spans="1:15" ht="19.5" customHeight="1" x14ac:dyDescent="0.25">
      <c r="A1357" s="11" t="s">
        <v>608</v>
      </c>
      <c r="B1357" s="11"/>
      <c r="C1357" s="11" t="s">
        <v>4845</v>
      </c>
      <c r="D1357" s="11" t="s">
        <v>1883</v>
      </c>
      <c r="E1357" s="11" t="s">
        <v>4842</v>
      </c>
      <c r="F1357" s="11" t="s">
        <v>4841</v>
      </c>
      <c r="G1357" s="11" t="s">
        <v>608</v>
      </c>
      <c r="H1357" s="11" t="s">
        <v>4840</v>
      </c>
      <c r="I1357" s="11" t="s">
        <v>4839</v>
      </c>
      <c r="J1357" s="11" t="s">
        <v>4838</v>
      </c>
      <c r="K1357" s="11" t="s">
        <v>2033</v>
      </c>
      <c r="L1357" s="11"/>
      <c r="M1357" s="12"/>
      <c r="N1357" s="11"/>
      <c r="O1357" s="11" t="s">
        <v>2028</v>
      </c>
    </row>
    <row r="1358" spans="1:15" ht="19.5" customHeight="1" x14ac:dyDescent="0.25">
      <c r="A1358" s="13" t="s">
        <v>608</v>
      </c>
      <c r="B1358" s="13"/>
      <c r="C1358" s="13" t="s">
        <v>4844</v>
      </c>
      <c r="D1358" s="13" t="s">
        <v>1883</v>
      </c>
      <c r="E1358" s="13" t="s">
        <v>4842</v>
      </c>
      <c r="F1358" s="13" t="s">
        <v>4841</v>
      </c>
      <c r="G1358" s="13" t="s">
        <v>608</v>
      </c>
      <c r="H1358" s="13" t="s">
        <v>4840</v>
      </c>
      <c r="I1358" s="13" t="s">
        <v>4839</v>
      </c>
      <c r="J1358" s="13" t="s">
        <v>4838</v>
      </c>
      <c r="K1358" s="13" t="s">
        <v>2033</v>
      </c>
      <c r="L1358" s="13"/>
      <c r="M1358" s="14"/>
      <c r="N1358" s="13"/>
      <c r="O1358" s="13" t="s">
        <v>2028</v>
      </c>
    </row>
    <row r="1359" spans="1:15" ht="19.5" customHeight="1" x14ac:dyDescent="0.25">
      <c r="A1359" s="11" t="s">
        <v>608</v>
      </c>
      <c r="B1359" s="11"/>
      <c r="C1359" s="11" t="s">
        <v>4843</v>
      </c>
      <c r="D1359" s="11" t="s">
        <v>1883</v>
      </c>
      <c r="E1359" s="11" t="s">
        <v>4842</v>
      </c>
      <c r="F1359" s="11" t="s">
        <v>4841</v>
      </c>
      <c r="G1359" s="11" t="s">
        <v>608</v>
      </c>
      <c r="H1359" s="11" t="s">
        <v>4840</v>
      </c>
      <c r="I1359" s="11" t="s">
        <v>4839</v>
      </c>
      <c r="J1359" s="11" t="s">
        <v>4838</v>
      </c>
      <c r="K1359" s="11" t="s">
        <v>2033</v>
      </c>
      <c r="L1359" s="11"/>
      <c r="M1359" s="12"/>
      <c r="N1359" s="11"/>
      <c r="O1359" s="11" t="s">
        <v>2028</v>
      </c>
    </row>
    <row r="1360" spans="1:15" ht="19.5" customHeight="1" x14ac:dyDescent="0.25">
      <c r="A1360" s="13" t="s">
        <v>1466</v>
      </c>
      <c r="B1360" s="13"/>
      <c r="C1360" s="13" t="s">
        <v>4837</v>
      </c>
      <c r="D1360" s="13" t="s">
        <v>1883</v>
      </c>
      <c r="E1360" s="13" t="s">
        <v>4836</v>
      </c>
      <c r="F1360" s="13"/>
      <c r="G1360" s="13" t="s">
        <v>1466</v>
      </c>
      <c r="H1360" s="13"/>
      <c r="I1360" s="13" t="s">
        <v>4835</v>
      </c>
      <c r="J1360" s="13" t="s">
        <v>4834</v>
      </c>
      <c r="K1360" s="13" t="s">
        <v>2033</v>
      </c>
      <c r="L1360" s="13"/>
      <c r="M1360" s="14"/>
      <c r="N1360" s="13"/>
      <c r="O1360" s="13" t="s">
        <v>2028</v>
      </c>
    </row>
    <row r="1361" spans="1:15" ht="19.5" customHeight="1" x14ac:dyDescent="0.25">
      <c r="A1361" s="11" t="s">
        <v>4830</v>
      </c>
      <c r="B1361" s="11"/>
      <c r="C1361" s="11" t="s">
        <v>4833</v>
      </c>
      <c r="D1361" s="11" t="s">
        <v>1883</v>
      </c>
      <c r="E1361" s="11" t="s">
        <v>4832</v>
      </c>
      <c r="F1361" s="11" t="s">
        <v>4831</v>
      </c>
      <c r="G1361" s="11" t="s">
        <v>4830</v>
      </c>
      <c r="H1361" s="11" t="s">
        <v>4829</v>
      </c>
      <c r="I1361" s="11" t="s">
        <v>4828</v>
      </c>
      <c r="J1361" s="11" t="s">
        <v>4827</v>
      </c>
      <c r="K1361" s="11" t="s">
        <v>2033</v>
      </c>
      <c r="L1361" s="11"/>
      <c r="M1361" s="12"/>
      <c r="N1361" s="11"/>
      <c r="O1361" s="11" t="s">
        <v>2028</v>
      </c>
    </row>
    <row r="1362" spans="1:15" ht="19.5" customHeight="1" x14ac:dyDescent="0.25">
      <c r="A1362" s="13" t="s">
        <v>610</v>
      </c>
      <c r="B1362" s="13"/>
      <c r="C1362" s="13" t="s">
        <v>4826</v>
      </c>
      <c r="D1362" s="13" t="s">
        <v>1883</v>
      </c>
      <c r="E1362" s="13" t="s">
        <v>4823</v>
      </c>
      <c r="F1362" s="13" t="s">
        <v>4822</v>
      </c>
      <c r="G1362" s="13" t="s">
        <v>610</v>
      </c>
      <c r="H1362" s="13" t="s">
        <v>4821</v>
      </c>
      <c r="I1362" s="13" t="s">
        <v>4820</v>
      </c>
      <c r="J1362" s="13" t="s">
        <v>4819</v>
      </c>
      <c r="K1362" s="13" t="s">
        <v>3599</v>
      </c>
      <c r="L1362" s="13"/>
      <c r="M1362" s="14"/>
      <c r="N1362" s="13"/>
      <c r="O1362" s="13" t="s">
        <v>2028</v>
      </c>
    </row>
    <row r="1363" spans="1:15" ht="19.5" customHeight="1" x14ac:dyDescent="0.25">
      <c r="A1363" s="11" t="s">
        <v>610</v>
      </c>
      <c r="B1363" s="11"/>
      <c r="C1363" s="11" t="s">
        <v>4825</v>
      </c>
      <c r="D1363" s="11" t="s">
        <v>1883</v>
      </c>
      <c r="E1363" s="11" t="s">
        <v>4823</v>
      </c>
      <c r="F1363" s="11" t="s">
        <v>4822</v>
      </c>
      <c r="G1363" s="11" t="s">
        <v>610</v>
      </c>
      <c r="H1363" s="11" t="s">
        <v>4821</v>
      </c>
      <c r="I1363" s="11" t="s">
        <v>4820</v>
      </c>
      <c r="J1363" s="11" t="s">
        <v>4819</v>
      </c>
      <c r="K1363" s="11" t="s">
        <v>3599</v>
      </c>
      <c r="L1363" s="11"/>
      <c r="M1363" s="12"/>
      <c r="N1363" s="11"/>
      <c r="O1363" s="11" t="s">
        <v>2028</v>
      </c>
    </row>
    <row r="1364" spans="1:15" ht="19.5" customHeight="1" x14ac:dyDescent="0.25">
      <c r="A1364" s="13" t="s">
        <v>610</v>
      </c>
      <c r="B1364" s="13"/>
      <c r="C1364" s="13" t="s">
        <v>4824</v>
      </c>
      <c r="D1364" s="13" t="s">
        <v>1883</v>
      </c>
      <c r="E1364" s="13" t="s">
        <v>4823</v>
      </c>
      <c r="F1364" s="13" t="s">
        <v>4822</v>
      </c>
      <c r="G1364" s="13" t="s">
        <v>610</v>
      </c>
      <c r="H1364" s="13" t="s">
        <v>4821</v>
      </c>
      <c r="I1364" s="13" t="s">
        <v>4820</v>
      </c>
      <c r="J1364" s="13" t="s">
        <v>4819</v>
      </c>
      <c r="K1364" s="13" t="s">
        <v>3599</v>
      </c>
      <c r="L1364" s="13"/>
      <c r="M1364" s="14"/>
      <c r="N1364" s="13"/>
      <c r="O1364" s="13" t="s">
        <v>2028</v>
      </c>
    </row>
    <row r="1365" spans="1:15" ht="19.5" customHeight="1" x14ac:dyDescent="0.25">
      <c r="A1365" s="11" t="s">
        <v>1290</v>
      </c>
      <c r="B1365" s="11"/>
      <c r="C1365" s="11" t="s">
        <v>4818</v>
      </c>
      <c r="D1365" s="11" t="s">
        <v>1883</v>
      </c>
      <c r="E1365" s="11" t="s">
        <v>4817</v>
      </c>
      <c r="F1365" s="11" t="s">
        <v>4816</v>
      </c>
      <c r="G1365" s="11" t="s">
        <v>1290</v>
      </c>
      <c r="H1365" s="11"/>
      <c r="I1365" s="11" t="s">
        <v>4815</v>
      </c>
      <c r="J1365" s="11" t="s">
        <v>4814</v>
      </c>
      <c r="K1365" s="11" t="s">
        <v>2033</v>
      </c>
      <c r="L1365" s="11"/>
      <c r="M1365" s="12"/>
      <c r="N1365" s="11"/>
      <c r="O1365" s="11" t="s">
        <v>2028</v>
      </c>
    </row>
    <row r="1366" spans="1:15" ht="19.5" customHeight="1" x14ac:dyDescent="0.25">
      <c r="A1366" s="13" t="s">
        <v>8817</v>
      </c>
      <c r="B1366" s="13"/>
      <c r="C1366" s="13" t="s">
        <v>8818</v>
      </c>
      <c r="D1366" s="13" t="s">
        <v>1883</v>
      </c>
      <c r="E1366" s="13" t="s">
        <v>8819</v>
      </c>
      <c r="F1366" s="13" t="s">
        <v>8820</v>
      </c>
      <c r="G1366" s="13" t="s">
        <v>8817</v>
      </c>
      <c r="H1366" s="13"/>
      <c r="I1366" s="13" t="s">
        <v>8821</v>
      </c>
      <c r="J1366" s="13" t="s">
        <v>8822</v>
      </c>
      <c r="K1366" s="13" t="s">
        <v>2033</v>
      </c>
      <c r="L1366" s="13"/>
      <c r="M1366" s="14"/>
      <c r="N1366" s="13"/>
      <c r="O1366" s="13" t="s">
        <v>2028</v>
      </c>
    </row>
    <row r="1367" spans="1:15" ht="19.5" customHeight="1" x14ac:dyDescent="0.25">
      <c r="A1367" s="11" t="s">
        <v>4807</v>
      </c>
      <c r="B1367" s="11"/>
      <c r="C1367" s="11" t="s">
        <v>4813</v>
      </c>
      <c r="D1367" s="11" t="s">
        <v>1883</v>
      </c>
      <c r="E1367" s="11" t="s">
        <v>4812</v>
      </c>
      <c r="F1367" s="11"/>
      <c r="G1367" s="11" t="s">
        <v>4807</v>
      </c>
      <c r="H1367" s="11"/>
      <c r="I1367" s="11" t="s">
        <v>4811</v>
      </c>
      <c r="J1367" s="11" t="s">
        <v>4810</v>
      </c>
      <c r="K1367" s="11" t="s">
        <v>2033</v>
      </c>
      <c r="L1367" s="11"/>
      <c r="M1367" s="12"/>
      <c r="N1367" s="11"/>
      <c r="O1367" s="11" t="s">
        <v>2028</v>
      </c>
    </row>
    <row r="1368" spans="1:15" ht="19.5" customHeight="1" x14ac:dyDescent="0.25">
      <c r="A1368" s="13" t="s">
        <v>4807</v>
      </c>
      <c r="B1368" s="13"/>
      <c r="C1368" s="13" t="s">
        <v>4809</v>
      </c>
      <c r="D1368" s="13" t="s">
        <v>1883</v>
      </c>
      <c r="E1368" s="13" t="s">
        <v>4808</v>
      </c>
      <c r="F1368" s="13"/>
      <c r="G1368" s="13" t="s">
        <v>4807</v>
      </c>
      <c r="H1368" s="13"/>
      <c r="I1368" s="13" t="s">
        <v>4806</v>
      </c>
      <c r="J1368" s="13" t="s">
        <v>4805</v>
      </c>
      <c r="K1368" s="13" t="s">
        <v>2033</v>
      </c>
      <c r="L1368" s="13"/>
      <c r="M1368" s="14"/>
      <c r="N1368" s="13"/>
      <c r="O1368" s="13" t="s">
        <v>2028</v>
      </c>
    </row>
    <row r="1369" spans="1:15" ht="19.5" customHeight="1" x14ac:dyDescent="0.25">
      <c r="A1369" s="11" t="s">
        <v>612</v>
      </c>
      <c r="B1369" s="11"/>
      <c r="C1369" s="11" t="s">
        <v>4804</v>
      </c>
      <c r="D1369" s="11" t="s">
        <v>1883</v>
      </c>
      <c r="E1369" s="11" t="s">
        <v>4801</v>
      </c>
      <c r="F1369" s="11" t="s">
        <v>4800</v>
      </c>
      <c r="G1369" s="11" t="s">
        <v>612</v>
      </c>
      <c r="H1369" s="11"/>
      <c r="I1369" s="11" t="s">
        <v>4799</v>
      </c>
      <c r="J1369" s="11" t="s">
        <v>4798</v>
      </c>
      <c r="K1369" s="11" t="s">
        <v>2033</v>
      </c>
      <c r="L1369" s="11"/>
      <c r="M1369" s="12"/>
      <c r="N1369" s="11"/>
      <c r="O1369" s="11" t="s">
        <v>2028</v>
      </c>
    </row>
    <row r="1370" spans="1:15" ht="19.5" customHeight="1" x14ac:dyDescent="0.25">
      <c r="A1370" s="13" t="s">
        <v>612</v>
      </c>
      <c r="B1370" s="13"/>
      <c r="C1370" s="13" t="s">
        <v>4803</v>
      </c>
      <c r="D1370" s="13" t="s">
        <v>1883</v>
      </c>
      <c r="E1370" s="13" t="s">
        <v>4801</v>
      </c>
      <c r="F1370" s="13" t="s">
        <v>4800</v>
      </c>
      <c r="G1370" s="13" t="s">
        <v>612</v>
      </c>
      <c r="H1370" s="13"/>
      <c r="I1370" s="13" t="s">
        <v>4799</v>
      </c>
      <c r="J1370" s="13" t="s">
        <v>4798</v>
      </c>
      <c r="K1370" s="13" t="s">
        <v>2033</v>
      </c>
      <c r="L1370" s="13"/>
      <c r="M1370" s="14"/>
      <c r="N1370" s="13"/>
      <c r="O1370" s="13" t="s">
        <v>2028</v>
      </c>
    </row>
    <row r="1371" spans="1:15" ht="19.5" customHeight="1" x14ac:dyDescent="0.25">
      <c r="A1371" s="11" t="s">
        <v>612</v>
      </c>
      <c r="B1371" s="11"/>
      <c r="C1371" s="11" t="s">
        <v>4802</v>
      </c>
      <c r="D1371" s="11" t="s">
        <v>1883</v>
      </c>
      <c r="E1371" s="11" t="s">
        <v>4801</v>
      </c>
      <c r="F1371" s="11" t="s">
        <v>4800</v>
      </c>
      <c r="G1371" s="11" t="s">
        <v>612</v>
      </c>
      <c r="H1371" s="11"/>
      <c r="I1371" s="11" t="s">
        <v>4799</v>
      </c>
      <c r="J1371" s="11" t="s">
        <v>4798</v>
      </c>
      <c r="K1371" s="11" t="s">
        <v>2033</v>
      </c>
      <c r="L1371" s="11"/>
      <c r="M1371" s="12"/>
      <c r="N1371" s="11"/>
      <c r="O1371" s="11" t="s">
        <v>2028</v>
      </c>
    </row>
    <row r="1372" spans="1:15" ht="19.5" customHeight="1" x14ac:dyDescent="0.25">
      <c r="A1372" s="13" t="s">
        <v>614</v>
      </c>
      <c r="B1372" s="13"/>
      <c r="C1372" s="13" t="s">
        <v>4797</v>
      </c>
      <c r="D1372" s="13" t="s">
        <v>1883</v>
      </c>
      <c r="E1372" s="13" t="s">
        <v>4796</v>
      </c>
      <c r="F1372" s="13"/>
      <c r="G1372" s="13" t="s">
        <v>614</v>
      </c>
      <c r="H1372" s="13"/>
      <c r="I1372" s="13" t="s">
        <v>4795</v>
      </c>
      <c r="J1372" s="13" t="s">
        <v>4794</v>
      </c>
      <c r="K1372" s="13" t="s">
        <v>1952</v>
      </c>
      <c r="L1372" s="13"/>
      <c r="M1372" s="14"/>
      <c r="N1372" s="13"/>
      <c r="O1372" s="13" t="s">
        <v>2028</v>
      </c>
    </row>
    <row r="1373" spans="1:15" ht="19.5" customHeight="1" x14ac:dyDescent="0.25">
      <c r="A1373" s="11" t="s">
        <v>616</v>
      </c>
      <c r="B1373" s="11"/>
      <c r="C1373" s="11" t="s">
        <v>4793</v>
      </c>
      <c r="D1373" s="11" t="s">
        <v>1883</v>
      </c>
      <c r="E1373" s="11" t="s">
        <v>4790</v>
      </c>
      <c r="F1373" s="11" t="s">
        <v>4789</v>
      </c>
      <c r="G1373" s="11" t="s">
        <v>616</v>
      </c>
      <c r="H1373" s="11" t="s">
        <v>4788</v>
      </c>
      <c r="I1373" s="11" t="s">
        <v>4787</v>
      </c>
      <c r="J1373" s="11" t="s">
        <v>4786</v>
      </c>
      <c r="K1373" s="11" t="s">
        <v>2033</v>
      </c>
      <c r="L1373" s="11"/>
      <c r="M1373" s="12"/>
      <c r="N1373" s="11"/>
      <c r="O1373" s="11" t="s">
        <v>2028</v>
      </c>
    </row>
    <row r="1374" spans="1:15" ht="19.5" customHeight="1" x14ac:dyDescent="0.25">
      <c r="A1374" s="13" t="s">
        <v>616</v>
      </c>
      <c r="B1374" s="13"/>
      <c r="C1374" s="13" t="s">
        <v>4792</v>
      </c>
      <c r="D1374" s="13" t="s">
        <v>1883</v>
      </c>
      <c r="E1374" s="13" t="s">
        <v>4790</v>
      </c>
      <c r="F1374" s="13" t="s">
        <v>4789</v>
      </c>
      <c r="G1374" s="13" t="s">
        <v>616</v>
      </c>
      <c r="H1374" s="13" t="s">
        <v>4788</v>
      </c>
      <c r="I1374" s="13" t="s">
        <v>4787</v>
      </c>
      <c r="J1374" s="13" t="s">
        <v>4786</v>
      </c>
      <c r="K1374" s="13" t="s">
        <v>2033</v>
      </c>
      <c r="L1374" s="13"/>
      <c r="M1374" s="14"/>
      <c r="N1374" s="13"/>
      <c r="O1374" s="13" t="s">
        <v>2028</v>
      </c>
    </row>
    <row r="1375" spans="1:15" ht="19.5" customHeight="1" x14ac:dyDescent="0.25">
      <c r="A1375" s="11" t="s">
        <v>616</v>
      </c>
      <c r="B1375" s="11"/>
      <c r="C1375" s="11" t="s">
        <v>4791</v>
      </c>
      <c r="D1375" s="11" t="s">
        <v>1883</v>
      </c>
      <c r="E1375" s="11" t="s">
        <v>4790</v>
      </c>
      <c r="F1375" s="11" t="s">
        <v>4789</v>
      </c>
      <c r="G1375" s="11" t="s">
        <v>616</v>
      </c>
      <c r="H1375" s="11" t="s">
        <v>4788</v>
      </c>
      <c r="I1375" s="11" t="s">
        <v>4787</v>
      </c>
      <c r="J1375" s="11" t="s">
        <v>4786</v>
      </c>
      <c r="K1375" s="11" t="s">
        <v>2033</v>
      </c>
      <c r="L1375" s="11"/>
      <c r="M1375" s="12"/>
      <c r="N1375" s="11"/>
      <c r="O1375" s="11" t="s">
        <v>2028</v>
      </c>
    </row>
    <row r="1376" spans="1:15" ht="19.5" customHeight="1" x14ac:dyDescent="0.25">
      <c r="A1376" s="13" t="s">
        <v>618</v>
      </c>
      <c r="B1376" s="13"/>
      <c r="C1376" s="13" t="s">
        <v>4785</v>
      </c>
      <c r="D1376" s="13" t="s">
        <v>1883</v>
      </c>
      <c r="E1376" s="13" t="s">
        <v>4782</v>
      </c>
      <c r="F1376" s="13" t="s">
        <v>4781</v>
      </c>
      <c r="G1376" s="13" t="s">
        <v>618</v>
      </c>
      <c r="H1376" s="13" t="s">
        <v>4780</v>
      </c>
      <c r="I1376" s="13" t="s">
        <v>4779</v>
      </c>
      <c r="J1376" s="13" t="s">
        <v>4778</v>
      </c>
      <c r="K1376" s="13" t="s">
        <v>2033</v>
      </c>
      <c r="L1376" s="13"/>
      <c r="M1376" s="14"/>
      <c r="N1376" s="13"/>
      <c r="O1376" s="13" t="s">
        <v>2028</v>
      </c>
    </row>
    <row r="1377" spans="1:15" ht="19.5" customHeight="1" x14ac:dyDescent="0.25">
      <c r="A1377" s="11" t="s">
        <v>618</v>
      </c>
      <c r="B1377" s="11"/>
      <c r="C1377" s="11" t="s">
        <v>4784</v>
      </c>
      <c r="D1377" s="11" t="s">
        <v>1883</v>
      </c>
      <c r="E1377" s="11" t="s">
        <v>4782</v>
      </c>
      <c r="F1377" s="11" t="s">
        <v>4781</v>
      </c>
      <c r="G1377" s="11" t="s">
        <v>618</v>
      </c>
      <c r="H1377" s="11" t="s">
        <v>4780</v>
      </c>
      <c r="I1377" s="11" t="s">
        <v>4779</v>
      </c>
      <c r="J1377" s="11" t="s">
        <v>4778</v>
      </c>
      <c r="K1377" s="11" t="s">
        <v>2033</v>
      </c>
      <c r="L1377" s="11"/>
      <c r="M1377" s="12"/>
      <c r="N1377" s="11"/>
      <c r="O1377" s="11" t="s">
        <v>2028</v>
      </c>
    </row>
    <row r="1378" spans="1:15" ht="19.5" customHeight="1" x14ac:dyDescent="0.25">
      <c r="A1378" s="13" t="s">
        <v>618</v>
      </c>
      <c r="B1378" s="13"/>
      <c r="C1378" s="13" t="s">
        <v>4783</v>
      </c>
      <c r="D1378" s="13" t="s">
        <v>1883</v>
      </c>
      <c r="E1378" s="13" t="s">
        <v>4782</v>
      </c>
      <c r="F1378" s="13" t="s">
        <v>4781</v>
      </c>
      <c r="G1378" s="13" t="s">
        <v>618</v>
      </c>
      <c r="H1378" s="13" t="s">
        <v>4780</v>
      </c>
      <c r="I1378" s="13" t="s">
        <v>4779</v>
      </c>
      <c r="J1378" s="13" t="s">
        <v>4778</v>
      </c>
      <c r="K1378" s="13" t="s">
        <v>2033</v>
      </c>
      <c r="L1378" s="13"/>
      <c r="M1378" s="14"/>
      <c r="N1378" s="13"/>
      <c r="O1378" s="13" t="s">
        <v>2028</v>
      </c>
    </row>
    <row r="1379" spans="1:15" ht="19.5" customHeight="1" x14ac:dyDescent="0.25">
      <c r="A1379" s="11" t="s">
        <v>1409</v>
      </c>
      <c r="B1379" s="11"/>
      <c r="C1379" s="11" t="s">
        <v>4777</v>
      </c>
      <c r="D1379" s="11" t="s">
        <v>1883</v>
      </c>
      <c r="E1379" s="11" t="s">
        <v>4776</v>
      </c>
      <c r="F1379" s="11"/>
      <c r="G1379" s="11" t="s">
        <v>1409</v>
      </c>
      <c r="H1379" s="11"/>
      <c r="I1379" s="11" t="s">
        <v>4775</v>
      </c>
      <c r="J1379" s="11" t="s">
        <v>4774</v>
      </c>
      <c r="K1379" s="11" t="s">
        <v>2033</v>
      </c>
      <c r="L1379" s="11"/>
      <c r="M1379" s="12"/>
      <c r="N1379" s="11"/>
      <c r="O1379" s="11" t="s">
        <v>2028</v>
      </c>
    </row>
    <row r="1380" spans="1:15" ht="19.5" customHeight="1" x14ac:dyDescent="0.25">
      <c r="A1380" s="13" t="s">
        <v>620</v>
      </c>
      <c r="B1380" s="13"/>
      <c r="C1380" s="13" t="s">
        <v>4773</v>
      </c>
      <c r="D1380" s="13" t="s">
        <v>1883</v>
      </c>
      <c r="E1380" s="13" t="s">
        <v>4770</v>
      </c>
      <c r="F1380" s="13" t="s">
        <v>4769</v>
      </c>
      <c r="G1380" s="13" t="s">
        <v>4768</v>
      </c>
      <c r="H1380" s="13"/>
      <c r="I1380" s="13" t="s">
        <v>4767</v>
      </c>
      <c r="J1380" s="13" t="s">
        <v>4766</v>
      </c>
      <c r="K1380" s="13" t="s">
        <v>1952</v>
      </c>
      <c r="L1380" s="13"/>
      <c r="M1380" s="14"/>
      <c r="N1380" s="13"/>
      <c r="O1380" s="13" t="s">
        <v>2028</v>
      </c>
    </row>
    <row r="1381" spans="1:15" ht="19.5" customHeight="1" x14ac:dyDescent="0.25">
      <c r="A1381" s="11" t="s">
        <v>620</v>
      </c>
      <c r="B1381" s="11"/>
      <c r="C1381" s="11" t="s">
        <v>4772</v>
      </c>
      <c r="D1381" s="11" t="s">
        <v>1883</v>
      </c>
      <c r="E1381" s="11" t="s">
        <v>4770</v>
      </c>
      <c r="F1381" s="11" t="s">
        <v>4769</v>
      </c>
      <c r="G1381" s="11" t="s">
        <v>4768</v>
      </c>
      <c r="H1381" s="11"/>
      <c r="I1381" s="11" t="s">
        <v>4767</v>
      </c>
      <c r="J1381" s="11" t="s">
        <v>4766</v>
      </c>
      <c r="K1381" s="11" t="s">
        <v>1952</v>
      </c>
      <c r="L1381" s="11"/>
      <c r="M1381" s="12"/>
      <c r="N1381" s="11"/>
      <c r="O1381" s="11" t="s">
        <v>2028</v>
      </c>
    </row>
    <row r="1382" spans="1:15" ht="19.5" customHeight="1" x14ac:dyDescent="0.25">
      <c r="A1382" s="13" t="s">
        <v>620</v>
      </c>
      <c r="B1382" s="13"/>
      <c r="C1382" s="13" t="s">
        <v>4771</v>
      </c>
      <c r="D1382" s="13" t="s">
        <v>1883</v>
      </c>
      <c r="E1382" s="13" t="s">
        <v>4770</v>
      </c>
      <c r="F1382" s="13" t="s">
        <v>4769</v>
      </c>
      <c r="G1382" s="13" t="s">
        <v>4768</v>
      </c>
      <c r="H1382" s="13"/>
      <c r="I1382" s="13" t="s">
        <v>4767</v>
      </c>
      <c r="J1382" s="13" t="s">
        <v>4766</v>
      </c>
      <c r="K1382" s="13" t="s">
        <v>1952</v>
      </c>
      <c r="L1382" s="13"/>
      <c r="M1382" s="14"/>
      <c r="N1382" s="13"/>
      <c r="O1382" s="13" t="s">
        <v>2028</v>
      </c>
    </row>
    <row r="1383" spans="1:15" ht="19.5" customHeight="1" x14ac:dyDescent="0.25">
      <c r="A1383" s="11" t="s">
        <v>622</v>
      </c>
      <c r="B1383" s="11"/>
      <c r="C1383" s="11" t="s">
        <v>4765</v>
      </c>
      <c r="D1383" s="11" t="s">
        <v>1883</v>
      </c>
      <c r="E1383" s="11" t="s">
        <v>4764</v>
      </c>
      <c r="F1383" s="11" t="s">
        <v>4761</v>
      </c>
      <c r="G1383" s="11" t="s">
        <v>622</v>
      </c>
      <c r="H1383" s="11"/>
      <c r="I1383" s="11"/>
      <c r="J1383" s="11"/>
      <c r="K1383" s="11"/>
      <c r="L1383" s="11"/>
      <c r="M1383" s="12"/>
      <c r="N1383" s="11"/>
      <c r="O1383" s="11" t="s">
        <v>2028</v>
      </c>
    </row>
    <row r="1384" spans="1:15" ht="19.5" customHeight="1" x14ac:dyDescent="0.25">
      <c r="A1384" s="13" t="s">
        <v>622</v>
      </c>
      <c r="B1384" s="13"/>
      <c r="C1384" s="13" t="s">
        <v>4763</v>
      </c>
      <c r="D1384" s="13" t="s">
        <v>1883</v>
      </c>
      <c r="E1384" s="13" t="s">
        <v>4762</v>
      </c>
      <c r="F1384" s="13" t="s">
        <v>4761</v>
      </c>
      <c r="G1384" s="13" t="s">
        <v>622</v>
      </c>
      <c r="H1384" s="13" t="s">
        <v>4760</v>
      </c>
      <c r="I1384" s="13" t="s">
        <v>4759</v>
      </c>
      <c r="J1384" s="13" t="s">
        <v>4758</v>
      </c>
      <c r="K1384" s="13" t="s">
        <v>3599</v>
      </c>
      <c r="L1384" s="13"/>
      <c r="M1384" s="14"/>
      <c r="N1384" s="13"/>
      <c r="O1384" s="13" t="s">
        <v>2028</v>
      </c>
    </row>
    <row r="1385" spans="1:15" ht="19.5" customHeight="1" x14ac:dyDescent="0.25">
      <c r="A1385" s="11" t="s">
        <v>1330</v>
      </c>
      <c r="B1385" s="11"/>
      <c r="C1385" s="11" t="s">
        <v>4757</v>
      </c>
      <c r="D1385" s="11" t="s">
        <v>1883</v>
      </c>
      <c r="E1385" s="11" t="s">
        <v>4756</v>
      </c>
      <c r="F1385" s="11" t="s">
        <v>4755</v>
      </c>
      <c r="G1385" s="11" t="s">
        <v>1330</v>
      </c>
      <c r="H1385" s="11"/>
      <c r="I1385" s="11" t="s">
        <v>4754</v>
      </c>
      <c r="J1385" s="11" t="s">
        <v>4753</v>
      </c>
      <c r="K1385" s="11" t="s">
        <v>3599</v>
      </c>
      <c r="L1385" s="11"/>
      <c r="M1385" s="12"/>
      <c r="N1385" s="11"/>
      <c r="O1385" s="11" t="s">
        <v>2028</v>
      </c>
    </row>
    <row r="1386" spans="1:15" ht="19.5" customHeight="1" x14ac:dyDescent="0.25">
      <c r="A1386" s="13" t="s">
        <v>624</v>
      </c>
      <c r="B1386" s="13"/>
      <c r="C1386" s="13" t="s">
        <v>4752</v>
      </c>
      <c r="D1386" s="13" t="s">
        <v>1883</v>
      </c>
      <c r="E1386" s="13" t="s">
        <v>4749</v>
      </c>
      <c r="F1386" s="13" t="s">
        <v>4748</v>
      </c>
      <c r="G1386" s="13" t="s">
        <v>624</v>
      </c>
      <c r="H1386" s="13" t="s">
        <v>4747</v>
      </c>
      <c r="I1386" s="13" t="s">
        <v>4746</v>
      </c>
      <c r="J1386" s="13" t="s">
        <v>4745</v>
      </c>
      <c r="K1386" s="13" t="s">
        <v>3599</v>
      </c>
      <c r="L1386" s="13"/>
      <c r="M1386" s="14"/>
      <c r="N1386" s="13"/>
      <c r="O1386" s="13" t="s">
        <v>2028</v>
      </c>
    </row>
    <row r="1387" spans="1:15" ht="19.5" customHeight="1" x14ac:dyDescent="0.25">
      <c r="A1387" s="11" t="s">
        <v>624</v>
      </c>
      <c r="B1387" s="11"/>
      <c r="C1387" s="11" t="s">
        <v>4751</v>
      </c>
      <c r="D1387" s="11" t="s">
        <v>1883</v>
      </c>
      <c r="E1387" s="11" t="s">
        <v>4749</v>
      </c>
      <c r="F1387" s="11" t="s">
        <v>4748</v>
      </c>
      <c r="G1387" s="11" t="s">
        <v>624</v>
      </c>
      <c r="H1387" s="11" t="s">
        <v>4747</v>
      </c>
      <c r="I1387" s="11" t="s">
        <v>4746</v>
      </c>
      <c r="J1387" s="11" t="s">
        <v>4745</v>
      </c>
      <c r="K1387" s="11" t="s">
        <v>3599</v>
      </c>
      <c r="L1387" s="11"/>
      <c r="M1387" s="12"/>
      <c r="N1387" s="11"/>
      <c r="O1387" s="11" t="s">
        <v>2028</v>
      </c>
    </row>
    <row r="1388" spans="1:15" ht="19.5" customHeight="1" x14ac:dyDescent="0.25">
      <c r="A1388" s="13" t="s">
        <v>624</v>
      </c>
      <c r="B1388" s="13"/>
      <c r="C1388" s="13" t="s">
        <v>4750</v>
      </c>
      <c r="D1388" s="13" t="s">
        <v>1883</v>
      </c>
      <c r="E1388" s="13" t="s">
        <v>4749</v>
      </c>
      <c r="F1388" s="13" t="s">
        <v>4748</v>
      </c>
      <c r="G1388" s="13" t="s">
        <v>624</v>
      </c>
      <c r="H1388" s="13" t="s">
        <v>4747</v>
      </c>
      <c r="I1388" s="13" t="s">
        <v>4746</v>
      </c>
      <c r="J1388" s="13" t="s">
        <v>4745</v>
      </c>
      <c r="K1388" s="13" t="s">
        <v>3599</v>
      </c>
      <c r="L1388" s="13"/>
      <c r="M1388" s="14"/>
      <c r="N1388" s="13"/>
      <c r="O1388" s="13" t="s">
        <v>2028</v>
      </c>
    </row>
    <row r="1389" spans="1:15" ht="19.5" customHeight="1" x14ac:dyDescent="0.25">
      <c r="A1389" s="11" t="s">
        <v>1604</v>
      </c>
      <c r="B1389" s="11"/>
      <c r="C1389" s="11" t="s">
        <v>4744</v>
      </c>
      <c r="D1389" s="11" t="s">
        <v>1883</v>
      </c>
      <c r="E1389" s="11" t="s">
        <v>4743</v>
      </c>
      <c r="F1389" s="11"/>
      <c r="G1389" s="11" t="s">
        <v>1604</v>
      </c>
      <c r="H1389" s="11"/>
      <c r="I1389" s="11" t="s">
        <v>4742</v>
      </c>
      <c r="J1389" s="11" t="s">
        <v>4741</v>
      </c>
      <c r="K1389" s="11" t="s">
        <v>3599</v>
      </c>
      <c r="L1389" s="11"/>
      <c r="M1389" s="12"/>
      <c r="N1389" s="11"/>
      <c r="O1389" s="11" t="s">
        <v>2028</v>
      </c>
    </row>
    <row r="1390" spans="1:15" ht="19.5" customHeight="1" x14ac:dyDescent="0.25">
      <c r="A1390" s="13" t="s">
        <v>626</v>
      </c>
      <c r="B1390" s="13"/>
      <c r="C1390" s="13" t="s">
        <v>625</v>
      </c>
      <c r="D1390" s="13" t="s">
        <v>1883</v>
      </c>
      <c r="E1390" s="13" t="s">
        <v>4740</v>
      </c>
      <c r="F1390" s="13"/>
      <c r="G1390" s="13" t="s">
        <v>626</v>
      </c>
      <c r="H1390" s="13"/>
      <c r="I1390" s="13"/>
      <c r="J1390" s="13"/>
      <c r="K1390" s="13"/>
      <c r="L1390" s="13"/>
      <c r="M1390" s="14"/>
      <c r="N1390" s="13"/>
      <c r="O1390" s="13" t="s">
        <v>2028</v>
      </c>
    </row>
    <row r="1391" spans="1:15" ht="19.5" customHeight="1" x14ac:dyDescent="0.25">
      <c r="A1391" s="11" t="s">
        <v>628</v>
      </c>
      <c r="B1391" s="11"/>
      <c r="C1391" s="11" t="s">
        <v>4739</v>
      </c>
      <c r="D1391" s="11" t="s">
        <v>1883</v>
      </c>
      <c r="E1391" s="11" t="s">
        <v>4738</v>
      </c>
      <c r="F1391" s="11" t="s">
        <v>4737</v>
      </c>
      <c r="G1391" s="11" t="s">
        <v>628</v>
      </c>
      <c r="H1391" s="11"/>
      <c r="I1391" s="11" t="s">
        <v>4736</v>
      </c>
      <c r="J1391" s="11" t="s">
        <v>4735</v>
      </c>
      <c r="K1391" s="11" t="s">
        <v>1952</v>
      </c>
      <c r="L1391" s="11"/>
      <c r="M1391" s="12"/>
      <c r="N1391" s="11"/>
      <c r="O1391" s="11" t="s">
        <v>2028</v>
      </c>
    </row>
    <row r="1392" spans="1:15" ht="19.5" customHeight="1" x14ac:dyDescent="0.25">
      <c r="A1392" s="13" t="s">
        <v>630</v>
      </c>
      <c r="B1392" s="13"/>
      <c r="C1392" s="13" t="s">
        <v>4734</v>
      </c>
      <c r="D1392" s="13" t="s">
        <v>1883</v>
      </c>
      <c r="E1392" s="13" t="s">
        <v>4730</v>
      </c>
      <c r="F1392" s="13" t="s">
        <v>4729</v>
      </c>
      <c r="G1392" s="13" t="s">
        <v>4733</v>
      </c>
      <c r="H1392" s="13" t="s">
        <v>4728</v>
      </c>
      <c r="I1392" s="13" t="s">
        <v>8823</v>
      </c>
      <c r="J1392" s="13" t="s">
        <v>8824</v>
      </c>
      <c r="K1392" s="13" t="s">
        <v>1952</v>
      </c>
      <c r="L1392" s="13"/>
      <c r="M1392" s="14"/>
      <c r="N1392" s="13"/>
      <c r="O1392" s="13" t="s">
        <v>2028</v>
      </c>
    </row>
    <row r="1393" spans="1:15" ht="19.5" customHeight="1" x14ac:dyDescent="0.25">
      <c r="A1393" s="11" t="s">
        <v>630</v>
      </c>
      <c r="B1393" s="11"/>
      <c r="C1393" s="11" t="s">
        <v>4732</v>
      </c>
      <c r="D1393" s="11" t="s">
        <v>1883</v>
      </c>
      <c r="E1393" s="11" t="s">
        <v>4730</v>
      </c>
      <c r="F1393" s="11" t="s">
        <v>4729</v>
      </c>
      <c r="G1393" s="11" t="s">
        <v>630</v>
      </c>
      <c r="H1393" s="11" t="s">
        <v>4728</v>
      </c>
      <c r="I1393" s="11" t="s">
        <v>8825</v>
      </c>
      <c r="J1393" s="11" t="s">
        <v>8824</v>
      </c>
      <c r="K1393" s="11" t="s">
        <v>1952</v>
      </c>
      <c r="L1393" s="11"/>
      <c r="M1393" s="12"/>
      <c r="N1393" s="11"/>
      <c r="O1393" s="11" t="s">
        <v>2028</v>
      </c>
    </row>
    <row r="1394" spans="1:15" ht="19.5" customHeight="1" x14ac:dyDescent="0.25">
      <c r="A1394" s="13" t="s">
        <v>630</v>
      </c>
      <c r="B1394" s="13"/>
      <c r="C1394" s="13" t="s">
        <v>4731</v>
      </c>
      <c r="D1394" s="13" t="s">
        <v>1883</v>
      </c>
      <c r="E1394" s="13" t="s">
        <v>4730</v>
      </c>
      <c r="F1394" s="13" t="s">
        <v>4729</v>
      </c>
      <c r="G1394" s="13" t="s">
        <v>630</v>
      </c>
      <c r="H1394" s="13" t="s">
        <v>4728</v>
      </c>
      <c r="I1394" s="13" t="s">
        <v>8823</v>
      </c>
      <c r="J1394" s="13" t="s">
        <v>8824</v>
      </c>
      <c r="K1394" s="13" t="s">
        <v>1952</v>
      </c>
      <c r="L1394" s="13"/>
      <c r="M1394" s="14"/>
      <c r="N1394" s="13"/>
      <c r="O1394" s="13" t="s">
        <v>2028</v>
      </c>
    </row>
    <row r="1395" spans="1:15" ht="19.5" customHeight="1" x14ac:dyDescent="0.25">
      <c r="A1395" s="11" t="s">
        <v>1364</v>
      </c>
      <c r="B1395" s="11"/>
      <c r="C1395" s="11" t="s">
        <v>4726</v>
      </c>
      <c r="D1395" s="11" t="s">
        <v>1883</v>
      </c>
      <c r="E1395" s="11" t="s">
        <v>4725</v>
      </c>
      <c r="F1395" s="11"/>
      <c r="G1395" s="11" t="s">
        <v>1364</v>
      </c>
      <c r="H1395" s="11" t="s">
        <v>4724</v>
      </c>
      <c r="I1395" s="11" t="s">
        <v>4723</v>
      </c>
      <c r="J1395" s="11" t="s">
        <v>4722</v>
      </c>
      <c r="K1395" s="11" t="s">
        <v>2033</v>
      </c>
      <c r="L1395" s="11"/>
      <c r="M1395" s="12"/>
      <c r="N1395" s="11"/>
      <c r="O1395" s="11" t="s">
        <v>2028</v>
      </c>
    </row>
    <row r="1396" spans="1:15" ht="19.5" customHeight="1" x14ac:dyDescent="0.25">
      <c r="A1396" s="13" t="s">
        <v>272</v>
      </c>
      <c r="B1396" s="13"/>
      <c r="C1396" s="13" t="s">
        <v>4721</v>
      </c>
      <c r="D1396" s="13" t="s">
        <v>1883</v>
      </c>
      <c r="E1396" s="13" t="s">
        <v>4718</v>
      </c>
      <c r="F1396" s="13" t="s">
        <v>4717</v>
      </c>
      <c r="G1396" s="13" t="s">
        <v>272</v>
      </c>
      <c r="H1396" s="13" t="s">
        <v>4716</v>
      </c>
      <c r="I1396" s="13" t="s">
        <v>4715</v>
      </c>
      <c r="J1396" s="13" t="s">
        <v>4714</v>
      </c>
      <c r="K1396" s="13" t="s">
        <v>3599</v>
      </c>
      <c r="L1396" s="13"/>
      <c r="M1396" s="14"/>
      <c r="N1396" s="13"/>
      <c r="O1396" s="13" t="s">
        <v>2028</v>
      </c>
    </row>
    <row r="1397" spans="1:15" ht="19.5" customHeight="1" x14ac:dyDescent="0.25">
      <c r="A1397" s="11" t="s">
        <v>272</v>
      </c>
      <c r="B1397" s="11"/>
      <c r="C1397" s="11" t="s">
        <v>4720</v>
      </c>
      <c r="D1397" s="11" t="s">
        <v>1883</v>
      </c>
      <c r="E1397" s="11" t="s">
        <v>4718</v>
      </c>
      <c r="F1397" s="11" t="s">
        <v>4717</v>
      </c>
      <c r="G1397" s="11" t="s">
        <v>272</v>
      </c>
      <c r="H1397" s="11" t="s">
        <v>4716</v>
      </c>
      <c r="I1397" s="11" t="s">
        <v>4715</v>
      </c>
      <c r="J1397" s="11" t="s">
        <v>4714</v>
      </c>
      <c r="K1397" s="11" t="s">
        <v>3599</v>
      </c>
      <c r="L1397" s="11"/>
      <c r="M1397" s="12"/>
      <c r="N1397" s="11"/>
      <c r="O1397" s="11" t="s">
        <v>2028</v>
      </c>
    </row>
    <row r="1398" spans="1:15" ht="19.5" customHeight="1" x14ac:dyDescent="0.25">
      <c r="A1398" s="13" t="s">
        <v>272</v>
      </c>
      <c r="B1398" s="13"/>
      <c r="C1398" s="13" t="s">
        <v>4719</v>
      </c>
      <c r="D1398" s="13" t="s">
        <v>1883</v>
      </c>
      <c r="E1398" s="13" t="s">
        <v>4718</v>
      </c>
      <c r="F1398" s="13" t="s">
        <v>4717</v>
      </c>
      <c r="G1398" s="13" t="s">
        <v>272</v>
      </c>
      <c r="H1398" s="13" t="s">
        <v>4716</v>
      </c>
      <c r="I1398" s="13" t="s">
        <v>4715</v>
      </c>
      <c r="J1398" s="13" t="s">
        <v>4714</v>
      </c>
      <c r="K1398" s="13" t="s">
        <v>3599</v>
      </c>
      <c r="L1398" s="13"/>
      <c r="M1398" s="14"/>
      <c r="N1398" s="13"/>
      <c r="O1398" s="13" t="s">
        <v>2028</v>
      </c>
    </row>
    <row r="1399" spans="1:15" ht="19.5" customHeight="1" x14ac:dyDescent="0.25">
      <c r="A1399" s="11" t="s">
        <v>1219</v>
      </c>
      <c r="B1399" s="11"/>
      <c r="C1399" s="11" t="s">
        <v>4713</v>
      </c>
      <c r="D1399" s="11" t="s">
        <v>1883</v>
      </c>
      <c r="E1399" s="11" t="s">
        <v>4712</v>
      </c>
      <c r="F1399" s="11" t="s">
        <v>4711</v>
      </c>
      <c r="G1399" s="11" t="s">
        <v>1219</v>
      </c>
      <c r="H1399" s="11"/>
      <c r="I1399" s="11" t="s">
        <v>4710</v>
      </c>
      <c r="J1399" s="11" t="s">
        <v>4709</v>
      </c>
      <c r="K1399" s="11" t="s">
        <v>2033</v>
      </c>
      <c r="L1399" s="11"/>
      <c r="M1399" s="12"/>
      <c r="N1399" s="11"/>
      <c r="O1399" s="11" t="s">
        <v>2028</v>
      </c>
    </row>
    <row r="1400" spans="1:15" ht="19.5" customHeight="1" x14ac:dyDescent="0.25">
      <c r="A1400" s="13" t="s">
        <v>1312</v>
      </c>
      <c r="B1400" s="13"/>
      <c r="C1400" s="13" t="s">
        <v>4708</v>
      </c>
      <c r="D1400" s="13" t="s">
        <v>1883</v>
      </c>
      <c r="E1400" s="13" t="s">
        <v>4707</v>
      </c>
      <c r="F1400" s="13" t="s">
        <v>4706</v>
      </c>
      <c r="G1400" s="13" t="s">
        <v>4705</v>
      </c>
      <c r="H1400" s="13"/>
      <c r="I1400" s="13" t="s">
        <v>4704</v>
      </c>
      <c r="J1400" s="13" t="s">
        <v>4703</v>
      </c>
      <c r="K1400" s="13" t="s">
        <v>3641</v>
      </c>
      <c r="L1400" s="13"/>
      <c r="M1400" s="14"/>
      <c r="N1400" s="13"/>
      <c r="O1400" s="13" t="s">
        <v>2028</v>
      </c>
    </row>
    <row r="1401" spans="1:15" ht="19.5" customHeight="1" x14ac:dyDescent="0.25">
      <c r="A1401" s="11" t="s">
        <v>1255</v>
      </c>
      <c r="B1401" s="11"/>
      <c r="C1401" s="11" t="s">
        <v>4702</v>
      </c>
      <c r="D1401" s="11" t="s">
        <v>1883</v>
      </c>
      <c r="E1401" s="11" t="s">
        <v>4701</v>
      </c>
      <c r="F1401" s="11"/>
      <c r="G1401" s="11" t="s">
        <v>1255</v>
      </c>
      <c r="H1401" s="11"/>
      <c r="I1401" s="11" t="s">
        <v>4700</v>
      </c>
      <c r="J1401" s="11" t="s">
        <v>4699</v>
      </c>
      <c r="K1401" s="11" t="s">
        <v>1952</v>
      </c>
      <c r="L1401" s="11"/>
      <c r="M1401" s="12"/>
      <c r="N1401" s="11"/>
      <c r="O1401" s="11" t="s">
        <v>2028</v>
      </c>
    </row>
    <row r="1402" spans="1:15" ht="19.5" customHeight="1" x14ac:dyDescent="0.25">
      <c r="A1402" s="13" t="s">
        <v>632</v>
      </c>
      <c r="B1402" s="13"/>
      <c r="C1402" s="13" t="s">
        <v>4698</v>
      </c>
      <c r="D1402" s="13" t="s">
        <v>1883</v>
      </c>
      <c r="E1402" s="13" t="s">
        <v>4696</v>
      </c>
      <c r="F1402" s="13"/>
      <c r="G1402" s="13" t="s">
        <v>632</v>
      </c>
      <c r="H1402" s="13" t="s">
        <v>4695</v>
      </c>
      <c r="I1402" s="13" t="s">
        <v>4694</v>
      </c>
      <c r="J1402" s="13" t="s">
        <v>4693</v>
      </c>
      <c r="K1402" s="13" t="s">
        <v>3599</v>
      </c>
      <c r="L1402" s="13"/>
      <c r="M1402" s="14"/>
      <c r="N1402" s="13"/>
      <c r="O1402" s="13" t="s">
        <v>2028</v>
      </c>
    </row>
    <row r="1403" spans="1:15" ht="19.5" customHeight="1" x14ac:dyDescent="0.25">
      <c r="A1403" s="11" t="s">
        <v>632</v>
      </c>
      <c r="B1403" s="11"/>
      <c r="C1403" s="11" t="s">
        <v>4697</v>
      </c>
      <c r="D1403" s="11" t="s">
        <v>1883</v>
      </c>
      <c r="E1403" s="11" t="s">
        <v>4696</v>
      </c>
      <c r="F1403" s="11"/>
      <c r="G1403" s="11" t="s">
        <v>632</v>
      </c>
      <c r="H1403" s="11" t="s">
        <v>4695</v>
      </c>
      <c r="I1403" s="11" t="s">
        <v>4694</v>
      </c>
      <c r="J1403" s="11" t="s">
        <v>4693</v>
      </c>
      <c r="K1403" s="11" t="s">
        <v>3599</v>
      </c>
      <c r="L1403" s="11"/>
      <c r="M1403" s="12"/>
      <c r="N1403" s="11"/>
      <c r="O1403" s="11" t="s">
        <v>2028</v>
      </c>
    </row>
    <row r="1404" spans="1:15" ht="19.5" customHeight="1" x14ac:dyDescent="0.25">
      <c r="A1404" s="13" t="s">
        <v>634</v>
      </c>
      <c r="B1404" s="13"/>
      <c r="C1404" s="13" t="s">
        <v>4692</v>
      </c>
      <c r="D1404" s="13" t="s">
        <v>1883</v>
      </c>
      <c r="E1404" s="13" t="s">
        <v>4691</v>
      </c>
      <c r="F1404" s="13"/>
      <c r="G1404" s="13" t="s">
        <v>634</v>
      </c>
      <c r="H1404" s="13"/>
      <c r="I1404" s="13" t="s">
        <v>4690</v>
      </c>
      <c r="J1404" s="13" t="s">
        <v>4686</v>
      </c>
      <c r="K1404" s="13" t="s">
        <v>1952</v>
      </c>
      <c r="L1404" s="13"/>
      <c r="M1404" s="14"/>
      <c r="N1404" s="13"/>
      <c r="O1404" s="13" t="s">
        <v>2028</v>
      </c>
    </row>
    <row r="1405" spans="1:15" ht="19.5" customHeight="1" x14ac:dyDescent="0.25">
      <c r="A1405" s="11" t="s">
        <v>634</v>
      </c>
      <c r="B1405" s="11"/>
      <c r="C1405" s="11" t="s">
        <v>4689</v>
      </c>
      <c r="D1405" s="11" t="s">
        <v>1883</v>
      </c>
      <c r="E1405" s="11" t="s">
        <v>4688</v>
      </c>
      <c r="F1405" s="11"/>
      <c r="G1405" s="11" t="s">
        <v>634</v>
      </c>
      <c r="H1405" s="11"/>
      <c r="I1405" s="11" t="s">
        <v>4687</v>
      </c>
      <c r="J1405" s="11" t="s">
        <v>4686</v>
      </c>
      <c r="K1405" s="11" t="s">
        <v>1952</v>
      </c>
      <c r="L1405" s="11"/>
      <c r="M1405" s="12"/>
      <c r="N1405" s="11"/>
      <c r="O1405" s="11" t="s">
        <v>2028</v>
      </c>
    </row>
    <row r="1406" spans="1:15" ht="19.5" customHeight="1" x14ac:dyDescent="0.25">
      <c r="A1406" s="13" t="s">
        <v>636</v>
      </c>
      <c r="B1406" s="13"/>
      <c r="C1406" s="13" t="s">
        <v>4685</v>
      </c>
      <c r="D1406" s="13" t="s">
        <v>1883</v>
      </c>
      <c r="E1406" s="13" t="s">
        <v>4682</v>
      </c>
      <c r="F1406" s="13" t="s">
        <v>4681</v>
      </c>
      <c r="G1406" s="13" t="s">
        <v>636</v>
      </c>
      <c r="H1406" s="13" t="s">
        <v>4680</v>
      </c>
      <c r="I1406" s="13" t="s">
        <v>4679</v>
      </c>
      <c r="J1406" s="13" t="s">
        <v>4678</v>
      </c>
      <c r="K1406" s="13" t="s">
        <v>3599</v>
      </c>
      <c r="L1406" s="13"/>
      <c r="M1406" s="14"/>
      <c r="N1406" s="13"/>
      <c r="O1406" s="13" t="s">
        <v>2028</v>
      </c>
    </row>
    <row r="1407" spans="1:15" ht="19.5" customHeight="1" x14ac:dyDescent="0.25">
      <c r="A1407" s="11" t="s">
        <v>636</v>
      </c>
      <c r="B1407" s="11"/>
      <c r="C1407" s="11" t="s">
        <v>4684</v>
      </c>
      <c r="D1407" s="11" t="s">
        <v>1883</v>
      </c>
      <c r="E1407" s="11" t="s">
        <v>4682</v>
      </c>
      <c r="F1407" s="11" t="s">
        <v>4681</v>
      </c>
      <c r="G1407" s="11" t="s">
        <v>636</v>
      </c>
      <c r="H1407" s="11" t="s">
        <v>4680</v>
      </c>
      <c r="I1407" s="11" t="s">
        <v>4679</v>
      </c>
      <c r="J1407" s="11" t="s">
        <v>4678</v>
      </c>
      <c r="K1407" s="11" t="s">
        <v>3599</v>
      </c>
      <c r="L1407" s="11"/>
      <c r="M1407" s="12"/>
      <c r="N1407" s="11"/>
      <c r="O1407" s="11" t="s">
        <v>2028</v>
      </c>
    </row>
    <row r="1408" spans="1:15" ht="19.5" customHeight="1" x14ac:dyDescent="0.25">
      <c r="A1408" s="13" t="s">
        <v>636</v>
      </c>
      <c r="B1408" s="13"/>
      <c r="C1408" s="13" t="s">
        <v>4683</v>
      </c>
      <c r="D1408" s="13" t="s">
        <v>1883</v>
      </c>
      <c r="E1408" s="13" t="s">
        <v>4682</v>
      </c>
      <c r="F1408" s="13" t="s">
        <v>4681</v>
      </c>
      <c r="G1408" s="13" t="s">
        <v>636</v>
      </c>
      <c r="H1408" s="13" t="s">
        <v>4680</v>
      </c>
      <c r="I1408" s="13" t="s">
        <v>4679</v>
      </c>
      <c r="J1408" s="13" t="s">
        <v>4678</v>
      </c>
      <c r="K1408" s="13" t="s">
        <v>3599</v>
      </c>
      <c r="L1408" s="13"/>
      <c r="M1408" s="14"/>
      <c r="N1408" s="13"/>
      <c r="O1408" s="13" t="s">
        <v>2028</v>
      </c>
    </row>
    <row r="1409" spans="1:15" ht="19.5" customHeight="1" x14ac:dyDescent="0.25">
      <c r="A1409" s="11" t="s">
        <v>1841</v>
      </c>
      <c r="B1409" s="11"/>
      <c r="C1409" s="11" t="s">
        <v>1840</v>
      </c>
      <c r="D1409" s="11" t="s">
        <v>1883</v>
      </c>
      <c r="E1409" s="11" t="s">
        <v>4677</v>
      </c>
      <c r="F1409" s="11" t="s">
        <v>4676</v>
      </c>
      <c r="G1409" s="11" t="s">
        <v>1841</v>
      </c>
      <c r="H1409" s="11"/>
      <c r="I1409" s="11" t="s">
        <v>4675</v>
      </c>
      <c r="J1409" s="11" t="s">
        <v>4674</v>
      </c>
      <c r="K1409" s="11" t="s">
        <v>3599</v>
      </c>
      <c r="L1409" s="11"/>
      <c r="M1409" s="12"/>
      <c r="N1409" s="11"/>
      <c r="O1409" s="11" t="s">
        <v>2028</v>
      </c>
    </row>
    <row r="1410" spans="1:15" ht="19.5" customHeight="1" x14ac:dyDescent="0.25">
      <c r="A1410" s="13" t="s">
        <v>1761</v>
      </c>
      <c r="B1410" s="13"/>
      <c r="C1410" s="13" t="s">
        <v>4673</v>
      </c>
      <c r="D1410" s="13" t="s">
        <v>1883</v>
      </c>
      <c r="E1410" s="13" t="s">
        <v>4672</v>
      </c>
      <c r="F1410" s="13"/>
      <c r="G1410" s="13" t="s">
        <v>1761</v>
      </c>
      <c r="H1410" s="13"/>
      <c r="I1410" s="13" t="s">
        <v>4671</v>
      </c>
      <c r="J1410" s="13" t="s">
        <v>4670</v>
      </c>
      <c r="K1410" s="13" t="s">
        <v>3599</v>
      </c>
      <c r="L1410" s="13"/>
      <c r="M1410" s="14"/>
      <c r="N1410" s="13"/>
      <c r="O1410" s="13" t="s">
        <v>2028</v>
      </c>
    </row>
    <row r="1411" spans="1:15" ht="19.5" customHeight="1" x14ac:dyDescent="0.25">
      <c r="A1411" s="11" t="s">
        <v>1118</v>
      </c>
      <c r="B1411" s="11"/>
      <c r="C1411" s="11" t="s">
        <v>4669</v>
      </c>
      <c r="D1411" s="11" t="s">
        <v>1883</v>
      </c>
      <c r="E1411" s="11" t="s">
        <v>4667</v>
      </c>
      <c r="F1411" s="11" t="s">
        <v>4666</v>
      </c>
      <c r="G1411" s="11" t="s">
        <v>1118</v>
      </c>
      <c r="H1411" s="11" t="s">
        <v>4665</v>
      </c>
      <c r="I1411" s="11" t="s">
        <v>4664</v>
      </c>
      <c r="J1411" s="11" t="s">
        <v>4663</v>
      </c>
      <c r="K1411" s="11" t="s">
        <v>3599</v>
      </c>
      <c r="L1411" s="11"/>
      <c r="M1411" s="12"/>
      <c r="N1411" s="11"/>
      <c r="O1411" s="11" t="s">
        <v>2028</v>
      </c>
    </row>
    <row r="1412" spans="1:15" ht="19.5" customHeight="1" x14ac:dyDescent="0.25">
      <c r="A1412" s="13" t="s">
        <v>1118</v>
      </c>
      <c r="B1412" s="13"/>
      <c r="C1412" s="13" t="s">
        <v>4668</v>
      </c>
      <c r="D1412" s="13" t="s">
        <v>1883</v>
      </c>
      <c r="E1412" s="13" t="s">
        <v>4667</v>
      </c>
      <c r="F1412" s="13" t="s">
        <v>4666</v>
      </c>
      <c r="G1412" s="13" t="s">
        <v>1118</v>
      </c>
      <c r="H1412" s="13" t="s">
        <v>4665</v>
      </c>
      <c r="I1412" s="13" t="s">
        <v>4664</v>
      </c>
      <c r="J1412" s="13" t="s">
        <v>4663</v>
      </c>
      <c r="K1412" s="13" t="s">
        <v>3599</v>
      </c>
      <c r="L1412" s="13"/>
      <c r="M1412" s="14"/>
      <c r="N1412" s="13"/>
      <c r="O1412" s="13" t="s">
        <v>2028</v>
      </c>
    </row>
    <row r="1413" spans="1:15" ht="19.5" customHeight="1" x14ac:dyDescent="0.25">
      <c r="A1413" s="11" t="s">
        <v>638</v>
      </c>
      <c r="B1413" s="11"/>
      <c r="C1413" s="11" t="s">
        <v>4662</v>
      </c>
      <c r="D1413" s="11" t="s">
        <v>1883</v>
      </c>
      <c r="E1413" s="11" t="s">
        <v>4659</v>
      </c>
      <c r="F1413" s="11" t="s">
        <v>4658</v>
      </c>
      <c r="G1413" s="11" t="s">
        <v>638</v>
      </c>
      <c r="H1413" s="11" t="s">
        <v>4657</v>
      </c>
      <c r="I1413" s="11" t="s">
        <v>4656</v>
      </c>
      <c r="J1413" s="11" t="s">
        <v>4655</v>
      </c>
      <c r="K1413" s="11" t="s">
        <v>3599</v>
      </c>
      <c r="L1413" s="11"/>
      <c r="M1413" s="12"/>
      <c r="N1413" s="11"/>
      <c r="O1413" s="11" t="s">
        <v>2028</v>
      </c>
    </row>
    <row r="1414" spans="1:15" ht="19.5" customHeight="1" x14ac:dyDescent="0.25">
      <c r="A1414" s="13" t="s">
        <v>638</v>
      </c>
      <c r="B1414" s="13"/>
      <c r="C1414" s="13" t="s">
        <v>4661</v>
      </c>
      <c r="D1414" s="13" t="s">
        <v>1883</v>
      </c>
      <c r="E1414" s="13" t="s">
        <v>4659</v>
      </c>
      <c r="F1414" s="13" t="s">
        <v>4658</v>
      </c>
      <c r="G1414" s="13" t="s">
        <v>638</v>
      </c>
      <c r="H1414" s="13" t="s">
        <v>4657</v>
      </c>
      <c r="I1414" s="13" t="s">
        <v>4656</v>
      </c>
      <c r="J1414" s="13" t="s">
        <v>4655</v>
      </c>
      <c r="K1414" s="13" t="s">
        <v>3599</v>
      </c>
      <c r="L1414" s="13"/>
      <c r="M1414" s="14"/>
      <c r="N1414" s="13"/>
      <c r="O1414" s="13" t="s">
        <v>2028</v>
      </c>
    </row>
    <row r="1415" spans="1:15" ht="19.5" customHeight="1" x14ac:dyDescent="0.25">
      <c r="A1415" s="11" t="s">
        <v>638</v>
      </c>
      <c r="B1415" s="11"/>
      <c r="C1415" s="11" t="s">
        <v>4660</v>
      </c>
      <c r="D1415" s="11" t="s">
        <v>1883</v>
      </c>
      <c r="E1415" s="11" t="s">
        <v>4659</v>
      </c>
      <c r="F1415" s="11" t="s">
        <v>4658</v>
      </c>
      <c r="G1415" s="11" t="s">
        <v>638</v>
      </c>
      <c r="H1415" s="11" t="s">
        <v>4657</v>
      </c>
      <c r="I1415" s="11" t="s">
        <v>4656</v>
      </c>
      <c r="J1415" s="11" t="s">
        <v>4655</v>
      </c>
      <c r="K1415" s="11" t="s">
        <v>3599</v>
      </c>
      <c r="L1415" s="11"/>
      <c r="M1415" s="12"/>
      <c r="N1415" s="11"/>
      <c r="O1415" s="11" t="s">
        <v>2028</v>
      </c>
    </row>
    <row r="1416" spans="1:15" ht="19.5" customHeight="1" x14ac:dyDescent="0.25">
      <c r="A1416" s="13" t="s">
        <v>1821</v>
      </c>
      <c r="B1416" s="13"/>
      <c r="C1416" s="13" t="s">
        <v>1820</v>
      </c>
      <c r="D1416" s="13" t="s">
        <v>1883</v>
      </c>
      <c r="E1416" s="13" t="s">
        <v>4654</v>
      </c>
      <c r="F1416" s="13" t="s">
        <v>4653</v>
      </c>
      <c r="G1416" s="13" t="s">
        <v>1821</v>
      </c>
      <c r="H1416" s="13"/>
      <c r="I1416" s="13" t="s">
        <v>4652</v>
      </c>
      <c r="J1416" s="13" t="s">
        <v>4651</v>
      </c>
      <c r="K1416" s="13" t="s">
        <v>3599</v>
      </c>
      <c r="L1416" s="13"/>
      <c r="M1416" s="14"/>
      <c r="N1416" s="13"/>
      <c r="O1416" s="13" t="s">
        <v>2028</v>
      </c>
    </row>
    <row r="1417" spans="1:15" ht="19.5" customHeight="1" x14ac:dyDescent="0.25">
      <c r="A1417" s="11" t="s">
        <v>640</v>
      </c>
      <c r="B1417" s="11"/>
      <c r="C1417" s="11" t="s">
        <v>4650</v>
      </c>
      <c r="D1417" s="11" t="s">
        <v>1883</v>
      </c>
      <c r="E1417" s="11" t="s">
        <v>4647</v>
      </c>
      <c r="F1417" s="11" t="s">
        <v>4646</v>
      </c>
      <c r="G1417" s="11" t="s">
        <v>640</v>
      </c>
      <c r="H1417" s="11" t="s">
        <v>4645</v>
      </c>
      <c r="I1417" s="11" t="s">
        <v>4644</v>
      </c>
      <c r="J1417" s="11" t="s">
        <v>4643</v>
      </c>
      <c r="K1417" s="11" t="s">
        <v>3599</v>
      </c>
      <c r="L1417" s="11"/>
      <c r="M1417" s="12"/>
      <c r="N1417" s="11"/>
      <c r="O1417" s="11" t="s">
        <v>2028</v>
      </c>
    </row>
    <row r="1418" spans="1:15" ht="19.5" customHeight="1" x14ac:dyDescent="0.25">
      <c r="A1418" s="13" t="s">
        <v>640</v>
      </c>
      <c r="B1418" s="13"/>
      <c r="C1418" s="13" t="s">
        <v>4649</v>
      </c>
      <c r="D1418" s="13" t="s">
        <v>1883</v>
      </c>
      <c r="E1418" s="13" t="s">
        <v>4647</v>
      </c>
      <c r="F1418" s="13" t="s">
        <v>4646</v>
      </c>
      <c r="G1418" s="13" t="s">
        <v>640</v>
      </c>
      <c r="H1418" s="13" t="s">
        <v>4645</v>
      </c>
      <c r="I1418" s="13" t="s">
        <v>4644</v>
      </c>
      <c r="J1418" s="13" t="s">
        <v>4643</v>
      </c>
      <c r="K1418" s="13" t="s">
        <v>3599</v>
      </c>
      <c r="L1418" s="13"/>
      <c r="M1418" s="14"/>
      <c r="N1418" s="13"/>
      <c r="O1418" s="13" t="s">
        <v>2028</v>
      </c>
    </row>
    <row r="1419" spans="1:15" ht="19.5" customHeight="1" x14ac:dyDescent="0.25">
      <c r="A1419" s="11" t="s">
        <v>640</v>
      </c>
      <c r="B1419" s="11"/>
      <c r="C1419" s="11" t="s">
        <v>4648</v>
      </c>
      <c r="D1419" s="11" t="s">
        <v>1883</v>
      </c>
      <c r="E1419" s="11" t="s">
        <v>4647</v>
      </c>
      <c r="F1419" s="11" t="s">
        <v>4646</v>
      </c>
      <c r="G1419" s="11" t="s">
        <v>640</v>
      </c>
      <c r="H1419" s="11" t="s">
        <v>4645</v>
      </c>
      <c r="I1419" s="11" t="s">
        <v>4644</v>
      </c>
      <c r="J1419" s="11" t="s">
        <v>4643</v>
      </c>
      <c r="K1419" s="11" t="s">
        <v>3599</v>
      </c>
      <c r="L1419" s="11"/>
      <c r="M1419" s="12"/>
      <c r="N1419" s="11"/>
      <c r="O1419" s="11" t="s">
        <v>2028</v>
      </c>
    </row>
    <row r="1420" spans="1:15" ht="19.5" customHeight="1" x14ac:dyDescent="0.25">
      <c r="A1420" s="13" t="s">
        <v>642</v>
      </c>
      <c r="B1420" s="13"/>
      <c r="C1420" s="13" t="s">
        <v>4642</v>
      </c>
      <c r="D1420" s="13" t="s">
        <v>1883</v>
      </c>
      <c r="E1420" s="13" t="s">
        <v>4641</v>
      </c>
      <c r="F1420" s="13"/>
      <c r="G1420" s="13" t="s">
        <v>642</v>
      </c>
      <c r="H1420" s="13" t="s">
        <v>4640</v>
      </c>
      <c r="I1420" s="13" t="s">
        <v>4639</v>
      </c>
      <c r="J1420" s="13" t="s">
        <v>4638</v>
      </c>
      <c r="K1420" s="13" t="s">
        <v>2033</v>
      </c>
      <c r="L1420" s="13"/>
      <c r="M1420" s="14"/>
      <c r="N1420" s="13"/>
      <c r="O1420" s="13" t="s">
        <v>2028</v>
      </c>
    </row>
    <row r="1421" spans="1:15" ht="19.5" customHeight="1" x14ac:dyDescent="0.25">
      <c r="A1421" s="11" t="s">
        <v>644</v>
      </c>
      <c r="B1421" s="11"/>
      <c r="C1421" s="11" t="s">
        <v>4637</v>
      </c>
      <c r="D1421" s="11" t="s">
        <v>1883</v>
      </c>
      <c r="E1421" s="11" t="s">
        <v>4633</v>
      </c>
      <c r="F1421" s="11" t="s">
        <v>4632</v>
      </c>
      <c r="G1421" s="11" t="s">
        <v>644</v>
      </c>
      <c r="H1421" s="11" t="s">
        <v>4631</v>
      </c>
      <c r="I1421" s="11" t="s">
        <v>4630</v>
      </c>
      <c r="J1421" s="11" t="s">
        <v>4635</v>
      </c>
      <c r="K1421" s="11" t="s">
        <v>2033</v>
      </c>
      <c r="L1421" s="11"/>
      <c r="M1421" s="12"/>
      <c r="N1421" s="11"/>
      <c r="O1421" s="11" t="s">
        <v>2028</v>
      </c>
    </row>
    <row r="1422" spans="1:15" ht="19.5" customHeight="1" x14ac:dyDescent="0.25">
      <c r="A1422" s="13" t="s">
        <v>644</v>
      </c>
      <c r="B1422" s="13"/>
      <c r="C1422" s="13" t="s">
        <v>4636</v>
      </c>
      <c r="D1422" s="13" t="s">
        <v>1883</v>
      </c>
      <c r="E1422" s="13" t="s">
        <v>4633</v>
      </c>
      <c r="F1422" s="13" t="s">
        <v>4632</v>
      </c>
      <c r="G1422" s="13" t="s">
        <v>644</v>
      </c>
      <c r="H1422" s="13" t="s">
        <v>4631</v>
      </c>
      <c r="I1422" s="13" t="s">
        <v>4630</v>
      </c>
      <c r="J1422" s="13" t="s">
        <v>4635</v>
      </c>
      <c r="K1422" s="13" t="s">
        <v>2033</v>
      </c>
      <c r="L1422" s="13"/>
      <c r="M1422" s="14"/>
      <c r="N1422" s="13"/>
      <c r="O1422" s="13" t="s">
        <v>2028</v>
      </c>
    </row>
    <row r="1423" spans="1:15" ht="19.5" customHeight="1" x14ac:dyDescent="0.25">
      <c r="A1423" s="11" t="s">
        <v>644</v>
      </c>
      <c r="B1423" s="11"/>
      <c r="C1423" s="11" t="s">
        <v>4634</v>
      </c>
      <c r="D1423" s="11" t="s">
        <v>1883</v>
      </c>
      <c r="E1423" s="11" t="s">
        <v>4633</v>
      </c>
      <c r="F1423" s="11" t="s">
        <v>4632</v>
      </c>
      <c r="G1423" s="11" t="s">
        <v>644</v>
      </c>
      <c r="H1423" s="11" t="s">
        <v>4631</v>
      </c>
      <c r="I1423" s="11" t="s">
        <v>4630</v>
      </c>
      <c r="J1423" s="11" t="s">
        <v>4629</v>
      </c>
      <c r="K1423" s="11" t="s">
        <v>4304</v>
      </c>
      <c r="L1423" s="11"/>
      <c r="M1423" s="12"/>
      <c r="N1423" s="11"/>
      <c r="O1423" s="11" t="s">
        <v>2028</v>
      </c>
    </row>
    <row r="1424" spans="1:15" ht="19.5" customHeight="1" x14ac:dyDescent="0.25">
      <c r="A1424" s="13" t="s">
        <v>1566</v>
      </c>
      <c r="B1424" s="13"/>
      <c r="C1424" s="13" t="s">
        <v>4628</v>
      </c>
      <c r="D1424" s="13" t="s">
        <v>1883</v>
      </c>
      <c r="E1424" s="13" t="s">
        <v>4626</v>
      </c>
      <c r="F1424" s="13"/>
      <c r="G1424" s="13" t="s">
        <v>1566</v>
      </c>
      <c r="H1424" s="13"/>
      <c r="I1424" s="13" t="s">
        <v>1997</v>
      </c>
      <c r="J1424" s="13" t="s">
        <v>4625</v>
      </c>
      <c r="K1424" s="13" t="s">
        <v>1952</v>
      </c>
      <c r="L1424" s="13"/>
      <c r="M1424" s="14"/>
      <c r="N1424" s="13"/>
      <c r="O1424" s="13" t="s">
        <v>2028</v>
      </c>
    </row>
    <row r="1425" spans="1:15" ht="19.5" customHeight="1" x14ac:dyDescent="0.25">
      <c r="A1425" s="11" t="s">
        <v>1566</v>
      </c>
      <c r="B1425" s="11"/>
      <c r="C1425" s="11" t="s">
        <v>4627</v>
      </c>
      <c r="D1425" s="11" t="s">
        <v>1883</v>
      </c>
      <c r="E1425" s="11" t="s">
        <v>4626</v>
      </c>
      <c r="F1425" s="11"/>
      <c r="G1425" s="11" t="s">
        <v>1566</v>
      </c>
      <c r="H1425" s="11"/>
      <c r="I1425" s="11" t="s">
        <v>1997</v>
      </c>
      <c r="J1425" s="11" t="s">
        <v>4625</v>
      </c>
      <c r="K1425" s="11" t="s">
        <v>1952</v>
      </c>
      <c r="L1425" s="11"/>
      <c r="M1425" s="12"/>
      <c r="N1425" s="11"/>
      <c r="O1425" s="11" t="s">
        <v>2028</v>
      </c>
    </row>
    <row r="1426" spans="1:15" ht="19.5" customHeight="1" x14ac:dyDescent="0.25">
      <c r="A1426" s="13" t="s">
        <v>1544</v>
      </c>
      <c r="B1426" s="13"/>
      <c r="C1426" s="13" t="s">
        <v>4624</v>
      </c>
      <c r="D1426" s="13" t="s">
        <v>1883</v>
      </c>
      <c r="E1426" s="13" t="s">
        <v>4623</v>
      </c>
      <c r="F1426" s="13"/>
      <c r="G1426" s="13" t="s">
        <v>1544</v>
      </c>
      <c r="H1426" s="13"/>
      <c r="I1426" s="13" t="s">
        <v>4622</v>
      </c>
      <c r="J1426" s="13" t="s">
        <v>4621</v>
      </c>
      <c r="K1426" s="13" t="s">
        <v>2033</v>
      </c>
      <c r="L1426" s="13"/>
      <c r="M1426" s="14"/>
      <c r="N1426" s="13"/>
      <c r="O1426" s="13" t="s">
        <v>2028</v>
      </c>
    </row>
    <row r="1427" spans="1:15" ht="19.5" customHeight="1" x14ac:dyDescent="0.25">
      <c r="A1427" s="11" t="s">
        <v>4613</v>
      </c>
      <c r="B1427" s="11"/>
      <c r="C1427" s="11" t="s">
        <v>4620</v>
      </c>
      <c r="D1427" s="11" t="s">
        <v>1883</v>
      </c>
      <c r="E1427" s="11" t="s">
        <v>4619</v>
      </c>
      <c r="F1427" s="11"/>
      <c r="G1427" s="11" t="s">
        <v>4613</v>
      </c>
      <c r="H1427" s="11" t="s">
        <v>4612</v>
      </c>
      <c r="I1427" s="11" t="s">
        <v>4618</v>
      </c>
      <c r="J1427" s="11" t="s">
        <v>4617</v>
      </c>
      <c r="K1427" s="11" t="s">
        <v>2033</v>
      </c>
      <c r="L1427" s="11"/>
      <c r="M1427" s="12"/>
      <c r="N1427" s="11"/>
      <c r="O1427" s="11" t="s">
        <v>2028</v>
      </c>
    </row>
    <row r="1428" spans="1:15" ht="19.5" customHeight="1" x14ac:dyDescent="0.25">
      <c r="A1428" s="13" t="s">
        <v>4613</v>
      </c>
      <c r="B1428" s="13"/>
      <c r="C1428" s="13" t="s">
        <v>4616</v>
      </c>
      <c r="D1428" s="13" t="s">
        <v>1883</v>
      </c>
      <c r="E1428" s="13" t="s">
        <v>4615</v>
      </c>
      <c r="F1428" s="13" t="s">
        <v>4614</v>
      </c>
      <c r="G1428" s="13" t="s">
        <v>4613</v>
      </c>
      <c r="H1428" s="13" t="s">
        <v>4612</v>
      </c>
      <c r="I1428" s="13" t="s">
        <v>4611</v>
      </c>
      <c r="J1428" s="13" t="s">
        <v>4610</v>
      </c>
      <c r="K1428" s="13" t="s">
        <v>2033</v>
      </c>
      <c r="L1428" s="13"/>
      <c r="M1428" s="14"/>
      <c r="N1428" s="13"/>
      <c r="O1428" s="13" t="s">
        <v>2028</v>
      </c>
    </row>
    <row r="1429" spans="1:15" ht="19.5" customHeight="1" x14ac:dyDescent="0.25">
      <c r="A1429" s="11" t="s">
        <v>1586</v>
      </c>
      <c r="B1429" s="11"/>
      <c r="C1429" s="11" t="s">
        <v>4609</v>
      </c>
      <c r="D1429" s="11" t="s">
        <v>1883</v>
      </c>
      <c r="E1429" s="11" t="s">
        <v>4608</v>
      </c>
      <c r="F1429" s="11"/>
      <c r="G1429" s="11" t="s">
        <v>1586</v>
      </c>
      <c r="H1429" s="11"/>
      <c r="I1429" s="11" t="s">
        <v>4607</v>
      </c>
      <c r="J1429" s="11" t="s">
        <v>4606</v>
      </c>
      <c r="K1429" s="11" t="s">
        <v>3599</v>
      </c>
      <c r="L1429" s="11"/>
      <c r="M1429" s="12"/>
      <c r="N1429" s="11"/>
      <c r="O1429" s="11" t="s">
        <v>2028</v>
      </c>
    </row>
    <row r="1430" spans="1:15" ht="19.5" customHeight="1" x14ac:dyDescent="0.25">
      <c r="A1430" s="13" t="s">
        <v>646</v>
      </c>
      <c r="B1430" s="13"/>
      <c r="C1430" s="13" t="s">
        <v>4605</v>
      </c>
      <c r="D1430" s="13" t="s">
        <v>1883</v>
      </c>
      <c r="E1430" s="13" t="s">
        <v>4602</v>
      </c>
      <c r="F1430" s="13" t="s">
        <v>4601</v>
      </c>
      <c r="G1430" s="13" t="s">
        <v>646</v>
      </c>
      <c r="H1430" s="13" t="s">
        <v>4600</v>
      </c>
      <c r="I1430" s="13" t="s">
        <v>4599</v>
      </c>
      <c r="J1430" s="13" t="s">
        <v>4598</v>
      </c>
      <c r="K1430" s="13" t="s">
        <v>1952</v>
      </c>
      <c r="L1430" s="13"/>
      <c r="M1430" s="14"/>
      <c r="N1430" s="13"/>
      <c r="O1430" s="13" t="s">
        <v>2028</v>
      </c>
    </row>
    <row r="1431" spans="1:15" ht="19.5" customHeight="1" x14ac:dyDescent="0.25">
      <c r="A1431" s="11" t="s">
        <v>646</v>
      </c>
      <c r="B1431" s="11"/>
      <c r="C1431" s="11" t="s">
        <v>4604</v>
      </c>
      <c r="D1431" s="11" t="s">
        <v>1883</v>
      </c>
      <c r="E1431" s="11" t="s">
        <v>4602</v>
      </c>
      <c r="F1431" s="11" t="s">
        <v>4601</v>
      </c>
      <c r="G1431" s="11" t="s">
        <v>646</v>
      </c>
      <c r="H1431" s="11" t="s">
        <v>4600</v>
      </c>
      <c r="I1431" s="11" t="s">
        <v>4599</v>
      </c>
      <c r="J1431" s="11" t="s">
        <v>4598</v>
      </c>
      <c r="K1431" s="11" t="s">
        <v>1952</v>
      </c>
      <c r="L1431" s="11"/>
      <c r="M1431" s="12"/>
      <c r="N1431" s="11"/>
      <c r="O1431" s="11" t="s">
        <v>2028</v>
      </c>
    </row>
    <row r="1432" spans="1:15" ht="19.5" customHeight="1" x14ac:dyDescent="0.25">
      <c r="A1432" s="13" t="s">
        <v>646</v>
      </c>
      <c r="B1432" s="13"/>
      <c r="C1432" s="13" t="s">
        <v>4603</v>
      </c>
      <c r="D1432" s="13" t="s">
        <v>1883</v>
      </c>
      <c r="E1432" s="13" t="s">
        <v>4602</v>
      </c>
      <c r="F1432" s="13" t="s">
        <v>4601</v>
      </c>
      <c r="G1432" s="13" t="s">
        <v>646</v>
      </c>
      <c r="H1432" s="13" t="s">
        <v>4600</v>
      </c>
      <c r="I1432" s="13" t="s">
        <v>4599</v>
      </c>
      <c r="J1432" s="13" t="s">
        <v>4598</v>
      </c>
      <c r="K1432" s="13" t="s">
        <v>1952</v>
      </c>
      <c r="L1432" s="13"/>
      <c r="M1432" s="14"/>
      <c r="N1432" s="13"/>
      <c r="O1432" s="13" t="s">
        <v>2028</v>
      </c>
    </row>
    <row r="1433" spans="1:15" ht="19.5" customHeight="1" x14ac:dyDescent="0.25">
      <c r="A1433" s="11" t="s">
        <v>1358</v>
      </c>
      <c r="B1433" s="11"/>
      <c r="C1433" s="11" t="s">
        <v>4597</v>
      </c>
      <c r="D1433" s="11" t="s">
        <v>1883</v>
      </c>
      <c r="E1433" s="11" t="s">
        <v>4596</v>
      </c>
      <c r="F1433" s="11"/>
      <c r="G1433" s="11" t="s">
        <v>1358</v>
      </c>
      <c r="H1433" s="11" t="s">
        <v>4595</v>
      </c>
      <c r="I1433" s="11" t="s">
        <v>4594</v>
      </c>
      <c r="J1433" s="11" t="s">
        <v>4590</v>
      </c>
      <c r="K1433" s="11" t="s">
        <v>3599</v>
      </c>
      <c r="L1433" s="11"/>
      <c r="M1433" s="12"/>
      <c r="N1433" s="11"/>
      <c r="O1433" s="11" t="s">
        <v>2028</v>
      </c>
    </row>
    <row r="1434" spans="1:15" ht="19.5" customHeight="1" x14ac:dyDescent="0.25">
      <c r="A1434" s="13" t="s">
        <v>1358</v>
      </c>
      <c r="B1434" s="13"/>
      <c r="C1434" s="13" t="s">
        <v>4593</v>
      </c>
      <c r="D1434" s="13" t="s">
        <v>1883</v>
      </c>
      <c r="E1434" s="13" t="s">
        <v>4592</v>
      </c>
      <c r="F1434" s="13"/>
      <c r="G1434" s="13" t="s">
        <v>1358</v>
      </c>
      <c r="H1434" s="13"/>
      <c r="I1434" s="13" t="s">
        <v>4591</v>
      </c>
      <c r="J1434" s="13" t="s">
        <v>4590</v>
      </c>
      <c r="K1434" s="13" t="s">
        <v>3599</v>
      </c>
      <c r="L1434" s="13"/>
      <c r="M1434" s="14"/>
      <c r="N1434" s="13"/>
      <c r="O1434" s="13" t="s">
        <v>2028</v>
      </c>
    </row>
    <row r="1435" spans="1:15" ht="19.5" customHeight="1" x14ac:dyDescent="0.25">
      <c r="A1435" s="11" t="s">
        <v>4586</v>
      </c>
      <c r="B1435" s="11"/>
      <c r="C1435" s="11" t="s">
        <v>4589</v>
      </c>
      <c r="D1435" s="11" t="s">
        <v>1883</v>
      </c>
      <c r="E1435" s="11" t="s">
        <v>4588</v>
      </c>
      <c r="F1435" s="11" t="s">
        <v>4587</v>
      </c>
      <c r="G1435" s="11" t="s">
        <v>4586</v>
      </c>
      <c r="H1435" s="11" t="s">
        <v>4585</v>
      </c>
      <c r="I1435" s="11" t="s">
        <v>4584</v>
      </c>
      <c r="J1435" s="11" t="s">
        <v>4583</v>
      </c>
      <c r="K1435" s="11" t="s">
        <v>3599</v>
      </c>
      <c r="L1435" s="11"/>
      <c r="M1435" s="12"/>
      <c r="N1435" s="11"/>
      <c r="O1435" s="11" t="s">
        <v>2028</v>
      </c>
    </row>
    <row r="1436" spans="1:15" ht="19.5" customHeight="1" x14ac:dyDescent="0.25">
      <c r="A1436" s="13" t="s">
        <v>4574</v>
      </c>
      <c r="B1436" s="13"/>
      <c r="C1436" s="13" t="s">
        <v>4577</v>
      </c>
      <c r="D1436" s="13" t="s">
        <v>1950</v>
      </c>
      <c r="E1436" s="13" t="s">
        <v>4576</v>
      </c>
      <c r="F1436" s="13" t="s">
        <v>4575</v>
      </c>
      <c r="G1436" s="13" t="s">
        <v>4574</v>
      </c>
      <c r="H1436" s="13"/>
      <c r="I1436" s="13" t="s">
        <v>4573</v>
      </c>
      <c r="J1436" s="13" t="s">
        <v>4572</v>
      </c>
      <c r="K1436" s="13" t="s">
        <v>1952</v>
      </c>
      <c r="L1436" s="13"/>
      <c r="M1436" s="14"/>
      <c r="N1436" s="13"/>
      <c r="O1436" s="13"/>
    </row>
    <row r="1437" spans="1:15" ht="19.5" customHeight="1" x14ac:dyDescent="0.25">
      <c r="A1437" s="11" t="s">
        <v>648</v>
      </c>
      <c r="B1437" s="11"/>
      <c r="C1437" s="11" t="s">
        <v>4571</v>
      </c>
      <c r="D1437" s="11" t="s">
        <v>1883</v>
      </c>
      <c r="E1437" s="11" t="s">
        <v>4568</v>
      </c>
      <c r="F1437" s="11" t="s">
        <v>4567</v>
      </c>
      <c r="G1437" s="11" t="s">
        <v>648</v>
      </c>
      <c r="H1437" s="11" t="s">
        <v>4566</v>
      </c>
      <c r="I1437" s="11" t="s">
        <v>4565</v>
      </c>
      <c r="J1437" s="11" t="s">
        <v>4564</v>
      </c>
      <c r="K1437" s="11" t="s">
        <v>2033</v>
      </c>
      <c r="L1437" s="11"/>
      <c r="M1437" s="12"/>
      <c r="N1437" s="11"/>
      <c r="O1437" s="11" t="s">
        <v>2028</v>
      </c>
    </row>
    <row r="1438" spans="1:15" ht="19.5" customHeight="1" x14ac:dyDescent="0.25">
      <c r="A1438" s="13" t="s">
        <v>648</v>
      </c>
      <c r="B1438" s="13"/>
      <c r="C1438" s="13" t="s">
        <v>4570</v>
      </c>
      <c r="D1438" s="13" t="s">
        <v>1883</v>
      </c>
      <c r="E1438" s="13" t="s">
        <v>4568</v>
      </c>
      <c r="F1438" s="13" t="s">
        <v>4567</v>
      </c>
      <c r="G1438" s="13" t="s">
        <v>648</v>
      </c>
      <c r="H1438" s="13" t="s">
        <v>4566</v>
      </c>
      <c r="I1438" s="13" t="s">
        <v>4565</v>
      </c>
      <c r="J1438" s="13" t="s">
        <v>4564</v>
      </c>
      <c r="K1438" s="13" t="s">
        <v>2033</v>
      </c>
      <c r="L1438" s="13"/>
      <c r="M1438" s="14"/>
      <c r="N1438" s="13"/>
      <c r="O1438" s="13" t="s">
        <v>2028</v>
      </c>
    </row>
    <row r="1439" spans="1:15" ht="19.5" customHeight="1" x14ac:dyDescent="0.25">
      <c r="A1439" s="11" t="s">
        <v>648</v>
      </c>
      <c r="B1439" s="11"/>
      <c r="C1439" s="11" t="s">
        <v>4569</v>
      </c>
      <c r="D1439" s="11" t="s">
        <v>1883</v>
      </c>
      <c r="E1439" s="11" t="s">
        <v>4568</v>
      </c>
      <c r="F1439" s="11" t="s">
        <v>4567</v>
      </c>
      <c r="G1439" s="11" t="s">
        <v>648</v>
      </c>
      <c r="H1439" s="11" t="s">
        <v>4566</v>
      </c>
      <c r="I1439" s="11" t="s">
        <v>4565</v>
      </c>
      <c r="J1439" s="11" t="s">
        <v>4564</v>
      </c>
      <c r="K1439" s="11" t="s">
        <v>2033</v>
      </c>
      <c r="L1439" s="11"/>
      <c r="M1439" s="12"/>
      <c r="N1439" s="11"/>
      <c r="O1439" s="11" t="s">
        <v>2028</v>
      </c>
    </row>
    <row r="1440" spans="1:15" ht="19.5" customHeight="1" x14ac:dyDescent="0.25">
      <c r="A1440" s="13" t="s">
        <v>4558</v>
      </c>
      <c r="B1440" s="13"/>
      <c r="C1440" s="13" t="s">
        <v>4563</v>
      </c>
      <c r="D1440" s="13" t="s">
        <v>1883</v>
      </c>
      <c r="E1440" s="13" t="s">
        <v>4560</v>
      </c>
      <c r="F1440" s="13" t="s">
        <v>4559</v>
      </c>
      <c r="G1440" s="13" t="s">
        <v>4558</v>
      </c>
      <c r="H1440" s="13"/>
      <c r="I1440" s="13" t="s">
        <v>4557</v>
      </c>
      <c r="J1440" s="13" t="s">
        <v>4556</v>
      </c>
      <c r="K1440" s="13" t="s">
        <v>3599</v>
      </c>
      <c r="L1440" s="13"/>
      <c r="M1440" s="14"/>
      <c r="N1440" s="13"/>
      <c r="O1440" s="13" t="s">
        <v>2028</v>
      </c>
    </row>
    <row r="1441" spans="1:15" ht="19.5" customHeight="1" x14ac:dyDescent="0.25">
      <c r="A1441" s="11" t="s">
        <v>4558</v>
      </c>
      <c r="B1441" s="11"/>
      <c r="C1441" s="11" t="s">
        <v>4562</v>
      </c>
      <c r="D1441" s="11" t="s">
        <v>1883</v>
      </c>
      <c r="E1441" s="11" t="s">
        <v>4560</v>
      </c>
      <c r="F1441" s="11" t="s">
        <v>4559</v>
      </c>
      <c r="G1441" s="11" t="s">
        <v>4558</v>
      </c>
      <c r="H1441" s="11"/>
      <c r="I1441" s="11" t="s">
        <v>4557</v>
      </c>
      <c r="J1441" s="11" t="s">
        <v>4556</v>
      </c>
      <c r="K1441" s="11" t="s">
        <v>3599</v>
      </c>
      <c r="L1441" s="11"/>
      <c r="M1441" s="12"/>
      <c r="N1441" s="11"/>
      <c r="O1441" s="11" t="s">
        <v>2028</v>
      </c>
    </row>
    <row r="1442" spans="1:15" ht="19.5" customHeight="1" x14ac:dyDescent="0.25">
      <c r="A1442" s="13" t="s">
        <v>4558</v>
      </c>
      <c r="B1442" s="13"/>
      <c r="C1442" s="13" t="s">
        <v>4561</v>
      </c>
      <c r="D1442" s="13" t="s">
        <v>1883</v>
      </c>
      <c r="E1442" s="13" t="s">
        <v>4560</v>
      </c>
      <c r="F1442" s="13" t="s">
        <v>4559</v>
      </c>
      <c r="G1442" s="13" t="s">
        <v>4558</v>
      </c>
      <c r="H1442" s="13"/>
      <c r="I1442" s="13" t="s">
        <v>4557</v>
      </c>
      <c r="J1442" s="13" t="s">
        <v>4556</v>
      </c>
      <c r="K1442" s="13" t="s">
        <v>3599</v>
      </c>
      <c r="L1442" s="13"/>
      <c r="M1442" s="14"/>
      <c r="N1442" s="13"/>
      <c r="O1442" s="13" t="s">
        <v>2028</v>
      </c>
    </row>
    <row r="1443" spans="1:15" ht="19.5" customHeight="1" x14ac:dyDescent="0.25">
      <c r="A1443" s="11" t="s">
        <v>1362</v>
      </c>
      <c r="B1443" s="11"/>
      <c r="C1443" s="11" t="s">
        <v>4555</v>
      </c>
      <c r="D1443" s="11" t="s">
        <v>1883</v>
      </c>
      <c r="E1443" s="11" t="s">
        <v>4554</v>
      </c>
      <c r="F1443" s="11"/>
      <c r="G1443" s="11" t="s">
        <v>1362</v>
      </c>
      <c r="H1443" s="11"/>
      <c r="I1443" s="11" t="s">
        <v>4553</v>
      </c>
      <c r="J1443" s="11" t="s">
        <v>4552</v>
      </c>
      <c r="K1443" s="11" t="s">
        <v>1952</v>
      </c>
      <c r="L1443" s="11"/>
      <c r="M1443" s="12"/>
      <c r="N1443" s="11"/>
      <c r="O1443" s="11" t="s">
        <v>2028</v>
      </c>
    </row>
    <row r="1444" spans="1:15" ht="19.5" customHeight="1" x14ac:dyDescent="0.25">
      <c r="A1444" s="13" t="s">
        <v>4549</v>
      </c>
      <c r="B1444" s="13"/>
      <c r="C1444" s="13" t="s">
        <v>4551</v>
      </c>
      <c r="D1444" s="13" t="s">
        <v>1883</v>
      </c>
      <c r="E1444" s="13" t="s">
        <v>4550</v>
      </c>
      <c r="F1444" s="13"/>
      <c r="G1444" s="13" t="s">
        <v>4549</v>
      </c>
      <c r="H1444" s="13"/>
      <c r="I1444" s="13" t="s">
        <v>4548</v>
      </c>
      <c r="J1444" s="13" t="s">
        <v>4547</v>
      </c>
      <c r="K1444" s="13" t="s">
        <v>1952</v>
      </c>
      <c r="L1444" s="13"/>
      <c r="M1444" s="14"/>
      <c r="N1444" s="13"/>
      <c r="O1444" s="13" t="s">
        <v>2028</v>
      </c>
    </row>
    <row r="1445" spans="1:15" ht="19.5" customHeight="1" x14ac:dyDescent="0.25">
      <c r="A1445" s="11" t="s">
        <v>4543</v>
      </c>
      <c r="B1445" s="11"/>
      <c r="C1445" s="11" t="s">
        <v>4546</v>
      </c>
      <c r="D1445" s="11" t="s">
        <v>1883</v>
      </c>
      <c r="E1445" s="11" t="s">
        <v>4545</v>
      </c>
      <c r="F1445" s="11" t="s">
        <v>4544</v>
      </c>
      <c r="G1445" s="11" t="s">
        <v>4543</v>
      </c>
      <c r="H1445" s="11" t="s">
        <v>4542</v>
      </c>
      <c r="I1445" s="11" t="s">
        <v>4541</v>
      </c>
      <c r="J1445" s="11" t="s">
        <v>4540</v>
      </c>
      <c r="K1445" s="11" t="s">
        <v>2033</v>
      </c>
      <c r="L1445" s="11"/>
      <c r="M1445" s="12"/>
      <c r="N1445" s="11"/>
      <c r="O1445" s="11" t="s">
        <v>2028</v>
      </c>
    </row>
    <row r="1446" spans="1:15" ht="19.5" customHeight="1" x14ac:dyDescent="0.25">
      <c r="A1446" s="13" t="s">
        <v>4536</v>
      </c>
      <c r="B1446" s="13"/>
      <c r="C1446" s="13" t="s">
        <v>4539</v>
      </c>
      <c r="D1446" s="13" t="s">
        <v>1883</v>
      </c>
      <c r="E1446" s="13" t="s">
        <v>4538</v>
      </c>
      <c r="F1446" s="13" t="s">
        <v>4537</v>
      </c>
      <c r="G1446" s="13" t="s">
        <v>4536</v>
      </c>
      <c r="H1446" s="13" t="s">
        <v>4535</v>
      </c>
      <c r="I1446" s="13" t="s">
        <v>4534</v>
      </c>
      <c r="J1446" s="13" t="s">
        <v>4533</v>
      </c>
      <c r="K1446" s="13" t="s">
        <v>2033</v>
      </c>
      <c r="L1446" s="13"/>
      <c r="M1446" s="14"/>
      <c r="N1446" s="13"/>
      <c r="O1446" s="13" t="s">
        <v>2028</v>
      </c>
    </row>
    <row r="1447" spans="1:15" ht="19.5" customHeight="1" x14ac:dyDescent="0.25">
      <c r="A1447" s="11" t="s">
        <v>650</v>
      </c>
      <c r="B1447" s="11"/>
      <c r="C1447" s="11" t="s">
        <v>4532</v>
      </c>
      <c r="D1447" s="11" t="s">
        <v>1883</v>
      </c>
      <c r="E1447" s="11" t="s">
        <v>4529</v>
      </c>
      <c r="F1447" s="11"/>
      <c r="G1447" s="11" t="s">
        <v>650</v>
      </c>
      <c r="H1447" s="11" t="s">
        <v>4528</v>
      </c>
      <c r="I1447" s="11" t="s">
        <v>4527</v>
      </c>
      <c r="J1447" s="11" t="s">
        <v>4526</v>
      </c>
      <c r="K1447" s="11" t="s">
        <v>1952</v>
      </c>
      <c r="L1447" s="11"/>
      <c r="M1447" s="12"/>
      <c r="N1447" s="11"/>
      <c r="O1447" s="11" t="s">
        <v>2028</v>
      </c>
    </row>
    <row r="1448" spans="1:15" ht="19.5" customHeight="1" x14ac:dyDescent="0.25">
      <c r="A1448" s="13" t="s">
        <v>650</v>
      </c>
      <c r="B1448" s="13"/>
      <c r="C1448" s="13" t="s">
        <v>4531</v>
      </c>
      <c r="D1448" s="13" t="s">
        <v>1883</v>
      </c>
      <c r="E1448" s="13" t="s">
        <v>4529</v>
      </c>
      <c r="F1448" s="13"/>
      <c r="G1448" s="13" t="s">
        <v>650</v>
      </c>
      <c r="H1448" s="13" t="s">
        <v>4528</v>
      </c>
      <c r="I1448" s="13" t="s">
        <v>4527</v>
      </c>
      <c r="J1448" s="13" t="s">
        <v>4526</v>
      </c>
      <c r="K1448" s="13" t="s">
        <v>1952</v>
      </c>
      <c r="L1448" s="13"/>
      <c r="M1448" s="14"/>
      <c r="N1448" s="13"/>
      <c r="O1448" s="13" t="s">
        <v>2028</v>
      </c>
    </row>
    <row r="1449" spans="1:15" ht="19.5" customHeight="1" x14ac:dyDescent="0.25">
      <c r="A1449" s="11" t="s">
        <v>650</v>
      </c>
      <c r="B1449" s="11"/>
      <c r="C1449" s="11" t="s">
        <v>4530</v>
      </c>
      <c r="D1449" s="11" t="s">
        <v>1883</v>
      </c>
      <c r="E1449" s="11" t="s">
        <v>4529</v>
      </c>
      <c r="F1449" s="11"/>
      <c r="G1449" s="11" t="s">
        <v>650</v>
      </c>
      <c r="H1449" s="11" t="s">
        <v>4528</v>
      </c>
      <c r="I1449" s="11" t="s">
        <v>4527</v>
      </c>
      <c r="J1449" s="11" t="s">
        <v>4526</v>
      </c>
      <c r="K1449" s="11" t="s">
        <v>1952</v>
      </c>
      <c r="L1449" s="11"/>
      <c r="M1449" s="12"/>
      <c r="N1449" s="11"/>
      <c r="O1449" s="11" t="s">
        <v>2028</v>
      </c>
    </row>
    <row r="1450" spans="1:15" ht="19.5" customHeight="1" x14ac:dyDescent="0.25">
      <c r="A1450" s="13" t="s">
        <v>4520</v>
      </c>
      <c r="B1450" s="13"/>
      <c r="C1450" s="13" t="s">
        <v>4525</v>
      </c>
      <c r="D1450" s="13" t="s">
        <v>1883</v>
      </c>
      <c r="E1450" s="13" t="s">
        <v>4522</v>
      </c>
      <c r="F1450" s="13" t="s">
        <v>4521</v>
      </c>
      <c r="G1450" s="13" t="s">
        <v>4520</v>
      </c>
      <c r="H1450" s="13"/>
      <c r="I1450" s="13" t="s">
        <v>4519</v>
      </c>
      <c r="J1450" s="13" t="s">
        <v>4518</v>
      </c>
      <c r="K1450" s="13" t="s">
        <v>1952</v>
      </c>
      <c r="L1450" s="13"/>
      <c r="M1450" s="14"/>
      <c r="N1450" s="13"/>
      <c r="O1450" s="13" t="s">
        <v>2028</v>
      </c>
    </row>
    <row r="1451" spans="1:15" ht="19.5" customHeight="1" x14ac:dyDescent="0.25">
      <c r="A1451" s="11" t="s">
        <v>4520</v>
      </c>
      <c r="B1451" s="11"/>
      <c r="C1451" s="11" t="s">
        <v>4524</v>
      </c>
      <c r="D1451" s="11" t="s">
        <v>1883</v>
      </c>
      <c r="E1451" s="11" t="s">
        <v>4522</v>
      </c>
      <c r="F1451" s="11" t="s">
        <v>4521</v>
      </c>
      <c r="G1451" s="11" t="s">
        <v>4520</v>
      </c>
      <c r="H1451" s="11"/>
      <c r="I1451" s="11" t="s">
        <v>4519</v>
      </c>
      <c r="J1451" s="11" t="s">
        <v>4518</v>
      </c>
      <c r="K1451" s="11" t="s">
        <v>1952</v>
      </c>
      <c r="L1451" s="11"/>
      <c r="M1451" s="12"/>
      <c r="N1451" s="11"/>
      <c r="O1451" s="11" t="s">
        <v>2028</v>
      </c>
    </row>
    <row r="1452" spans="1:15" ht="19.5" customHeight="1" x14ac:dyDescent="0.25">
      <c r="A1452" s="13" t="s">
        <v>4520</v>
      </c>
      <c r="B1452" s="13"/>
      <c r="C1452" s="13" t="s">
        <v>4523</v>
      </c>
      <c r="D1452" s="13" t="s">
        <v>1883</v>
      </c>
      <c r="E1452" s="13" t="s">
        <v>4522</v>
      </c>
      <c r="F1452" s="13" t="s">
        <v>4521</v>
      </c>
      <c r="G1452" s="13" t="s">
        <v>4520</v>
      </c>
      <c r="H1452" s="13"/>
      <c r="I1452" s="13" t="s">
        <v>4519</v>
      </c>
      <c r="J1452" s="13" t="s">
        <v>4518</v>
      </c>
      <c r="K1452" s="13" t="s">
        <v>1952</v>
      </c>
      <c r="L1452" s="13"/>
      <c r="M1452" s="14"/>
      <c r="N1452" s="13"/>
      <c r="O1452" s="13" t="s">
        <v>2028</v>
      </c>
    </row>
    <row r="1453" spans="1:15" ht="19.5" customHeight="1" x14ac:dyDescent="0.25">
      <c r="A1453" s="11" t="s">
        <v>653</v>
      </c>
      <c r="B1453" s="11"/>
      <c r="C1453" s="11" t="s">
        <v>4517</v>
      </c>
      <c r="D1453" s="11" t="s">
        <v>1883</v>
      </c>
      <c r="E1453" s="11" t="s">
        <v>4514</v>
      </c>
      <c r="F1453" s="11" t="s">
        <v>4513</v>
      </c>
      <c r="G1453" s="11" t="s">
        <v>653</v>
      </c>
      <c r="H1453" s="11" t="s">
        <v>4512</v>
      </c>
      <c r="I1453" s="11" t="s">
        <v>1997</v>
      </c>
      <c r="J1453" s="11" t="s">
        <v>4511</v>
      </c>
      <c r="K1453" s="11" t="s">
        <v>1952</v>
      </c>
      <c r="L1453" s="11"/>
      <c r="M1453" s="12"/>
      <c r="N1453" s="11"/>
      <c r="O1453" s="11" t="s">
        <v>2028</v>
      </c>
    </row>
    <row r="1454" spans="1:15" ht="19.5" customHeight="1" x14ac:dyDescent="0.25">
      <c r="A1454" s="13" t="s">
        <v>653</v>
      </c>
      <c r="B1454" s="13"/>
      <c r="C1454" s="13" t="s">
        <v>4516</v>
      </c>
      <c r="D1454" s="13" t="s">
        <v>1883</v>
      </c>
      <c r="E1454" s="13" t="s">
        <v>4514</v>
      </c>
      <c r="F1454" s="13" t="s">
        <v>4513</v>
      </c>
      <c r="G1454" s="13" t="s">
        <v>653</v>
      </c>
      <c r="H1454" s="13" t="s">
        <v>4512</v>
      </c>
      <c r="I1454" s="13" t="s">
        <v>1997</v>
      </c>
      <c r="J1454" s="13" t="s">
        <v>4511</v>
      </c>
      <c r="K1454" s="13" t="s">
        <v>1952</v>
      </c>
      <c r="L1454" s="13"/>
      <c r="M1454" s="14"/>
      <c r="N1454" s="13"/>
      <c r="O1454" s="13" t="s">
        <v>2028</v>
      </c>
    </row>
    <row r="1455" spans="1:15" ht="19.5" customHeight="1" x14ac:dyDescent="0.25">
      <c r="A1455" s="11" t="s">
        <v>653</v>
      </c>
      <c r="B1455" s="11"/>
      <c r="C1455" s="11" t="s">
        <v>4515</v>
      </c>
      <c r="D1455" s="11" t="s">
        <v>1883</v>
      </c>
      <c r="E1455" s="11" t="s">
        <v>4514</v>
      </c>
      <c r="F1455" s="11" t="s">
        <v>4513</v>
      </c>
      <c r="G1455" s="11" t="s">
        <v>653</v>
      </c>
      <c r="H1455" s="11" t="s">
        <v>4512</v>
      </c>
      <c r="I1455" s="11" t="s">
        <v>1997</v>
      </c>
      <c r="J1455" s="11" t="s">
        <v>4511</v>
      </c>
      <c r="K1455" s="11" t="s">
        <v>1952</v>
      </c>
      <c r="L1455" s="11"/>
      <c r="M1455" s="12"/>
      <c r="N1455" s="11"/>
      <c r="O1455" s="11" t="s">
        <v>2028</v>
      </c>
    </row>
    <row r="1456" spans="1:15" ht="19.5" customHeight="1" x14ac:dyDescent="0.25">
      <c r="A1456" s="13" t="s">
        <v>1348</v>
      </c>
      <c r="B1456" s="13"/>
      <c r="C1456" s="13" t="s">
        <v>4510</v>
      </c>
      <c r="D1456" s="13" t="s">
        <v>1883</v>
      </c>
      <c r="E1456" s="13" t="s">
        <v>4509</v>
      </c>
      <c r="F1456" s="13" t="s">
        <v>4508</v>
      </c>
      <c r="G1456" s="13" t="s">
        <v>1348</v>
      </c>
      <c r="H1456" s="13"/>
      <c r="I1456" s="13" t="s">
        <v>2000</v>
      </c>
      <c r="J1456" s="13" t="s">
        <v>4507</v>
      </c>
      <c r="K1456" s="13" t="s">
        <v>1952</v>
      </c>
      <c r="L1456" s="13"/>
      <c r="M1456" s="14"/>
      <c r="N1456" s="13"/>
      <c r="O1456" s="13" t="s">
        <v>2028</v>
      </c>
    </row>
    <row r="1457" spans="1:15" ht="19.5" customHeight="1" x14ac:dyDescent="0.25">
      <c r="A1457" s="11" t="s">
        <v>4502</v>
      </c>
      <c r="B1457" s="11"/>
      <c r="C1457" s="11" t="s">
        <v>4506</v>
      </c>
      <c r="D1457" s="11" t="s">
        <v>1883</v>
      </c>
      <c r="E1457" s="11" t="s">
        <v>4505</v>
      </c>
      <c r="F1457" s="11"/>
      <c r="G1457" s="11" t="s">
        <v>4502</v>
      </c>
      <c r="H1457" s="11"/>
      <c r="I1457" s="11"/>
      <c r="J1457" s="11"/>
      <c r="K1457" s="11"/>
      <c r="L1457" s="11"/>
      <c r="M1457" s="12"/>
      <c r="N1457" s="11"/>
      <c r="O1457" s="11" t="s">
        <v>2028</v>
      </c>
    </row>
    <row r="1458" spans="1:15" ht="19.5" customHeight="1" x14ac:dyDescent="0.25">
      <c r="A1458" s="13" t="s">
        <v>4502</v>
      </c>
      <c r="B1458" s="13"/>
      <c r="C1458" s="13" t="s">
        <v>4504</v>
      </c>
      <c r="D1458" s="13" t="s">
        <v>1883</v>
      </c>
      <c r="E1458" s="13" t="s">
        <v>4503</v>
      </c>
      <c r="F1458" s="13"/>
      <c r="G1458" s="13" t="s">
        <v>4502</v>
      </c>
      <c r="H1458" s="13" t="s">
        <v>4501</v>
      </c>
      <c r="I1458" s="13" t="s">
        <v>4500</v>
      </c>
      <c r="J1458" s="13" t="s">
        <v>4499</v>
      </c>
      <c r="K1458" s="13" t="s">
        <v>1952</v>
      </c>
      <c r="L1458" s="13"/>
      <c r="M1458" s="14"/>
      <c r="N1458" s="13"/>
      <c r="O1458" s="13" t="s">
        <v>2028</v>
      </c>
    </row>
    <row r="1459" spans="1:15" ht="19.5" customHeight="1" x14ac:dyDescent="0.25">
      <c r="A1459" s="11" t="s">
        <v>4494</v>
      </c>
      <c r="B1459" s="11"/>
      <c r="C1459" s="11" t="s">
        <v>4498</v>
      </c>
      <c r="D1459" s="11" t="s">
        <v>1883</v>
      </c>
      <c r="E1459" s="11" t="s">
        <v>4496</v>
      </c>
      <c r="F1459" s="11"/>
      <c r="G1459" s="11" t="s">
        <v>4494</v>
      </c>
      <c r="H1459" s="11"/>
      <c r="I1459" s="11" t="s">
        <v>2186</v>
      </c>
      <c r="J1459" s="11" t="s">
        <v>4493</v>
      </c>
      <c r="K1459" s="11" t="s">
        <v>1952</v>
      </c>
      <c r="L1459" s="11"/>
      <c r="M1459" s="12"/>
      <c r="N1459" s="11"/>
      <c r="O1459" s="11" t="s">
        <v>1945</v>
      </c>
    </row>
    <row r="1460" spans="1:15" ht="19.5" customHeight="1" x14ac:dyDescent="0.25">
      <c r="A1460" s="13" t="s">
        <v>4494</v>
      </c>
      <c r="B1460" s="13"/>
      <c r="C1460" s="13" t="s">
        <v>4497</v>
      </c>
      <c r="D1460" s="13" t="s">
        <v>1883</v>
      </c>
      <c r="E1460" s="13" t="s">
        <v>4496</v>
      </c>
      <c r="F1460" s="13"/>
      <c r="G1460" s="13" t="s">
        <v>4494</v>
      </c>
      <c r="H1460" s="13"/>
      <c r="I1460" s="13"/>
      <c r="J1460" s="13"/>
      <c r="K1460" s="13"/>
      <c r="L1460" s="13"/>
      <c r="M1460" s="14"/>
      <c r="N1460" s="13"/>
      <c r="O1460" s="13" t="s">
        <v>1916</v>
      </c>
    </row>
    <row r="1461" spans="1:15" ht="19.5" customHeight="1" x14ac:dyDescent="0.25">
      <c r="A1461" s="11" t="s">
        <v>4494</v>
      </c>
      <c r="B1461" s="11"/>
      <c r="C1461" s="11" t="s">
        <v>1056</v>
      </c>
      <c r="D1461" s="11" t="s">
        <v>1883</v>
      </c>
      <c r="E1461" s="11" t="s">
        <v>4496</v>
      </c>
      <c r="F1461" s="11" t="s">
        <v>4495</v>
      </c>
      <c r="G1461" s="11" t="s">
        <v>4494</v>
      </c>
      <c r="H1461" s="11"/>
      <c r="I1461" s="11" t="s">
        <v>2186</v>
      </c>
      <c r="J1461" s="11" t="s">
        <v>4493</v>
      </c>
      <c r="K1461" s="11" t="s">
        <v>1952</v>
      </c>
      <c r="L1461" s="11"/>
      <c r="M1461" s="12"/>
      <c r="N1461" s="11"/>
      <c r="O1461" s="11" t="s">
        <v>1945</v>
      </c>
    </row>
    <row r="1462" spans="1:15" ht="19.5" customHeight="1" x14ac:dyDescent="0.25">
      <c r="A1462" s="13" t="s">
        <v>4488</v>
      </c>
      <c r="B1462" s="13"/>
      <c r="C1462" s="13" t="s">
        <v>4492</v>
      </c>
      <c r="D1462" s="13" t="s">
        <v>1883</v>
      </c>
      <c r="E1462" s="13" t="s">
        <v>4489</v>
      </c>
      <c r="F1462" s="13"/>
      <c r="G1462" s="13" t="s">
        <v>4488</v>
      </c>
      <c r="H1462" s="13" t="s">
        <v>4487</v>
      </c>
      <c r="I1462" s="13"/>
      <c r="J1462" s="13"/>
      <c r="K1462" s="13" t="s">
        <v>3599</v>
      </c>
      <c r="L1462" s="13"/>
      <c r="M1462" s="14"/>
      <c r="N1462" s="13"/>
      <c r="O1462" s="13" t="s">
        <v>2028</v>
      </c>
    </row>
    <row r="1463" spans="1:15" ht="19.5" customHeight="1" x14ac:dyDescent="0.25">
      <c r="A1463" s="11" t="s">
        <v>4488</v>
      </c>
      <c r="B1463" s="11"/>
      <c r="C1463" s="11" t="s">
        <v>4491</v>
      </c>
      <c r="D1463" s="11" t="s">
        <v>1883</v>
      </c>
      <c r="E1463" s="11" t="s">
        <v>4489</v>
      </c>
      <c r="F1463" s="11"/>
      <c r="G1463" s="11" t="s">
        <v>4488</v>
      </c>
      <c r="H1463" s="11" t="s">
        <v>4487</v>
      </c>
      <c r="I1463" s="11"/>
      <c r="J1463" s="11"/>
      <c r="K1463" s="11" t="s">
        <v>3599</v>
      </c>
      <c r="L1463" s="11"/>
      <c r="M1463" s="12"/>
      <c r="N1463" s="11"/>
      <c r="O1463" s="11" t="s">
        <v>2028</v>
      </c>
    </row>
    <row r="1464" spans="1:15" ht="19.5" customHeight="1" x14ac:dyDescent="0.25">
      <c r="A1464" s="13" t="s">
        <v>4488</v>
      </c>
      <c r="B1464" s="13"/>
      <c r="C1464" s="13" t="s">
        <v>4490</v>
      </c>
      <c r="D1464" s="13" t="s">
        <v>1883</v>
      </c>
      <c r="E1464" s="13" t="s">
        <v>4489</v>
      </c>
      <c r="F1464" s="13"/>
      <c r="G1464" s="13" t="s">
        <v>4488</v>
      </c>
      <c r="H1464" s="13" t="s">
        <v>4487</v>
      </c>
      <c r="I1464" s="13"/>
      <c r="J1464" s="13"/>
      <c r="K1464" s="13" t="s">
        <v>3599</v>
      </c>
      <c r="L1464" s="13"/>
      <c r="M1464" s="14"/>
      <c r="N1464" s="13"/>
      <c r="O1464" s="13" t="s">
        <v>2028</v>
      </c>
    </row>
    <row r="1465" spans="1:15" ht="19.5" customHeight="1" x14ac:dyDescent="0.25">
      <c r="A1465" s="11" t="s">
        <v>1421</v>
      </c>
      <c r="B1465" s="11"/>
      <c r="C1465" s="11" t="s">
        <v>4486</v>
      </c>
      <c r="D1465" s="11" t="s">
        <v>1883</v>
      </c>
      <c r="E1465" s="11" t="s">
        <v>4485</v>
      </c>
      <c r="F1465" s="11"/>
      <c r="G1465" s="11" t="s">
        <v>1421</v>
      </c>
      <c r="H1465" s="11"/>
      <c r="I1465" s="11" t="s">
        <v>4484</v>
      </c>
      <c r="J1465" s="11" t="s">
        <v>4483</v>
      </c>
      <c r="K1465" s="11" t="s">
        <v>2033</v>
      </c>
      <c r="L1465" s="11"/>
      <c r="M1465" s="12"/>
      <c r="N1465" s="11"/>
      <c r="O1465" s="11" t="s">
        <v>2028</v>
      </c>
    </row>
    <row r="1466" spans="1:15" ht="19.5" customHeight="1" x14ac:dyDescent="0.25">
      <c r="A1466" s="13" t="s">
        <v>1726</v>
      </c>
      <c r="B1466" s="13"/>
      <c r="C1466" s="13" t="s">
        <v>4482</v>
      </c>
      <c r="D1466" s="13" t="s">
        <v>1883</v>
      </c>
      <c r="E1466" s="13" t="s">
        <v>4481</v>
      </c>
      <c r="F1466" s="13"/>
      <c r="G1466" s="13" t="s">
        <v>1726</v>
      </c>
      <c r="H1466" s="13"/>
      <c r="I1466" s="13" t="s">
        <v>4480</v>
      </c>
      <c r="J1466" s="13" t="s">
        <v>4479</v>
      </c>
      <c r="K1466" s="13" t="s">
        <v>2033</v>
      </c>
      <c r="L1466" s="13"/>
      <c r="M1466" s="14"/>
      <c r="N1466" s="13"/>
      <c r="O1466" s="13" t="s">
        <v>2028</v>
      </c>
    </row>
    <row r="1467" spans="1:15" ht="19.5" customHeight="1" x14ac:dyDescent="0.25">
      <c r="A1467" s="11" t="s">
        <v>655</v>
      </c>
      <c r="B1467" s="11"/>
      <c r="C1467" s="11" t="s">
        <v>4478</v>
      </c>
      <c r="D1467" s="11" t="s">
        <v>1883</v>
      </c>
      <c r="E1467" s="11" t="s">
        <v>4475</v>
      </c>
      <c r="F1467" s="11" t="s">
        <v>4474</v>
      </c>
      <c r="G1467" s="11" t="s">
        <v>655</v>
      </c>
      <c r="H1467" s="11" t="s">
        <v>4473</v>
      </c>
      <c r="I1467" s="11" t="s">
        <v>4472</v>
      </c>
      <c r="J1467" s="11" t="s">
        <v>4471</v>
      </c>
      <c r="K1467" s="11" t="s">
        <v>1952</v>
      </c>
      <c r="L1467" s="11"/>
      <c r="M1467" s="12"/>
      <c r="N1467" s="11"/>
      <c r="O1467" s="11" t="s">
        <v>2028</v>
      </c>
    </row>
    <row r="1468" spans="1:15" ht="19.5" customHeight="1" x14ac:dyDescent="0.25">
      <c r="A1468" s="13" t="s">
        <v>655</v>
      </c>
      <c r="B1468" s="13"/>
      <c r="C1468" s="13" t="s">
        <v>4477</v>
      </c>
      <c r="D1468" s="13" t="s">
        <v>1883</v>
      </c>
      <c r="E1468" s="13" t="s">
        <v>4475</v>
      </c>
      <c r="F1468" s="13" t="s">
        <v>4474</v>
      </c>
      <c r="G1468" s="13" t="s">
        <v>655</v>
      </c>
      <c r="H1468" s="13" t="s">
        <v>4473</v>
      </c>
      <c r="I1468" s="13" t="s">
        <v>4472</v>
      </c>
      <c r="J1468" s="13" t="s">
        <v>4471</v>
      </c>
      <c r="K1468" s="13" t="s">
        <v>1952</v>
      </c>
      <c r="L1468" s="13"/>
      <c r="M1468" s="14"/>
      <c r="N1468" s="13"/>
      <c r="O1468" s="13" t="s">
        <v>2028</v>
      </c>
    </row>
    <row r="1469" spans="1:15" ht="19.5" customHeight="1" x14ac:dyDescent="0.25">
      <c r="A1469" s="11" t="s">
        <v>655</v>
      </c>
      <c r="B1469" s="11"/>
      <c r="C1469" s="11" t="s">
        <v>4476</v>
      </c>
      <c r="D1469" s="11" t="s">
        <v>1883</v>
      </c>
      <c r="E1469" s="11" t="s">
        <v>4475</v>
      </c>
      <c r="F1469" s="11" t="s">
        <v>4474</v>
      </c>
      <c r="G1469" s="11" t="s">
        <v>655</v>
      </c>
      <c r="H1469" s="11" t="s">
        <v>4473</v>
      </c>
      <c r="I1469" s="11" t="s">
        <v>4472</v>
      </c>
      <c r="J1469" s="11" t="s">
        <v>4471</v>
      </c>
      <c r="K1469" s="11" t="s">
        <v>1952</v>
      </c>
      <c r="L1469" s="11"/>
      <c r="M1469" s="12"/>
      <c r="N1469" s="11"/>
      <c r="O1469" s="11" t="s">
        <v>2028</v>
      </c>
    </row>
    <row r="1470" spans="1:15" ht="19.5" customHeight="1" x14ac:dyDescent="0.25">
      <c r="A1470" s="13" t="s">
        <v>1661</v>
      </c>
      <c r="B1470" s="13"/>
      <c r="C1470" s="13" t="s">
        <v>4470</v>
      </c>
      <c r="D1470" s="13" t="s">
        <v>1883</v>
      </c>
      <c r="E1470" s="13" t="s">
        <v>4469</v>
      </c>
      <c r="F1470" s="13"/>
      <c r="G1470" s="13" t="s">
        <v>1661</v>
      </c>
      <c r="H1470" s="13"/>
      <c r="I1470" s="13" t="s">
        <v>4468</v>
      </c>
      <c r="J1470" s="13" t="s">
        <v>4467</v>
      </c>
      <c r="K1470" s="13" t="s">
        <v>3599</v>
      </c>
      <c r="L1470" s="13"/>
      <c r="M1470" s="14"/>
      <c r="N1470" s="13"/>
      <c r="O1470" s="13" t="s">
        <v>2028</v>
      </c>
    </row>
    <row r="1471" spans="1:15" ht="19.5" customHeight="1" x14ac:dyDescent="0.25">
      <c r="A1471" s="11" t="s">
        <v>4459</v>
      </c>
      <c r="B1471" s="11"/>
      <c r="C1471" s="11" t="s">
        <v>4466</v>
      </c>
      <c r="D1471" s="11" t="s">
        <v>1950</v>
      </c>
      <c r="E1471" s="11" t="s">
        <v>4465</v>
      </c>
      <c r="F1471" s="11" t="s">
        <v>4460</v>
      </c>
      <c r="G1471" s="11" t="s">
        <v>4459</v>
      </c>
      <c r="H1471" s="11" t="s">
        <v>4464</v>
      </c>
      <c r="I1471" s="11" t="s">
        <v>1997</v>
      </c>
      <c r="J1471" s="11" t="s">
        <v>4463</v>
      </c>
      <c r="K1471" s="11" t="s">
        <v>1952</v>
      </c>
      <c r="L1471" s="11"/>
      <c r="M1471" s="12"/>
      <c r="N1471" s="11"/>
      <c r="O1471" s="11"/>
    </row>
    <row r="1472" spans="1:15" ht="19.5" customHeight="1" x14ac:dyDescent="0.25">
      <c r="A1472" s="13" t="s">
        <v>4459</v>
      </c>
      <c r="B1472" s="13"/>
      <c r="C1472" s="13" t="s">
        <v>4462</v>
      </c>
      <c r="D1472" s="13" t="s">
        <v>1883</v>
      </c>
      <c r="E1472" s="13" t="s">
        <v>4461</v>
      </c>
      <c r="F1472" s="13" t="s">
        <v>4460</v>
      </c>
      <c r="G1472" s="13" t="s">
        <v>4459</v>
      </c>
      <c r="H1472" s="13"/>
      <c r="I1472" s="13" t="s">
        <v>1997</v>
      </c>
      <c r="J1472" s="13" t="s">
        <v>4458</v>
      </c>
      <c r="K1472" s="13" t="s">
        <v>2122</v>
      </c>
      <c r="L1472" s="13"/>
      <c r="M1472" s="14"/>
      <c r="N1472" s="13"/>
      <c r="O1472" s="13" t="s">
        <v>1945</v>
      </c>
    </row>
    <row r="1473" spans="1:15" ht="19.5" customHeight="1" x14ac:dyDescent="0.25">
      <c r="A1473" s="11" t="s">
        <v>4456</v>
      </c>
      <c r="B1473" s="11"/>
      <c r="C1473" s="11" t="s">
        <v>4457</v>
      </c>
      <c r="D1473" s="11" t="s">
        <v>1950</v>
      </c>
      <c r="E1473" s="11"/>
      <c r="F1473" s="11"/>
      <c r="G1473" s="11" t="s">
        <v>4456</v>
      </c>
      <c r="H1473" s="11"/>
      <c r="I1473" s="11" t="s">
        <v>4455</v>
      </c>
      <c r="J1473" s="11" t="s">
        <v>4454</v>
      </c>
      <c r="K1473" s="11" t="s">
        <v>3599</v>
      </c>
      <c r="L1473" s="11"/>
      <c r="M1473" s="12"/>
      <c r="N1473" s="11"/>
      <c r="O1473" s="11" t="s">
        <v>1945</v>
      </c>
    </row>
    <row r="1474" spans="1:15" ht="19.5" customHeight="1" x14ac:dyDescent="0.25">
      <c r="A1474" s="13" t="s">
        <v>657</v>
      </c>
      <c r="B1474" s="13"/>
      <c r="C1474" s="13" t="s">
        <v>4453</v>
      </c>
      <c r="D1474" s="13" t="s">
        <v>1883</v>
      </c>
      <c r="E1474" s="13" t="s">
        <v>4450</v>
      </c>
      <c r="F1474" s="13"/>
      <c r="G1474" s="13" t="s">
        <v>657</v>
      </c>
      <c r="H1474" s="13" t="s">
        <v>4449</v>
      </c>
      <c r="I1474" s="13" t="s">
        <v>4448</v>
      </c>
      <c r="J1474" s="13" t="s">
        <v>4447</v>
      </c>
      <c r="K1474" s="13" t="s">
        <v>1952</v>
      </c>
      <c r="L1474" s="13"/>
      <c r="M1474" s="14"/>
      <c r="N1474" s="13"/>
      <c r="O1474" s="13" t="s">
        <v>2028</v>
      </c>
    </row>
    <row r="1475" spans="1:15" ht="19.5" customHeight="1" x14ac:dyDescent="0.25">
      <c r="A1475" s="11" t="s">
        <v>657</v>
      </c>
      <c r="B1475" s="11"/>
      <c r="C1475" s="11" t="s">
        <v>4452</v>
      </c>
      <c r="D1475" s="11" t="s">
        <v>1883</v>
      </c>
      <c r="E1475" s="11" t="s">
        <v>4450</v>
      </c>
      <c r="F1475" s="11"/>
      <c r="G1475" s="11" t="s">
        <v>657</v>
      </c>
      <c r="H1475" s="11" t="s">
        <v>4449</v>
      </c>
      <c r="I1475" s="11" t="s">
        <v>4448</v>
      </c>
      <c r="J1475" s="11" t="s">
        <v>4447</v>
      </c>
      <c r="K1475" s="11" t="s">
        <v>1952</v>
      </c>
      <c r="L1475" s="11"/>
      <c r="M1475" s="12"/>
      <c r="N1475" s="11"/>
      <c r="O1475" s="11" t="s">
        <v>2028</v>
      </c>
    </row>
    <row r="1476" spans="1:15" ht="19.5" customHeight="1" x14ac:dyDescent="0.25">
      <c r="A1476" s="13" t="s">
        <v>657</v>
      </c>
      <c r="B1476" s="13"/>
      <c r="C1476" s="13" t="s">
        <v>4451</v>
      </c>
      <c r="D1476" s="13" t="s">
        <v>1883</v>
      </c>
      <c r="E1476" s="13" t="s">
        <v>4450</v>
      </c>
      <c r="F1476" s="13"/>
      <c r="G1476" s="13" t="s">
        <v>657</v>
      </c>
      <c r="H1476" s="13" t="s">
        <v>4449</v>
      </c>
      <c r="I1476" s="13" t="s">
        <v>4448</v>
      </c>
      <c r="J1476" s="13" t="s">
        <v>4447</v>
      </c>
      <c r="K1476" s="13" t="s">
        <v>1952</v>
      </c>
      <c r="L1476" s="13"/>
      <c r="M1476" s="14"/>
      <c r="N1476" s="13"/>
      <c r="O1476" s="13" t="s">
        <v>2028</v>
      </c>
    </row>
    <row r="1477" spans="1:15" ht="19.5" customHeight="1" x14ac:dyDescent="0.25">
      <c r="A1477" s="11" t="s">
        <v>1667</v>
      </c>
      <c r="B1477" s="11"/>
      <c r="C1477" s="11" t="s">
        <v>4446</v>
      </c>
      <c r="D1477" s="11" t="s">
        <v>1883</v>
      </c>
      <c r="E1477" s="11" t="s">
        <v>4445</v>
      </c>
      <c r="F1477" s="11"/>
      <c r="G1477" s="11" t="s">
        <v>1667</v>
      </c>
      <c r="H1477" s="11"/>
      <c r="I1477" s="11" t="s">
        <v>4444</v>
      </c>
      <c r="J1477" s="11" t="s">
        <v>4443</v>
      </c>
      <c r="K1477" s="11" t="s">
        <v>3599</v>
      </c>
      <c r="L1477" s="11"/>
      <c r="M1477" s="12"/>
      <c r="N1477" s="11"/>
      <c r="O1477" s="11" t="s">
        <v>2028</v>
      </c>
    </row>
    <row r="1478" spans="1:15" ht="19.5" customHeight="1" x14ac:dyDescent="0.25">
      <c r="A1478" s="13" t="s">
        <v>659</v>
      </c>
      <c r="B1478" s="13"/>
      <c r="C1478" s="13" t="s">
        <v>4442</v>
      </c>
      <c r="D1478" s="13" t="s">
        <v>1883</v>
      </c>
      <c r="E1478" s="13" t="s">
        <v>4439</v>
      </c>
      <c r="F1478" s="13" t="s">
        <v>4438</v>
      </c>
      <c r="G1478" s="13" t="s">
        <v>659</v>
      </c>
      <c r="H1478" s="13" t="s">
        <v>4437</v>
      </c>
      <c r="I1478" s="13" t="s">
        <v>4436</v>
      </c>
      <c r="J1478" s="13" t="s">
        <v>4435</v>
      </c>
      <c r="K1478" s="13" t="s">
        <v>4304</v>
      </c>
      <c r="L1478" s="13"/>
      <c r="M1478" s="14"/>
      <c r="N1478" s="13"/>
      <c r="O1478" s="13" t="s">
        <v>2028</v>
      </c>
    </row>
    <row r="1479" spans="1:15" ht="19.5" customHeight="1" x14ac:dyDescent="0.25">
      <c r="A1479" s="11" t="s">
        <v>659</v>
      </c>
      <c r="B1479" s="11"/>
      <c r="C1479" s="11" t="s">
        <v>4441</v>
      </c>
      <c r="D1479" s="11" t="s">
        <v>1883</v>
      </c>
      <c r="E1479" s="11" t="s">
        <v>4439</v>
      </c>
      <c r="F1479" s="11" t="s">
        <v>4438</v>
      </c>
      <c r="G1479" s="11" t="s">
        <v>659</v>
      </c>
      <c r="H1479" s="11" t="s">
        <v>4437</v>
      </c>
      <c r="I1479" s="11" t="s">
        <v>4436</v>
      </c>
      <c r="J1479" s="11" t="s">
        <v>4435</v>
      </c>
      <c r="K1479" s="11" t="s">
        <v>4304</v>
      </c>
      <c r="L1479" s="11"/>
      <c r="M1479" s="12"/>
      <c r="N1479" s="11"/>
      <c r="O1479" s="11" t="s">
        <v>2028</v>
      </c>
    </row>
    <row r="1480" spans="1:15" ht="19.5" customHeight="1" x14ac:dyDescent="0.25">
      <c r="A1480" s="13" t="s">
        <v>659</v>
      </c>
      <c r="B1480" s="13"/>
      <c r="C1480" s="13" t="s">
        <v>4440</v>
      </c>
      <c r="D1480" s="13" t="s">
        <v>1883</v>
      </c>
      <c r="E1480" s="13" t="s">
        <v>4439</v>
      </c>
      <c r="F1480" s="13" t="s">
        <v>4438</v>
      </c>
      <c r="G1480" s="13" t="s">
        <v>659</v>
      </c>
      <c r="H1480" s="13" t="s">
        <v>4437</v>
      </c>
      <c r="I1480" s="13" t="s">
        <v>4436</v>
      </c>
      <c r="J1480" s="13" t="s">
        <v>4435</v>
      </c>
      <c r="K1480" s="13" t="s">
        <v>4304</v>
      </c>
      <c r="L1480" s="13"/>
      <c r="M1480" s="14"/>
      <c r="N1480" s="13"/>
      <c r="O1480" s="13" t="s">
        <v>2028</v>
      </c>
    </row>
    <row r="1481" spans="1:15" ht="19.5" customHeight="1" x14ac:dyDescent="0.25">
      <c r="A1481" s="11" t="s">
        <v>1154</v>
      </c>
      <c r="B1481" s="11"/>
      <c r="C1481" s="11" t="s">
        <v>4434</v>
      </c>
      <c r="D1481" s="11" t="s">
        <v>1883</v>
      </c>
      <c r="E1481" s="11" t="s">
        <v>4433</v>
      </c>
      <c r="F1481" s="11"/>
      <c r="G1481" s="11" t="s">
        <v>1154</v>
      </c>
      <c r="H1481" s="11"/>
      <c r="I1481" s="11" t="s">
        <v>4432</v>
      </c>
      <c r="J1481" s="11" t="s">
        <v>4431</v>
      </c>
      <c r="K1481" s="11" t="s">
        <v>2033</v>
      </c>
      <c r="L1481" s="11"/>
      <c r="M1481" s="12"/>
      <c r="N1481" s="11"/>
      <c r="O1481" s="11" t="s">
        <v>2028</v>
      </c>
    </row>
    <row r="1482" spans="1:15" ht="19.5" customHeight="1" x14ac:dyDescent="0.25">
      <c r="A1482" s="13" t="s">
        <v>1154</v>
      </c>
      <c r="B1482" s="13"/>
      <c r="C1482" s="13" t="s">
        <v>4430</v>
      </c>
      <c r="D1482" s="13" t="s">
        <v>1883</v>
      </c>
      <c r="E1482" s="13" t="s">
        <v>4429</v>
      </c>
      <c r="F1482" s="13"/>
      <c r="G1482" s="13" t="s">
        <v>1154</v>
      </c>
      <c r="H1482" s="13"/>
      <c r="I1482" s="13"/>
      <c r="J1482" s="13"/>
      <c r="K1482" s="13"/>
      <c r="L1482" s="13"/>
      <c r="M1482" s="14"/>
      <c r="N1482" s="13"/>
      <c r="O1482" s="13" t="s">
        <v>2028</v>
      </c>
    </row>
    <row r="1483" spans="1:15" ht="19.5" customHeight="1" x14ac:dyDescent="0.25">
      <c r="A1483" s="11" t="s">
        <v>1066</v>
      </c>
      <c r="B1483" s="11"/>
      <c r="C1483" s="11" t="s">
        <v>1065</v>
      </c>
      <c r="D1483" s="11" t="s">
        <v>1883</v>
      </c>
      <c r="E1483" s="11" t="s">
        <v>4428</v>
      </c>
      <c r="F1483" s="11" t="s">
        <v>4427</v>
      </c>
      <c r="G1483" s="11" t="s">
        <v>1066</v>
      </c>
      <c r="H1483" s="11"/>
      <c r="I1483" s="11" t="s">
        <v>4426</v>
      </c>
      <c r="J1483" s="11" t="s">
        <v>4425</v>
      </c>
      <c r="K1483" s="11" t="s">
        <v>1952</v>
      </c>
      <c r="L1483" s="11"/>
      <c r="M1483" s="12"/>
      <c r="N1483" s="11"/>
      <c r="O1483" s="11" t="s">
        <v>1945</v>
      </c>
    </row>
    <row r="1484" spans="1:15" ht="19.5" customHeight="1" x14ac:dyDescent="0.25">
      <c r="A1484" s="13" t="s">
        <v>661</v>
      </c>
      <c r="B1484" s="13"/>
      <c r="C1484" s="13" t="s">
        <v>4424</v>
      </c>
      <c r="D1484" s="13" t="s">
        <v>1883</v>
      </c>
      <c r="E1484" s="13" t="s">
        <v>4421</v>
      </c>
      <c r="F1484" s="13" t="s">
        <v>4420</v>
      </c>
      <c r="G1484" s="13" t="s">
        <v>661</v>
      </c>
      <c r="H1484" s="13"/>
      <c r="I1484" s="13" t="s">
        <v>4419</v>
      </c>
      <c r="J1484" s="13" t="s">
        <v>4418</v>
      </c>
      <c r="K1484" s="13" t="s">
        <v>1952</v>
      </c>
      <c r="L1484" s="13"/>
      <c r="M1484" s="14"/>
      <c r="N1484" s="13"/>
      <c r="O1484" s="13" t="s">
        <v>2028</v>
      </c>
    </row>
    <row r="1485" spans="1:15" ht="19.5" customHeight="1" x14ac:dyDescent="0.25">
      <c r="A1485" s="11" t="s">
        <v>661</v>
      </c>
      <c r="B1485" s="11"/>
      <c r="C1485" s="11" t="s">
        <v>4423</v>
      </c>
      <c r="D1485" s="11" t="s">
        <v>1883</v>
      </c>
      <c r="E1485" s="11" t="s">
        <v>4421</v>
      </c>
      <c r="F1485" s="11" t="s">
        <v>4420</v>
      </c>
      <c r="G1485" s="11" t="s">
        <v>661</v>
      </c>
      <c r="H1485" s="11"/>
      <c r="I1485" s="11" t="s">
        <v>4419</v>
      </c>
      <c r="J1485" s="11" t="s">
        <v>4418</v>
      </c>
      <c r="K1485" s="11" t="s">
        <v>1952</v>
      </c>
      <c r="L1485" s="11"/>
      <c r="M1485" s="12"/>
      <c r="N1485" s="11"/>
      <c r="O1485" s="11" t="s">
        <v>2028</v>
      </c>
    </row>
    <row r="1486" spans="1:15" ht="19.5" customHeight="1" x14ac:dyDescent="0.25">
      <c r="A1486" s="13" t="s">
        <v>661</v>
      </c>
      <c r="B1486" s="13"/>
      <c r="C1486" s="13" t="s">
        <v>4422</v>
      </c>
      <c r="D1486" s="13" t="s">
        <v>1883</v>
      </c>
      <c r="E1486" s="13" t="s">
        <v>4421</v>
      </c>
      <c r="F1486" s="13" t="s">
        <v>4420</v>
      </c>
      <c r="G1486" s="13" t="s">
        <v>661</v>
      </c>
      <c r="H1486" s="13"/>
      <c r="I1486" s="13" t="s">
        <v>4419</v>
      </c>
      <c r="J1486" s="13" t="s">
        <v>4418</v>
      </c>
      <c r="K1486" s="13" t="s">
        <v>1952</v>
      </c>
      <c r="L1486" s="13"/>
      <c r="M1486" s="14"/>
      <c r="N1486" s="13"/>
      <c r="O1486" s="13" t="s">
        <v>2028</v>
      </c>
    </row>
    <row r="1487" spans="1:15" ht="19.5" customHeight="1" x14ac:dyDescent="0.25">
      <c r="A1487" s="11" t="s">
        <v>1620</v>
      </c>
      <c r="B1487" s="11"/>
      <c r="C1487" s="11" t="s">
        <v>4417</v>
      </c>
      <c r="D1487" s="11" t="s">
        <v>1883</v>
      </c>
      <c r="E1487" s="11" t="s">
        <v>4416</v>
      </c>
      <c r="F1487" s="11"/>
      <c r="G1487" s="11" t="s">
        <v>1620</v>
      </c>
      <c r="H1487" s="11"/>
      <c r="I1487" s="11" t="s">
        <v>4415</v>
      </c>
      <c r="J1487" s="11" t="s">
        <v>4414</v>
      </c>
      <c r="K1487" s="11" t="s">
        <v>2033</v>
      </c>
      <c r="L1487" s="11"/>
      <c r="M1487" s="12"/>
      <c r="N1487" s="11"/>
      <c r="O1487" s="11" t="s">
        <v>2028</v>
      </c>
    </row>
    <row r="1488" spans="1:15" ht="19.5" customHeight="1" x14ac:dyDescent="0.25">
      <c r="A1488" s="13" t="s">
        <v>663</v>
      </c>
      <c r="B1488" s="13"/>
      <c r="C1488" s="13" t="s">
        <v>4413</v>
      </c>
      <c r="D1488" s="13" t="s">
        <v>1883</v>
      </c>
      <c r="E1488" s="13" t="s">
        <v>4408</v>
      </c>
      <c r="F1488" s="13" t="s">
        <v>4407</v>
      </c>
      <c r="G1488" s="13" t="s">
        <v>663</v>
      </c>
      <c r="H1488" s="13"/>
      <c r="I1488" s="13" t="s">
        <v>4412</v>
      </c>
      <c r="J1488" s="13" t="s">
        <v>4405</v>
      </c>
      <c r="K1488" s="13" t="s">
        <v>3599</v>
      </c>
      <c r="L1488" s="13"/>
      <c r="M1488" s="14"/>
      <c r="N1488" s="13"/>
      <c r="O1488" s="13" t="s">
        <v>2028</v>
      </c>
    </row>
    <row r="1489" spans="1:15" ht="19.5" customHeight="1" x14ac:dyDescent="0.25">
      <c r="A1489" s="11" t="s">
        <v>663</v>
      </c>
      <c r="B1489" s="11"/>
      <c r="C1489" s="11" t="s">
        <v>4411</v>
      </c>
      <c r="D1489" s="11" t="s">
        <v>1883</v>
      </c>
      <c r="E1489" s="11" t="s">
        <v>4408</v>
      </c>
      <c r="F1489" s="11" t="s">
        <v>4407</v>
      </c>
      <c r="G1489" s="11" t="s">
        <v>663</v>
      </c>
      <c r="H1489" s="11"/>
      <c r="I1489" s="11" t="s">
        <v>4410</v>
      </c>
      <c r="J1489" s="11" t="s">
        <v>4405</v>
      </c>
      <c r="K1489" s="11" t="s">
        <v>3599</v>
      </c>
      <c r="L1489" s="11"/>
      <c r="M1489" s="12"/>
      <c r="N1489" s="11"/>
      <c r="O1489" s="11" t="s">
        <v>2028</v>
      </c>
    </row>
    <row r="1490" spans="1:15" ht="19.5" customHeight="1" x14ac:dyDescent="0.25">
      <c r="A1490" s="13" t="s">
        <v>663</v>
      </c>
      <c r="B1490" s="13"/>
      <c r="C1490" s="13" t="s">
        <v>4409</v>
      </c>
      <c r="D1490" s="13" t="s">
        <v>1883</v>
      </c>
      <c r="E1490" s="13" t="s">
        <v>4408</v>
      </c>
      <c r="F1490" s="13" t="s">
        <v>4407</v>
      </c>
      <c r="G1490" s="13" t="s">
        <v>663</v>
      </c>
      <c r="H1490" s="13"/>
      <c r="I1490" s="13" t="s">
        <v>4406</v>
      </c>
      <c r="J1490" s="13" t="s">
        <v>4405</v>
      </c>
      <c r="K1490" s="13" t="s">
        <v>3599</v>
      </c>
      <c r="L1490" s="13"/>
      <c r="M1490" s="14"/>
      <c r="N1490" s="13"/>
      <c r="O1490" s="13" t="s">
        <v>2028</v>
      </c>
    </row>
    <row r="1491" spans="1:15" ht="19.5" customHeight="1" x14ac:dyDescent="0.25">
      <c r="A1491" s="11" t="s">
        <v>665</v>
      </c>
      <c r="B1491" s="11"/>
      <c r="C1491" s="11" t="s">
        <v>4404</v>
      </c>
      <c r="D1491" s="11" t="s">
        <v>1883</v>
      </c>
      <c r="E1491" s="11" t="s">
        <v>4401</v>
      </c>
      <c r="F1491" s="11" t="s">
        <v>4400</v>
      </c>
      <c r="G1491" s="11" t="s">
        <v>665</v>
      </c>
      <c r="H1491" s="11" t="s">
        <v>4399</v>
      </c>
      <c r="I1491" s="11" t="s">
        <v>4398</v>
      </c>
      <c r="J1491" s="11" t="s">
        <v>4397</v>
      </c>
      <c r="K1491" s="11" t="s">
        <v>2033</v>
      </c>
      <c r="L1491" s="11"/>
      <c r="M1491" s="12"/>
      <c r="N1491" s="11"/>
      <c r="O1491" s="11" t="s">
        <v>2028</v>
      </c>
    </row>
    <row r="1492" spans="1:15" ht="19.5" customHeight="1" x14ac:dyDescent="0.25">
      <c r="A1492" s="13" t="s">
        <v>665</v>
      </c>
      <c r="B1492" s="13"/>
      <c r="C1492" s="13" t="s">
        <v>4403</v>
      </c>
      <c r="D1492" s="13" t="s">
        <v>1883</v>
      </c>
      <c r="E1492" s="13" t="s">
        <v>4401</v>
      </c>
      <c r="F1492" s="13" t="s">
        <v>4400</v>
      </c>
      <c r="G1492" s="13" t="s">
        <v>665</v>
      </c>
      <c r="H1492" s="13" t="s">
        <v>4399</v>
      </c>
      <c r="I1492" s="13" t="s">
        <v>4398</v>
      </c>
      <c r="J1492" s="13" t="s">
        <v>4397</v>
      </c>
      <c r="K1492" s="13" t="s">
        <v>2033</v>
      </c>
      <c r="L1492" s="13"/>
      <c r="M1492" s="14"/>
      <c r="N1492" s="13"/>
      <c r="O1492" s="13" t="s">
        <v>2028</v>
      </c>
    </row>
    <row r="1493" spans="1:15" ht="19.5" customHeight="1" x14ac:dyDescent="0.25">
      <c r="A1493" s="11" t="s">
        <v>665</v>
      </c>
      <c r="B1493" s="11"/>
      <c r="C1493" s="11" t="s">
        <v>4402</v>
      </c>
      <c r="D1493" s="11" t="s">
        <v>1883</v>
      </c>
      <c r="E1493" s="11" t="s">
        <v>4401</v>
      </c>
      <c r="F1493" s="11" t="s">
        <v>4400</v>
      </c>
      <c r="G1493" s="11" t="s">
        <v>665</v>
      </c>
      <c r="H1493" s="11" t="s">
        <v>4399</v>
      </c>
      <c r="I1493" s="11" t="s">
        <v>4398</v>
      </c>
      <c r="J1493" s="11" t="s">
        <v>4397</v>
      </c>
      <c r="K1493" s="11" t="s">
        <v>2033</v>
      </c>
      <c r="L1493" s="11"/>
      <c r="M1493" s="12"/>
      <c r="N1493" s="11"/>
      <c r="O1493" s="11" t="s">
        <v>2028</v>
      </c>
    </row>
    <row r="1494" spans="1:15" ht="19.5" customHeight="1" x14ac:dyDescent="0.25">
      <c r="A1494" s="13" t="s">
        <v>1795</v>
      </c>
      <c r="B1494" s="13"/>
      <c r="C1494" s="13" t="s">
        <v>1794</v>
      </c>
      <c r="D1494" s="13" t="s">
        <v>1883</v>
      </c>
      <c r="E1494" s="13" t="s">
        <v>4396</v>
      </c>
      <c r="F1494" s="13"/>
      <c r="G1494" s="13" t="s">
        <v>1795</v>
      </c>
      <c r="H1494" s="13"/>
      <c r="I1494" s="13" t="s">
        <v>4395</v>
      </c>
      <c r="J1494" s="13" t="s">
        <v>4394</v>
      </c>
      <c r="K1494" s="13" t="s">
        <v>3599</v>
      </c>
      <c r="L1494" s="13"/>
      <c r="M1494" s="14"/>
      <c r="N1494" s="13"/>
      <c r="O1494" s="13" t="s">
        <v>2028</v>
      </c>
    </row>
    <row r="1495" spans="1:15" ht="19.5" customHeight="1" x14ac:dyDescent="0.25">
      <c r="A1495" s="11" t="s">
        <v>667</v>
      </c>
      <c r="B1495" s="11"/>
      <c r="C1495" s="11" t="s">
        <v>4393</v>
      </c>
      <c r="D1495" s="11" t="s">
        <v>1883</v>
      </c>
      <c r="E1495" s="11" t="s">
        <v>4390</v>
      </c>
      <c r="F1495" s="11" t="s">
        <v>4389</v>
      </c>
      <c r="G1495" s="11" t="s">
        <v>667</v>
      </c>
      <c r="H1495" s="11" t="s">
        <v>4388</v>
      </c>
      <c r="I1495" s="11" t="s">
        <v>4387</v>
      </c>
      <c r="J1495" s="11" t="s">
        <v>4386</v>
      </c>
      <c r="K1495" s="11" t="s">
        <v>3599</v>
      </c>
      <c r="L1495" s="11"/>
      <c r="M1495" s="12"/>
      <c r="N1495" s="11"/>
      <c r="O1495" s="11" t="s">
        <v>2028</v>
      </c>
    </row>
    <row r="1496" spans="1:15" ht="19.5" customHeight="1" x14ac:dyDescent="0.25">
      <c r="A1496" s="13" t="s">
        <v>667</v>
      </c>
      <c r="B1496" s="13"/>
      <c r="C1496" s="13" t="s">
        <v>4392</v>
      </c>
      <c r="D1496" s="13" t="s">
        <v>1883</v>
      </c>
      <c r="E1496" s="13" t="s">
        <v>4390</v>
      </c>
      <c r="F1496" s="13" t="s">
        <v>4389</v>
      </c>
      <c r="G1496" s="13" t="s">
        <v>667</v>
      </c>
      <c r="H1496" s="13" t="s">
        <v>4388</v>
      </c>
      <c r="I1496" s="13" t="s">
        <v>4387</v>
      </c>
      <c r="J1496" s="13" t="s">
        <v>4386</v>
      </c>
      <c r="K1496" s="13" t="s">
        <v>3599</v>
      </c>
      <c r="L1496" s="13"/>
      <c r="M1496" s="14"/>
      <c r="N1496" s="13"/>
      <c r="O1496" s="13" t="s">
        <v>2028</v>
      </c>
    </row>
    <row r="1497" spans="1:15" ht="19.5" customHeight="1" x14ac:dyDescent="0.25">
      <c r="A1497" s="11" t="s">
        <v>667</v>
      </c>
      <c r="B1497" s="11"/>
      <c r="C1497" s="11" t="s">
        <v>4391</v>
      </c>
      <c r="D1497" s="11" t="s">
        <v>1883</v>
      </c>
      <c r="E1497" s="11" t="s">
        <v>4390</v>
      </c>
      <c r="F1497" s="11" t="s">
        <v>4389</v>
      </c>
      <c r="G1497" s="11" t="s">
        <v>667</v>
      </c>
      <c r="H1497" s="11" t="s">
        <v>4388</v>
      </c>
      <c r="I1497" s="11" t="s">
        <v>4387</v>
      </c>
      <c r="J1497" s="11" t="s">
        <v>4386</v>
      </c>
      <c r="K1497" s="11" t="s">
        <v>3599</v>
      </c>
      <c r="L1497" s="11"/>
      <c r="M1497" s="12"/>
      <c r="N1497" s="11"/>
      <c r="O1497" s="11" t="s">
        <v>2028</v>
      </c>
    </row>
    <row r="1498" spans="1:15" ht="19.5" customHeight="1" x14ac:dyDescent="0.25">
      <c r="A1498" s="13" t="s">
        <v>1813</v>
      </c>
      <c r="B1498" s="13"/>
      <c r="C1498" s="13" t="s">
        <v>1812</v>
      </c>
      <c r="D1498" s="13" t="s">
        <v>1883</v>
      </c>
      <c r="E1498" s="13" t="s">
        <v>4385</v>
      </c>
      <c r="F1498" s="13" t="s">
        <v>4381</v>
      </c>
      <c r="G1498" s="13" t="s">
        <v>1813</v>
      </c>
      <c r="H1498" s="13"/>
      <c r="I1498" s="13" t="s">
        <v>4384</v>
      </c>
      <c r="J1498" s="13" t="s">
        <v>4379</v>
      </c>
      <c r="K1498" s="13" t="s">
        <v>1952</v>
      </c>
      <c r="L1498" s="13"/>
      <c r="M1498" s="14"/>
      <c r="N1498" s="13"/>
      <c r="O1498" s="13" t="s">
        <v>1945</v>
      </c>
    </row>
    <row r="1499" spans="1:15" ht="19.5" customHeight="1" x14ac:dyDescent="0.25">
      <c r="A1499" s="11" t="s">
        <v>1813</v>
      </c>
      <c r="B1499" s="11"/>
      <c r="C1499" s="11" t="s">
        <v>4383</v>
      </c>
      <c r="D1499" s="11" t="s">
        <v>1883</v>
      </c>
      <c r="E1499" s="11" t="s">
        <v>4382</v>
      </c>
      <c r="F1499" s="11" t="s">
        <v>4381</v>
      </c>
      <c r="G1499" s="11" t="s">
        <v>1813</v>
      </c>
      <c r="H1499" s="11"/>
      <c r="I1499" s="11" t="s">
        <v>4380</v>
      </c>
      <c r="J1499" s="11" t="s">
        <v>4379</v>
      </c>
      <c r="K1499" s="11" t="s">
        <v>1952</v>
      </c>
      <c r="L1499" s="11"/>
      <c r="M1499" s="12"/>
      <c r="N1499" s="11"/>
      <c r="O1499" s="11" t="s">
        <v>1916</v>
      </c>
    </row>
    <row r="1500" spans="1:15" ht="19.5" customHeight="1" x14ac:dyDescent="0.25">
      <c r="A1500" s="13" t="s">
        <v>669</v>
      </c>
      <c r="B1500" s="13"/>
      <c r="C1500" s="13" t="s">
        <v>4378</v>
      </c>
      <c r="D1500" s="13" t="s">
        <v>1883</v>
      </c>
      <c r="E1500" s="13" t="s">
        <v>4375</v>
      </c>
      <c r="F1500" s="13" t="s">
        <v>4374</v>
      </c>
      <c r="G1500" s="13" t="s">
        <v>669</v>
      </c>
      <c r="H1500" s="13"/>
      <c r="I1500" s="13" t="s">
        <v>4373</v>
      </c>
      <c r="J1500" s="13" t="s">
        <v>4372</v>
      </c>
      <c r="K1500" s="13" t="s">
        <v>1952</v>
      </c>
      <c r="L1500" s="13"/>
      <c r="M1500" s="14"/>
      <c r="N1500" s="13"/>
      <c r="O1500" s="13" t="s">
        <v>2028</v>
      </c>
    </row>
    <row r="1501" spans="1:15" ht="19.5" customHeight="1" x14ac:dyDescent="0.25">
      <c r="A1501" s="11" t="s">
        <v>669</v>
      </c>
      <c r="B1501" s="11"/>
      <c r="C1501" s="11" t="s">
        <v>4377</v>
      </c>
      <c r="D1501" s="11" t="s">
        <v>1883</v>
      </c>
      <c r="E1501" s="11" t="s">
        <v>4375</v>
      </c>
      <c r="F1501" s="11" t="s">
        <v>4374</v>
      </c>
      <c r="G1501" s="11" t="s">
        <v>669</v>
      </c>
      <c r="H1501" s="11"/>
      <c r="I1501" s="11" t="s">
        <v>4373</v>
      </c>
      <c r="J1501" s="11" t="s">
        <v>4372</v>
      </c>
      <c r="K1501" s="11" t="s">
        <v>1952</v>
      </c>
      <c r="L1501" s="11"/>
      <c r="M1501" s="12"/>
      <c r="N1501" s="11"/>
      <c r="O1501" s="11" t="s">
        <v>2028</v>
      </c>
    </row>
    <row r="1502" spans="1:15" ht="19.5" customHeight="1" x14ac:dyDescent="0.25">
      <c r="A1502" s="13" t="s">
        <v>669</v>
      </c>
      <c r="B1502" s="13"/>
      <c r="C1502" s="13" t="s">
        <v>4376</v>
      </c>
      <c r="D1502" s="13" t="s">
        <v>1883</v>
      </c>
      <c r="E1502" s="13" t="s">
        <v>4375</v>
      </c>
      <c r="F1502" s="13" t="s">
        <v>4374</v>
      </c>
      <c r="G1502" s="13" t="s">
        <v>669</v>
      </c>
      <c r="H1502" s="13"/>
      <c r="I1502" s="13" t="s">
        <v>4373</v>
      </c>
      <c r="J1502" s="13" t="s">
        <v>4372</v>
      </c>
      <c r="K1502" s="13" t="s">
        <v>1952</v>
      </c>
      <c r="L1502" s="13"/>
      <c r="M1502" s="14"/>
      <c r="N1502" s="13"/>
      <c r="O1502" s="13" t="s">
        <v>2028</v>
      </c>
    </row>
    <row r="1503" spans="1:15" ht="19.5" customHeight="1" x14ac:dyDescent="0.25">
      <c r="A1503" s="11" t="s">
        <v>1708</v>
      </c>
      <c r="B1503" s="11"/>
      <c r="C1503" s="11" t="s">
        <v>4371</v>
      </c>
      <c r="D1503" s="11" t="s">
        <v>1883</v>
      </c>
      <c r="E1503" s="11" t="s">
        <v>4370</v>
      </c>
      <c r="F1503" s="11"/>
      <c r="G1503" s="11" t="s">
        <v>1708</v>
      </c>
      <c r="H1503" s="11"/>
      <c r="I1503" s="11" t="s">
        <v>4369</v>
      </c>
      <c r="J1503" s="11" t="s">
        <v>4368</v>
      </c>
      <c r="K1503" s="11" t="s">
        <v>1952</v>
      </c>
      <c r="L1503" s="11"/>
      <c r="M1503" s="12"/>
      <c r="N1503" s="11"/>
      <c r="O1503" s="11" t="s">
        <v>2028</v>
      </c>
    </row>
    <row r="1504" spans="1:15" ht="19.5" customHeight="1" x14ac:dyDescent="0.25">
      <c r="A1504" s="13" t="s">
        <v>671</v>
      </c>
      <c r="B1504" s="13"/>
      <c r="C1504" s="13" t="s">
        <v>4367</v>
      </c>
      <c r="D1504" s="13" t="s">
        <v>1883</v>
      </c>
      <c r="E1504" s="13" t="s">
        <v>4364</v>
      </c>
      <c r="F1504" s="13" t="s">
        <v>4363</v>
      </c>
      <c r="G1504" s="13" t="s">
        <v>4362</v>
      </c>
      <c r="H1504" s="13" t="s">
        <v>4361</v>
      </c>
      <c r="I1504" s="13" t="s">
        <v>4360</v>
      </c>
      <c r="J1504" s="13" t="s">
        <v>4359</v>
      </c>
      <c r="K1504" s="13" t="s">
        <v>3599</v>
      </c>
      <c r="L1504" s="13"/>
      <c r="M1504" s="14"/>
      <c r="N1504" s="13"/>
      <c r="O1504" s="13" t="s">
        <v>2028</v>
      </c>
    </row>
    <row r="1505" spans="1:15" ht="19.5" customHeight="1" x14ac:dyDescent="0.25">
      <c r="A1505" s="11" t="s">
        <v>671</v>
      </c>
      <c r="B1505" s="11"/>
      <c r="C1505" s="11" t="s">
        <v>4366</v>
      </c>
      <c r="D1505" s="11" t="s">
        <v>1883</v>
      </c>
      <c r="E1505" s="11" t="s">
        <v>4364</v>
      </c>
      <c r="F1505" s="11" t="s">
        <v>4363</v>
      </c>
      <c r="G1505" s="11" t="s">
        <v>4362</v>
      </c>
      <c r="H1505" s="11" t="s">
        <v>4361</v>
      </c>
      <c r="I1505" s="11" t="s">
        <v>4360</v>
      </c>
      <c r="J1505" s="11" t="s">
        <v>4359</v>
      </c>
      <c r="K1505" s="11" t="s">
        <v>3599</v>
      </c>
      <c r="L1505" s="11"/>
      <c r="M1505" s="12"/>
      <c r="N1505" s="11"/>
      <c r="O1505" s="11" t="s">
        <v>2028</v>
      </c>
    </row>
    <row r="1506" spans="1:15" ht="19.5" customHeight="1" x14ac:dyDescent="0.25">
      <c r="A1506" s="13" t="s">
        <v>671</v>
      </c>
      <c r="B1506" s="13"/>
      <c r="C1506" s="13" t="s">
        <v>4365</v>
      </c>
      <c r="D1506" s="13" t="s">
        <v>1883</v>
      </c>
      <c r="E1506" s="13" t="s">
        <v>4364</v>
      </c>
      <c r="F1506" s="13" t="s">
        <v>4363</v>
      </c>
      <c r="G1506" s="13" t="s">
        <v>4362</v>
      </c>
      <c r="H1506" s="13" t="s">
        <v>4361</v>
      </c>
      <c r="I1506" s="13" t="s">
        <v>4360</v>
      </c>
      <c r="J1506" s="13" t="s">
        <v>4359</v>
      </c>
      <c r="K1506" s="13" t="s">
        <v>3599</v>
      </c>
      <c r="L1506" s="13"/>
      <c r="M1506" s="14"/>
      <c r="N1506" s="13"/>
      <c r="O1506" s="13" t="s">
        <v>2028</v>
      </c>
    </row>
    <row r="1507" spans="1:15" ht="19.5" customHeight="1" x14ac:dyDescent="0.25">
      <c r="A1507" s="11" t="s">
        <v>4356</v>
      </c>
      <c r="B1507" s="11"/>
      <c r="C1507" s="11" t="s">
        <v>4358</v>
      </c>
      <c r="D1507" s="11" t="s">
        <v>1883</v>
      </c>
      <c r="E1507" s="11" t="s">
        <v>4354</v>
      </c>
      <c r="F1507" s="11" t="s">
        <v>4353</v>
      </c>
      <c r="G1507" s="11" t="s">
        <v>4356</v>
      </c>
      <c r="H1507" s="11" t="s">
        <v>4351</v>
      </c>
      <c r="I1507" s="11" t="s">
        <v>4350</v>
      </c>
      <c r="J1507" s="11" t="s">
        <v>4349</v>
      </c>
      <c r="K1507" s="11" t="s">
        <v>1952</v>
      </c>
      <c r="L1507" s="11"/>
      <c r="M1507" s="12"/>
      <c r="N1507" s="11"/>
      <c r="O1507" s="11" t="s">
        <v>2028</v>
      </c>
    </row>
    <row r="1508" spans="1:15" ht="19.5" customHeight="1" x14ac:dyDescent="0.25">
      <c r="A1508" s="13" t="s">
        <v>4356</v>
      </c>
      <c r="B1508" s="13"/>
      <c r="C1508" s="13" t="s">
        <v>4357</v>
      </c>
      <c r="D1508" s="13" t="s">
        <v>1883</v>
      </c>
      <c r="E1508" s="13" t="s">
        <v>4354</v>
      </c>
      <c r="F1508" s="13" t="s">
        <v>4353</v>
      </c>
      <c r="G1508" s="13" t="s">
        <v>4356</v>
      </c>
      <c r="H1508" s="13" t="s">
        <v>4351</v>
      </c>
      <c r="I1508" s="13" t="s">
        <v>4350</v>
      </c>
      <c r="J1508" s="13" t="s">
        <v>4349</v>
      </c>
      <c r="K1508" s="13" t="s">
        <v>1952</v>
      </c>
      <c r="L1508" s="13"/>
      <c r="M1508" s="14"/>
      <c r="N1508" s="13"/>
      <c r="O1508" s="13" t="s">
        <v>2028</v>
      </c>
    </row>
    <row r="1509" spans="1:15" ht="19.5" customHeight="1" x14ac:dyDescent="0.25">
      <c r="A1509" s="11" t="s">
        <v>4352</v>
      </c>
      <c r="B1509" s="11"/>
      <c r="C1509" s="11" t="s">
        <v>4355</v>
      </c>
      <c r="D1509" s="11" t="s">
        <v>1883</v>
      </c>
      <c r="E1509" s="11" t="s">
        <v>4354</v>
      </c>
      <c r="F1509" s="11" t="s">
        <v>4353</v>
      </c>
      <c r="G1509" s="11" t="s">
        <v>4352</v>
      </c>
      <c r="H1509" s="11" t="s">
        <v>4351</v>
      </c>
      <c r="I1509" s="11" t="s">
        <v>4350</v>
      </c>
      <c r="J1509" s="11" t="s">
        <v>4349</v>
      </c>
      <c r="K1509" s="11" t="s">
        <v>1952</v>
      </c>
      <c r="L1509" s="11"/>
      <c r="M1509" s="12"/>
      <c r="N1509" s="11"/>
      <c r="O1509" s="11" t="s">
        <v>2028</v>
      </c>
    </row>
    <row r="1510" spans="1:15" ht="19.5" customHeight="1" x14ac:dyDescent="0.25">
      <c r="A1510" s="13" t="s">
        <v>1522</v>
      </c>
      <c r="B1510" s="13"/>
      <c r="C1510" s="13" t="s">
        <v>4348</v>
      </c>
      <c r="D1510" s="13" t="s">
        <v>1883</v>
      </c>
      <c r="E1510" s="13" t="s">
        <v>4347</v>
      </c>
      <c r="F1510" s="13"/>
      <c r="G1510" s="13" t="s">
        <v>1522</v>
      </c>
      <c r="H1510" s="13"/>
      <c r="I1510" s="13" t="s">
        <v>4346</v>
      </c>
      <c r="J1510" s="13" t="s">
        <v>4345</v>
      </c>
      <c r="K1510" s="13" t="s">
        <v>2033</v>
      </c>
      <c r="L1510" s="13"/>
      <c r="M1510" s="14"/>
      <c r="N1510" s="13"/>
      <c r="O1510" s="13" t="s">
        <v>2028</v>
      </c>
    </row>
    <row r="1511" spans="1:15" ht="19.5" customHeight="1" x14ac:dyDescent="0.25">
      <c r="A1511" s="11" t="s">
        <v>674</v>
      </c>
      <c r="B1511" s="11"/>
      <c r="C1511" s="11" t="s">
        <v>4344</v>
      </c>
      <c r="D1511" s="11" t="s">
        <v>1883</v>
      </c>
      <c r="E1511" s="11" t="s">
        <v>4341</v>
      </c>
      <c r="F1511" s="11" t="s">
        <v>4340</v>
      </c>
      <c r="G1511" s="11" t="s">
        <v>674</v>
      </c>
      <c r="H1511" s="11"/>
      <c r="I1511" s="11" t="s">
        <v>4339</v>
      </c>
      <c r="J1511" s="11" t="s">
        <v>4338</v>
      </c>
      <c r="K1511" s="11" t="s">
        <v>3599</v>
      </c>
      <c r="L1511" s="11"/>
      <c r="M1511" s="12"/>
      <c r="N1511" s="11"/>
      <c r="O1511" s="11" t="s">
        <v>2028</v>
      </c>
    </row>
    <row r="1512" spans="1:15" ht="19.5" customHeight="1" x14ac:dyDescent="0.25">
      <c r="A1512" s="13" t="s">
        <v>674</v>
      </c>
      <c r="B1512" s="13"/>
      <c r="C1512" s="13" t="s">
        <v>4343</v>
      </c>
      <c r="D1512" s="13" t="s">
        <v>1883</v>
      </c>
      <c r="E1512" s="13" t="s">
        <v>4341</v>
      </c>
      <c r="F1512" s="13" t="s">
        <v>4340</v>
      </c>
      <c r="G1512" s="13" t="s">
        <v>674</v>
      </c>
      <c r="H1512" s="13"/>
      <c r="I1512" s="13" t="s">
        <v>4339</v>
      </c>
      <c r="J1512" s="13" t="s">
        <v>4338</v>
      </c>
      <c r="K1512" s="13" t="s">
        <v>3599</v>
      </c>
      <c r="L1512" s="13"/>
      <c r="M1512" s="14"/>
      <c r="N1512" s="13"/>
      <c r="O1512" s="13" t="s">
        <v>2028</v>
      </c>
    </row>
    <row r="1513" spans="1:15" ht="19.5" customHeight="1" x14ac:dyDescent="0.25">
      <c r="A1513" s="11" t="s">
        <v>674</v>
      </c>
      <c r="B1513" s="11"/>
      <c r="C1513" s="11" t="s">
        <v>4342</v>
      </c>
      <c r="D1513" s="11" t="s">
        <v>1883</v>
      </c>
      <c r="E1513" s="11" t="s">
        <v>4341</v>
      </c>
      <c r="F1513" s="11" t="s">
        <v>4340</v>
      </c>
      <c r="G1513" s="11" t="s">
        <v>674</v>
      </c>
      <c r="H1513" s="11"/>
      <c r="I1513" s="11" t="s">
        <v>4339</v>
      </c>
      <c r="J1513" s="11" t="s">
        <v>4338</v>
      </c>
      <c r="K1513" s="11" t="s">
        <v>3599</v>
      </c>
      <c r="L1513" s="11"/>
      <c r="M1513" s="12"/>
      <c r="N1513" s="11"/>
      <c r="O1513" s="11" t="s">
        <v>2028</v>
      </c>
    </row>
    <row r="1514" spans="1:15" ht="19.5" customHeight="1" x14ac:dyDescent="0.25">
      <c r="A1514" s="13" t="s">
        <v>676</v>
      </c>
      <c r="B1514" s="13"/>
      <c r="C1514" s="13" t="s">
        <v>4337</v>
      </c>
      <c r="D1514" s="13" t="s">
        <v>1883</v>
      </c>
      <c r="E1514" s="13" t="s">
        <v>4336</v>
      </c>
      <c r="F1514" s="13" t="s">
        <v>4335</v>
      </c>
      <c r="G1514" s="13" t="s">
        <v>676</v>
      </c>
      <c r="H1514" s="13"/>
      <c r="I1514" s="13" t="s">
        <v>4334</v>
      </c>
      <c r="J1514" s="13" t="s">
        <v>4333</v>
      </c>
      <c r="K1514" s="13" t="s">
        <v>2175</v>
      </c>
      <c r="L1514" s="13"/>
      <c r="M1514" s="14"/>
      <c r="N1514" s="13"/>
      <c r="O1514" s="13" t="s">
        <v>2028</v>
      </c>
    </row>
    <row r="1515" spans="1:15" ht="19.5" customHeight="1" x14ac:dyDescent="0.25">
      <c r="A1515" s="11" t="s">
        <v>4328</v>
      </c>
      <c r="B1515" s="11"/>
      <c r="C1515" s="11" t="s">
        <v>4332</v>
      </c>
      <c r="D1515" s="11" t="s">
        <v>1883</v>
      </c>
      <c r="E1515" s="11" t="s">
        <v>4330</v>
      </c>
      <c r="F1515" s="11" t="s">
        <v>4329</v>
      </c>
      <c r="G1515" s="11" t="s">
        <v>4328</v>
      </c>
      <c r="H1515" s="11"/>
      <c r="I1515" s="11" t="s">
        <v>4327</v>
      </c>
      <c r="J1515" s="11" t="s">
        <v>4326</v>
      </c>
      <c r="K1515" s="11" t="s">
        <v>2033</v>
      </c>
      <c r="L1515" s="11"/>
      <c r="M1515" s="12"/>
      <c r="N1515" s="11"/>
      <c r="O1515" s="11" t="s">
        <v>2028</v>
      </c>
    </row>
    <row r="1516" spans="1:15" ht="19.5" customHeight="1" x14ac:dyDescent="0.25">
      <c r="A1516" s="13" t="s">
        <v>4328</v>
      </c>
      <c r="B1516" s="13"/>
      <c r="C1516" s="13" t="s">
        <v>4331</v>
      </c>
      <c r="D1516" s="13" t="s">
        <v>1883</v>
      </c>
      <c r="E1516" s="13" t="s">
        <v>4330</v>
      </c>
      <c r="F1516" s="13" t="s">
        <v>4329</v>
      </c>
      <c r="G1516" s="13" t="s">
        <v>4328</v>
      </c>
      <c r="H1516" s="13"/>
      <c r="I1516" s="13" t="s">
        <v>4327</v>
      </c>
      <c r="J1516" s="13" t="s">
        <v>4326</v>
      </c>
      <c r="K1516" s="13" t="s">
        <v>2033</v>
      </c>
      <c r="L1516" s="13"/>
      <c r="M1516" s="14"/>
      <c r="N1516" s="13"/>
      <c r="O1516" s="13" t="s">
        <v>2028</v>
      </c>
    </row>
    <row r="1517" spans="1:15" ht="19.5" customHeight="1" x14ac:dyDescent="0.25">
      <c r="A1517" s="11" t="s">
        <v>1831</v>
      </c>
      <c r="B1517" s="11"/>
      <c r="C1517" s="11" t="s">
        <v>1830</v>
      </c>
      <c r="D1517" s="11" t="s">
        <v>1883</v>
      </c>
      <c r="E1517" s="11" t="s">
        <v>4321</v>
      </c>
      <c r="F1517" s="11" t="s">
        <v>4325</v>
      </c>
      <c r="G1517" s="11" t="s">
        <v>1831</v>
      </c>
      <c r="H1517" s="11"/>
      <c r="I1517" s="11" t="s">
        <v>4324</v>
      </c>
      <c r="J1517" s="11" t="s">
        <v>4323</v>
      </c>
      <c r="K1517" s="11" t="s">
        <v>2033</v>
      </c>
      <c r="L1517" s="11"/>
      <c r="M1517" s="12"/>
      <c r="N1517" s="11"/>
      <c r="O1517" s="11" t="s">
        <v>1877</v>
      </c>
    </row>
    <row r="1518" spans="1:15" ht="19.5" customHeight="1" x14ac:dyDescent="0.25">
      <c r="A1518" s="13" t="s">
        <v>1831</v>
      </c>
      <c r="B1518" s="13"/>
      <c r="C1518" s="13" t="s">
        <v>4322</v>
      </c>
      <c r="D1518" s="13" t="s">
        <v>1883</v>
      </c>
      <c r="E1518" s="13" t="s">
        <v>4321</v>
      </c>
      <c r="F1518" s="13"/>
      <c r="G1518" s="13" t="s">
        <v>1831</v>
      </c>
      <c r="H1518" s="13"/>
      <c r="I1518" s="13"/>
      <c r="J1518" s="13"/>
      <c r="K1518" s="13" t="s">
        <v>2401</v>
      </c>
      <c r="L1518" s="13"/>
      <c r="M1518" s="14"/>
      <c r="N1518" s="13"/>
      <c r="O1518" s="13" t="s">
        <v>1916</v>
      </c>
    </row>
    <row r="1519" spans="1:15" ht="19.5" customHeight="1" x14ac:dyDescent="0.25">
      <c r="A1519" s="11" t="s">
        <v>1450</v>
      </c>
      <c r="B1519" s="11"/>
      <c r="C1519" s="11" t="s">
        <v>4320</v>
      </c>
      <c r="D1519" s="11" t="s">
        <v>1883</v>
      </c>
      <c r="E1519" s="11" t="s">
        <v>4319</v>
      </c>
      <c r="F1519" s="11"/>
      <c r="G1519" s="11" t="s">
        <v>1450</v>
      </c>
      <c r="H1519" s="11"/>
      <c r="I1519" s="11" t="s">
        <v>4318</v>
      </c>
      <c r="J1519" s="11" t="s">
        <v>4317</v>
      </c>
      <c r="K1519" s="11" t="s">
        <v>2033</v>
      </c>
      <c r="L1519" s="11"/>
      <c r="M1519" s="12"/>
      <c r="N1519" s="11"/>
      <c r="O1519" s="11" t="s">
        <v>2028</v>
      </c>
    </row>
    <row r="1520" spans="1:15" ht="19.5" customHeight="1" x14ac:dyDescent="0.25">
      <c r="A1520" s="13" t="s">
        <v>1195</v>
      </c>
      <c r="B1520" s="13"/>
      <c r="C1520" s="13" t="s">
        <v>4316</v>
      </c>
      <c r="D1520" s="13" t="s">
        <v>1883</v>
      </c>
      <c r="E1520" s="13" t="s">
        <v>4315</v>
      </c>
      <c r="F1520" s="13"/>
      <c r="G1520" s="13" t="s">
        <v>1195</v>
      </c>
      <c r="H1520" s="13"/>
      <c r="I1520" s="13" t="s">
        <v>4314</v>
      </c>
      <c r="J1520" s="13" t="s">
        <v>4313</v>
      </c>
      <c r="K1520" s="13" t="s">
        <v>3599</v>
      </c>
      <c r="L1520" s="13"/>
      <c r="M1520" s="14"/>
      <c r="N1520" s="13"/>
      <c r="O1520" s="13" t="s">
        <v>2028</v>
      </c>
    </row>
    <row r="1521" spans="1:15" ht="19.5" customHeight="1" x14ac:dyDescent="0.25">
      <c r="A1521" s="11" t="s">
        <v>4309</v>
      </c>
      <c r="B1521" s="11"/>
      <c r="C1521" s="11" t="s">
        <v>4312</v>
      </c>
      <c r="D1521" s="11" t="s">
        <v>1950</v>
      </c>
      <c r="E1521" s="11" t="s">
        <v>4311</v>
      </c>
      <c r="F1521" s="11" t="s">
        <v>4310</v>
      </c>
      <c r="G1521" s="11" t="s">
        <v>4309</v>
      </c>
      <c r="H1521" s="11"/>
      <c r="I1521" s="11"/>
      <c r="J1521" s="11"/>
      <c r="K1521" s="11"/>
      <c r="L1521" s="11"/>
      <c r="M1521" s="12"/>
      <c r="N1521" s="11"/>
      <c r="O1521" s="11" t="s">
        <v>1916</v>
      </c>
    </row>
    <row r="1522" spans="1:15" ht="19.5" customHeight="1" x14ac:dyDescent="0.25">
      <c r="A1522" s="13" t="s">
        <v>1462</v>
      </c>
      <c r="B1522" s="13"/>
      <c r="C1522" s="13" t="s">
        <v>4308</v>
      </c>
      <c r="D1522" s="13" t="s">
        <v>1883</v>
      </c>
      <c r="E1522" s="13" t="s">
        <v>4307</v>
      </c>
      <c r="F1522" s="13"/>
      <c r="G1522" s="13" t="s">
        <v>1462</v>
      </c>
      <c r="H1522" s="13"/>
      <c r="I1522" s="13" t="s">
        <v>4306</v>
      </c>
      <c r="J1522" s="13" t="s">
        <v>4305</v>
      </c>
      <c r="K1522" s="13" t="s">
        <v>4304</v>
      </c>
      <c r="L1522" s="13"/>
      <c r="M1522" s="14"/>
      <c r="N1522" s="13"/>
      <c r="O1522" s="13" t="s">
        <v>2028</v>
      </c>
    </row>
    <row r="1523" spans="1:15" ht="19.5" customHeight="1" x14ac:dyDescent="0.25">
      <c r="A1523" s="11" t="s">
        <v>1470</v>
      </c>
      <c r="B1523" s="11"/>
      <c r="C1523" s="11" t="s">
        <v>4303</v>
      </c>
      <c r="D1523" s="11" t="s">
        <v>1883</v>
      </c>
      <c r="E1523" s="11" t="s">
        <v>4302</v>
      </c>
      <c r="F1523" s="11"/>
      <c r="G1523" s="11" t="s">
        <v>1470</v>
      </c>
      <c r="H1523" s="11"/>
      <c r="I1523" s="11" t="s">
        <v>4301</v>
      </c>
      <c r="J1523" s="11" t="s">
        <v>4300</v>
      </c>
      <c r="K1523" s="11" t="s">
        <v>2033</v>
      </c>
      <c r="L1523" s="11"/>
      <c r="M1523" s="12"/>
      <c r="N1523" s="11"/>
      <c r="O1523" s="11" t="s">
        <v>2028</v>
      </c>
    </row>
    <row r="1524" spans="1:15" ht="19.5" customHeight="1" x14ac:dyDescent="0.25">
      <c r="A1524" s="13" t="s">
        <v>1048</v>
      </c>
      <c r="B1524" s="13"/>
      <c r="C1524" s="13" t="s">
        <v>4299</v>
      </c>
      <c r="D1524" s="13" t="s">
        <v>1883</v>
      </c>
      <c r="E1524" s="13" t="s">
        <v>4298</v>
      </c>
      <c r="F1524" s="13"/>
      <c r="G1524" s="13" t="s">
        <v>1048</v>
      </c>
      <c r="H1524" s="13"/>
      <c r="I1524" s="13"/>
      <c r="J1524" s="13"/>
      <c r="K1524" s="13"/>
      <c r="L1524" s="13"/>
      <c r="M1524" s="14"/>
      <c r="N1524" s="13"/>
      <c r="O1524" s="13" t="s">
        <v>1916</v>
      </c>
    </row>
    <row r="1525" spans="1:15" ht="19.5" customHeight="1" x14ac:dyDescent="0.25">
      <c r="A1525" s="11" t="s">
        <v>1048</v>
      </c>
      <c r="B1525" s="11"/>
      <c r="C1525" s="11" t="s">
        <v>1047</v>
      </c>
      <c r="D1525" s="11" t="s">
        <v>1883</v>
      </c>
      <c r="E1525" s="11" t="s">
        <v>4297</v>
      </c>
      <c r="F1525" s="11" t="s">
        <v>4296</v>
      </c>
      <c r="G1525" s="11" t="s">
        <v>1048</v>
      </c>
      <c r="H1525" s="11"/>
      <c r="I1525" s="11" t="s">
        <v>4295</v>
      </c>
      <c r="J1525" s="11" t="s">
        <v>4294</v>
      </c>
      <c r="K1525" s="11" t="s">
        <v>1952</v>
      </c>
      <c r="L1525" s="11"/>
      <c r="M1525" s="12"/>
      <c r="N1525" s="11"/>
      <c r="O1525" s="11" t="s">
        <v>1945</v>
      </c>
    </row>
    <row r="1526" spans="1:15" ht="19.5" customHeight="1" x14ac:dyDescent="0.25">
      <c r="A1526" s="13" t="s">
        <v>1338</v>
      </c>
      <c r="B1526" s="13"/>
      <c r="C1526" s="13" t="s">
        <v>1337</v>
      </c>
      <c r="D1526" s="13" t="s">
        <v>1883</v>
      </c>
      <c r="E1526" s="13" t="s">
        <v>4289</v>
      </c>
      <c r="F1526" s="13"/>
      <c r="G1526" s="13" t="s">
        <v>1338</v>
      </c>
      <c r="H1526" s="13" t="s">
        <v>4293</v>
      </c>
      <c r="I1526" s="13" t="s">
        <v>4292</v>
      </c>
      <c r="J1526" s="13" t="s">
        <v>4291</v>
      </c>
      <c r="K1526" s="13" t="s">
        <v>1952</v>
      </c>
      <c r="L1526" s="13"/>
      <c r="M1526" s="14"/>
      <c r="N1526" s="13"/>
      <c r="O1526" s="13" t="s">
        <v>1945</v>
      </c>
    </row>
    <row r="1527" spans="1:15" ht="19.5" customHeight="1" x14ac:dyDescent="0.25">
      <c r="A1527" s="11" t="s">
        <v>1338</v>
      </c>
      <c r="B1527" s="11"/>
      <c r="C1527" s="11" t="s">
        <v>4290</v>
      </c>
      <c r="D1527" s="11" t="s">
        <v>1883</v>
      </c>
      <c r="E1527" s="11" t="s">
        <v>4289</v>
      </c>
      <c r="F1527" s="11"/>
      <c r="G1527" s="11" t="s">
        <v>1338</v>
      </c>
      <c r="H1527" s="11"/>
      <c r="I1527" s="11"/>
      <c r="J1527" s="11"/>
      <c r="K1527" s="11"/>
      <c r="L1527" s="11"/>
      <c r="M1527" s="12"/>
      <c r="N1527" s="11"/>
      <c r="O1527" s="11" t="s">
        <v>1916</v>
      </c>
    </row>
    <row r="1528" spans="1:15" ht="19.5" customHeight="1" x14ac:dyDescent="0.25">
      <c r="A1528" s="13" t="s">
        <v>679</v>
      </c>
      <c r="B1528" s="13"/>
      <c r="C1528" s="13" t="s">
        <v>4288</v>
      </c>
      <c r="D1528" s="13" t="s">
        <v>1883</v>
      </c>
      <c r="E1528" s="13" t="s">
        <v>4287</v>
      </c>
      <c r="F1528" s="13"/>
      <c r="G1528" s="13" t="s">
        <v>679</v>
      </c>
      <c r="H1528" s="13" t="s">
        <v>4286</v>
      </c>
      <c r="I1528" s="13" t="s">
        <v>4285</v>
      </c>
      <c r="J1528" s="13" t="s">
        <v>4284</v>
      </c>
      <c r="K1528" s="13" t="s">
        <v>2033</v>
      </c>
      <c r="L1528" s="13"/>
      <c r="M1528" s="14"/>
      <c r="N1528" s="13"/>
      <c r="O1528" s="13" t="s">
        <v>2028</v>
      </c>
    </row>
    <row r="1529" spans="1:15" ht="19.5" customHeight="1" x14ac:dyDescent="0.25">
      <c r="A1529" s="11" t="s">
        <v>681</v>
      </c>
      <c r="B1529" s="11"/>
      <c r="C1529" s="11" t="s">
        <v>4283</v>
      </c>
      <c r="D1529" s="11" t="s">
        <v>1883</v>
      </c>
      <c r="E1529" s="11" t="s">
        <v>4282</v>
      </c>
      <c r="F1529" s="11" t="s">
        <v>4281</v>
      </c>
      <c r="G1529" s="11" t="s">
        <v>681</v>
      </c>
      <c r="H1529" s="11"/>
      <c r="I1529" s="11" t="s">
        <v>4280</v>
      </c>
      <c r="J1529" s="11" t="s">
        <v>4279</v>
      </c>
      <c r="K1529" s="11" t="s">
        <v>2175</v>
      </c>
      <c r="L1529" s="11"/>
      <c r="M1529" s="12"/>
      <c r="N1529" s="11"/>
      <c r="O1529" s="11" t="s">
        <v>2028</v>
      </c>
    </row>
    <row r="1530" spans="1:15" ht="19.5" customHeight="1" x14ac:dyDescent="0.25">
      <c r="A1530" s="13" t="s">
        <v>1847</v>
      </c>
      <c r="B1530" s="13"/>
      <c r="C1530" s="13" t="s">
        <v>1846</v>
      </c>
      <c r="D1530" s="13" t="s">
        <v>1883</v>
      </c>
      <c r="E1530" s="13" t="s">
        <v>4277</v>
      </c>
      <c r="F1530" s="13" t="s">
        <v>4276</v>
      </c>
      <c r="G1530" s="13" t="s">
        <v>1847</v>
      </c>
      <c r="H1530" s="13"/>
      <c r="I1530" s="13" t="s">
        <v>4275</v>
      </c>
      <c r="J1530" s="13" t="s">
        <v>4274</v>
      </c>
      <c r="K1530" s="13" t="s">
        <v>3599</v>
      </c>
      <c r="L1530" s="13"/>
      <c r="M1530" s="14"/>
      <c r="N1530" s="13"/>
      <c r="O1530" s="13" t="s">
        <v>1877</v>
      </c>
    </row>
    <row r="1531" spans="1:15" ht="19.5" customHeight="1" x14ac:dyDescent="0.25">
      <c r="A1531" s="11" t="s">
        <v>1847</v>
      </c>
      <c r="B1531" s="11"/>
      <c r="C1531" s="11" t="s">
        <v>4278</v>
      </c>
      <c r="D1531" s="11" t="s">
        <v>1883</v>
      </c>
      <c r="E1531" s="11" t="s">
        <v>4277</v>
      </c>
      <c r="F1531" s="11" t="s">
        <v>4276</v>
      </c>
      <c r="G1531" s="11" t="s">
        <v>1847</v>
      </c>
      <c r="H1531" s="11"/>
      <c r="I1531" s="11" t="s">
        <v>4275</v>
      </c>
      <c r="J1531" s="11" t="s">
        <v>4274</v>
      </c>
      <c r="K1531" s="11" t="s">
        <v>3599</v>
      </c>
      <c r="L1531" s="11"/>
      <c r="M1531" s="12"/>
      <c r="N1531" s="11"/>
      <c r="O1531" s="11" t="s">
        <v>1877</v>
      </c>
    </row>
    <row r="1532" spans="1:15" ht="19.5" customHeight="1" x14ac:dyDescent="0.25">
      <c r="A1532" s="13" t="s">
        <v>1771</v>
      </c>
      <c r="B1532" s="13"/>
      <c r="C1532" s="13" t="s">
        <v>4273</v>
      </c>
      <c r="D1532" s="13" t="s">
        <v>1883</v>
      </c>
      <c r="E1532" s="13" t="s">
        <v>4272</v>
      </c>
      <c r="F1532" s="13"/>
      <c r="G1532" s="13" t="s">
        <v>1771</v>
      </c>
      <c r="H1532" s="13"/>
      <c r="I1532" s="13" t="s">
        <v>4271</v>
      </c>
      <c r="J1532" s="13" t="s">
        <v>4270</v>
      </c>
      <c r="K1532" s="13" t="s">
        <v>3599</v>
      </c>
      <c r="L1532" s="13"/>
      <c r="M1532" s="14"/>
      <c r="N1532" s="13"/>
      <c r="O1532" s="13" t="s">
        <v>2028</v>
      </c>
    </row>
    <row r="1533" spans="1:15" ht="19.5" customHeight="1" x14ac:dyDescent="0.25">
      <c r="A1533" s="11" t="s">
        <v>1516</v>
      </c>
      <c r="B1533" s="11"/>
      <c r="C1533" s="11" t="s">
        <v>4269</v>
      </c>
      <c r="D1533" s="11" t="s">
        <v>1883</v>
      </c>
      <c r="E1533" s="11" t="s">
        <v>4268</v>
      </c>
      <c r="F1533" s="11"/>
      <c r="G1533" s="11" t="s">
        <v>1516</v>
      </c>
      <c r="H1533" s="11"/>
      <c r="I1533" s="11" t="s">
        <v>4267</v>
      </c>
      <c r="J1533" s="11" t="s">
        <v>4266</v>
      </c>
      <c r="K1533" s="11" t="s">
        <v>3599</v>
      </c>
      <c r="L1533" s="11"/>
      <c r="M1533" s="12"/>
      <c r="N1533" s="11"/>
      <c r="O1533" s="11" t="s">
        <v>2028</v>
      </c>
    </row>
    <row r="1534" spans="1:15" ht="19.5" customHeight="1" x14ac:dyDescent="0.25">
      <c r="A1534" s="13" t="s">
        <v>1665</v>
      </c>
      <c r="B1534" s="13"/>
      <c r="C1534" s="13" t="s">
        <v>4265</v>
      </c>
      <c r="D1534" s="13" t="s">
        <v>1883</v>
      </c>
      <c r="E1534" s="13" t="s">
        <v>4264</v>
      </c>
      <c r="F1534" s="13"/>
      <c r="G1534" s="13" t="s">
        <v>1665</v>
      </c>
      <c r="H1534" s="13"/>
      <c r="I1534" s="13" t="s">
        <v>4263</v>
      </c>
      <c r="J1534" s="13" t="s">
        <v>4262</v>
      </c>
      <c r="K1534" s="13" t="s">
        <v>1952</v>
      </c>
      <c r="L1534" s="13"/>
      <c r="M1534" s="14"/>
      <c r="N1534" s="13"/>
      <c r="O1534" s="13" t="s">
        <v>2028</v>
      </c>
    </row>
    <row r="1535" spans="1:15" ht="19.5" customHeight="1" x14ac:dyDescent="0.25">
      <c r="A1535" s="11" t="s">
        <v>1436</v>
      </c>
      <c r="B1535" s="11"/>
      <c r="C1535" s="11" t="s">
        <v>4261</v>
      </c>
      <c r="D1535" s="11" t="s">
        <v>1883</v>
      </c>
      <c r="E1535" s="11" t="s">
        <v>4260</v>
      </c>
      <c r="F1535" s="11"/>
      <c r="G1535" s="11" t="s">
        <v>1436</v>
      </c>
      <c r="H1535" s="11"/>
      <c r="I1535" s="11" t="s">
        <v>4259</v>
      </c>
      <c r="J1535" s="11" t="s">
        <v>4258</v>
      </c>
      <c r="K1535" s="11" t="s">
        <v>2033</v>
      </c>
      <c r="L1535" s="11"/>
      <c r="M1535" s="12"/>
      <c r="N1535" s="11"/>
      <c r="O1535" s="11" t="s">
        <v>2028</v>
      </c>
    </row>
    <row r="1536" spans="1:15" ht="19.5" customHeight="1" x14ac:dyDescent="0.25">
      <c r="A1536" s="13" t="s">
        <v>685</v>
      </c>
      <c r="B1536" s="13"/>
      <c r="C1536" s="13" t="s">
        <v>4257</v>
      </c>
      <c r="D1536" s="13" t="s">
        <v>1883</v>
      </c>
      <c r="E1536" s="13" t="s">
        <v>4254</v>
      </c>
      <c r="F1536" s="13" t="s">
        <v>4253</v>
      </c>
      <c r="G1536" s="13" t="s">
        <v>685</v>
      </c>
      <c r="H1536" s="13"/>
      <c r="I1536" s="13" t="s">
        <v>4252</v>
      </c>
      <c r="J1536" s="13" t="s">
        <v>4251</v>
      </c>
      <c r="K1536" s="13" t="s">
        <v>3599</v>
      </c>
      <c r="L1536" s="13"/>
      <c r="M1536" s="14"/>
      <c r="N1536" s="13"/>
      <c r="O1536" s="13" t="s">
        <v>2028</v>
      </c>
    </row>
    <row r="1537" spans="1:15" ht="19.5" customHeight="1" x14ac:dyDescent="0.25">
      <c r="A1537" s="11" t="s">
        <v>685</v>
      </c>
      <c r="B1537" s="11"/>
      <c r="C1537" s="11" t="s">
        <v>4256</v>
      </c>
      <c r="D1537" s="11" t="s">
        <v>1883</v>
      </c>
      <c r="E1537" s="11" t="s">
        <v>4254</v>
      </c>
      <c r="F1537" s="11" t="s">
        <v>4253</v>
      </c>
      <c r="G1537" s="11" t="s">
        <v>685</v>
      </c>
      <c r="H1537" s="11"/>
      <c r="I1537" s="11" t="s">
        <v>4252</v>
      </c>
      <c r="J1537" s="11" t="s">
        <v>4251</v>
      </c>
      <c r="K1537" s="11" t="s">
        <v>3599</v>
      </c>
      <c r="L1537" s="11"/>
      <c r="M1537" s="12"/>
      <c r="N1537" s="11"/>
      <c r="O1537" s="11" t="s">
        <v>2028</v>
      </c>
    </row>
    <row r="1538" spans="1:15" ht="19.5" customHeight="1" x14ac:dyDescent="0.25">
      <c r="A1538" s="13" t="s">
        <v>685</v>
      </c>
      <c r="B1538" s="13"/>
      <c r="C1538" s="13" t="s">
        <v>4255</v>
      </c>
      <c r="D1538" s="13" t="s">
        <v>1883</v>
      </c>
      <c r="E1538" s="13" t="s">
        <v>4254</v>
      </c>
      <c r="F1538" s="13" t="s">
        <v>4253</v>
      </c>
      <c r="G1538" s="13" t="s">
        <v>685</v>
      </c>
      <c r="H1538" s="13"/>
      <c r="I1538" s="13" t="s">
        <v>4252</v>
      </c>
      <c r="J1538" s="13" t="s">
        <v>4251</v>
      </c>
      <c r="K1538" s="13" t="s">
        <v>3599</v>
      </c>
      <c r="L1538" s="13"/>
      <c r="M1538" s="14"/>
      <c r="N1538" s="13"/>
      <c r="O1538" s="13" t="s">
        <v>2028</v>
      </c>
    </row>
    <row r="1539" spans="1:15" ht="19.5" customHeight="1" x14ac:dyDescent="0.25">
      <c r="A1539" s="11" t="s">
        <v>1251</v>
      </c>
      <c r="B1539" s="11"/>
      <c r="C1539" s="11" t="s">
        <v>4250</v>
      </c>
      <c r="D1539" s="11" t="s">
        <v>1883</v>
      </c>
      <c r="E1539" s="11" t="s">
        <v>4249</v>
      </c>
      <c r="F1539" s="11"/>
      <c r="G1539" s="11" t="s">
        <v>1251</v>
      </c>
      <c r="H1539" s="11"/>
      <c r="I1539" s="11" t="s">
        <v>4248</v>
      </c>
      <c r="J1539" s="11" t="s">
        <v>4247</v>
      </c>
      <c r="K1539" s="11" t="s">
        <v>2033</v>
      </c>
      <c r="L1539" s="11"/>
      <c r="M1539" s="12"/>
      <c r="N1539" s="11"/>
      <c r="O1539" s="11" t="s">
        <v>2028</v>
      </c>
    </row>
    <row r="1540" spans="1:15" ht="19.5" customHeight="1" x14ac:dyDescent="0.25">
      <c r="A1540" s="13" t="s">
        <v>687</v>
      </c>
      <c r="B1540" s="13"/>
      <c r="C1540" s="13" t="s">
        <v>4246</v>
      </c>
      <c r="D1540" s="13" t="s">
        <v>1883</v>
      </c>
      <c r="E1540" s="13" t="s">
        <v>4243</v>
      </c>
      <c r="F1540" s="13"/>
      <c r="G1540" s="13" t="s">
        <v>687</v>
      </c>
      <c r="H1540" s="13" t="s">
        <v>4242</v>
      </c>
      <c r="I1540" s="13" t="s">
        <v>4241</v>
      </c>
      <c r="J1540" s="13" t="s">
        <v>4240</v>
      </c>
      <c r="K1540" s="13" t="s">
        <v>1952</v>
      </c>
      <c r="L1540" s="13"/>
      <c r="M1540" s="14"/>
      <c r="N1540" s="13"/>
      <c r="O1540" s="13" t="s">
        <v>2028</v>
      </c>
    </row>
    <row r="1541" spans="1:15" ht="19.5" customHeight="1" x14ac:dyDescent="0.25">
      <c r="A1541" s="11" t="s">
        <v>687</v>
      </c>
      <c r="B1541" s="11"/>
      <c r="C1541" s="11" t="s">
        <v>4245</v>
      </c>
      <c r="D1541" s="11" t="s">
        <v>1883</v>
      </c>
      <c r="E1541" s="11" t="s">
        <v>4243</v>
      </c>
      <c r="F1541" s="11"/>
      <c r="G1541" s="11" t="s">
        <v>687</v>
      </c>
      <c r="H1541" s="11" t="s">
        <v>4242</v>
      </c>
      <c r="I1541" s="11" t="s">
        <v>4241</v>
      </c>
      <c r="J1541" s="11" t="s">
        <v>4240</v>
      </c>
      <c r="K1541" s="11" t="s">
        <v>1952</v>
      </c>
      <c r="L1541" s="11"/>
      <c r="M1541" s="12"/>
      <c r="N1541" s="11"/>
      <c r="O1541" s="11" t="s">
        <v>2028</v>
      </c>
    </row>
    <row r="1542" spans="1:15" ht="19.5" customHeight="1" x14ac:dyDescent="0.25">
      <c r="A1542" s="13" t="s">
        <v>687</v>
      </c>
      <c r="B1542" s="13"/>
      <c r="C1542" s="13" t="s">
        <v>4244</v>
      </c>
      <c r="D1542" s="13" t="s">
        <v>1883</v>
      </c>
      <c r="E1542" s="13" t="s">
        <v>4243</v>
      </c>
      <c r="F1542" s="13"/>
      <c r="G1542" s="13" t="s">
        <v>687</v>
      </c>
      <c r="H1542" s="13" t="s">
        <v>4242</v>
      </c>
      <c r="I1542" s="13" t="s">
        <v>4241</v>
      </c>
      <c r="J1542" s="13" t="s">
        <v>4240</v>
      </c>
      <c r="K1542" s="13" t="s">
        <v>1952</v>
      </c>
      <c r="L1542" s="13"/>
      <c r="M1542" s="14"/>
      <c r="N1542" s="13"/>
      <c r="O1542" s="13" t="s">
        <v>2028</v>
      </c>
    </row>
    <row r="1543" spans="1:15" ht="19.5" customHeight="1" x14ac:dyDescent="0.25">
      <c r="A1543" s="11" t="s">
        <v>4236</v>
      </c>
      <c r="B1543" s="11"/>
      <c r="C1543" s="11" t="s">
        <v>4239</v>
      </c>
      <c r="D1543" s="11" t="s">
        <v>1883</v>
      </c>
      <c r="E1543" s="11" t="s">
        <v>4238</v>
      </c>
      <c r="F1543" s="11" t="s">
        <v>4237</v>
      </c>
      <c r="G1543" s="11" t="s">
        <v>4236</v>
      </c>
      <c r="H1543" s="11" t="s">
        <v>4235</v>
      </c>
      <c r="I1543" s="11" t="s">
        <v>4234</v>
      </c>
      <c r="J1543" s="11" t="s">
        <v>4233</v>
      </c>
      <c r="K1543" s="11" t="s">
        <v>3599</v>
      </c>
      <c r="L1543" s="11"/>
      <c r="M1543" s="12"/>
      <c r="N1543" s="11"/>
      <c r="O1543" s="11" t="s">
        <v>2028</v>
      </c>
    </row>
    <row r="1544" spans="1:15" ht="19.5" customHeight="1" x14ac:dyDescent="0.25">
      <c r="A1544" s="13" t="s">
        <v>1088</v>
      </c>
      <c r="B1544" s="13"/>
      <c r="C1544" s="13" t="s">
        <v>1087</v>
      </c>
      <c r="D1544" s="13" t="s">
        <v>1883</v>
      </c>
      <c r="E1544" s="13" t="s">
        <v>4232</v>
      </c>
      <c r="F1544" s="13" t="s">
        <v>4231</v>
      </c>
      <c r="G1544" s="13" t="s">
        <v>1088</v>
      </c>
      <c r="H1544" s="13" t="s">
        <v>4230</v>
      </c>
      <c r="I1544" s="13" t="s">
        <v>4229</v>
      </c>
      <c r="J1544" s="13" t="s">
        <v>4228</v>
      </c>
      <c r="K1544" s="13" t="s">
        <v>3599</v>
      </c>
      <c r="L1544" s="13"/>
      <c r="M1544" s="14"/>
      <c r="N1544" s="13"/>
      <c r="O1544" s="13" t="s">
        <v>1945</v>
      </c>
    </row>
    <row r="1545" spans="1:15" ht="19.5" customHeight="1" x14ac:dyDescent="0.25">
      <c r="A1545" s="11" t="s">
        <v>689</v>
      </c>
      <c r="B1545" s="11"/>
      <c r="C1545" s="11" t="s">
        <v>4227</v>
      </c>
      <c r="D1545" s="11" t="s">
        <v>1883</v>
      </c>
      <c r="E1545" s="11" t="s">
        <v>4226</v>
      </c>
      <c r="F1545" s="11" t="s">
        <v>4225</v>
      </c>
      <c r="G1545" s="11" t="s">
        <v>689</v>
      </c>
      <c r="H1545" s="11"/>
      <c r="I1545" s="11" t="s">
        <v>4224</v>
      </c>
      <c r="J1545" s="11" t="s">
        <v>4223</v>
      </c>
      <c r="K1545" s="11" t="s">
        <v>2175</v>
      </c>
      <c r="L1545" s="11"/>
      <c r="M1545" s="12"/>
      <c r="N1545" s="11"/>
      <c r="O1545" s="11" t="s">
        <v>2028</v>
      </c>
    </row>
    <row r="1546" spans="1:15" ht="19.5" customHeight="1" x14ac:dyDescent="0.25">
      <c r="A1546" s="13" t="s">
        <v>691</v>
      </c>
      <c r="B1546" s="13"/>
      <c r="C1546" s="13" t="s">
        <v>4222</v>
      </c>
      <c r="D1546" s="13" t="s">
        <v>1883</v>
      </c>
      <c r="E1546" s="13" t="s">
        <v>4221</v>
      </c>
      <c r="F1546" s="13"/>
      <c r="G1546" s="13" t="s">
        <v>691</v>
      </c>
      <c r="H1546" s="13"/>
      <c r="I1546" s="13" t="s">
        <v>4220</v>
      </c>
      <c r="J1546" s="13" t="s">
        <v>4219</v>
      </c>
      <c r="K1546" s="13" t="s">
        <v>2175</v>
      </c>
      <c r="L1546" s="13"/>
      <c r="M1546" s="14"/>
      <c r="N1546" s="13"/>
      <c r="O1546" s="13" t="s">
        <v>2028</v>
      </c>
    </row>
    <row r="1547" spans="1:15" ht="19.5" customHeight="1" x14ac:dyDescent="0.25">
      <c r="A1547" s="11" t="s">
        <v>1641</v>
      </c>
      <c r="B1547" s="11"/>
      <c r="C1547" s="11" t="s">
        <v>4218</v>
      </c>
      <c r="D1547" s="11" t="s">
        <v>1883</v>
      </c>
      <c r="E1547" s="11" t="s">
        <v>4217</v>
      </c>
      <c r="F1547" s="11"/>
      <c r="G1547" s="11" t="s">
        <v>1641</v>
      </c>
      <c r="H1547" s="11"/>
      <c r="I1547" s="11" t="s">
        <v>4216</v>
      </c>
      <c r="J1547" s="11" t="s">
        <v>4215</v>
      </c>
      <c r="K1547" s="11" t="s">
        <v>1952</v>
      </c>
      <c r="L1547" s="11"/>
      <c r="M1547" s="12"/>
      <c r="N1547" s="11"/>
      <c r="O1547" s="11" t="s">
        <v>2028</v>
      </c>
    </row>
    <row r="1548" spans="1:15" ht="19.5" customHeight="1" x14ac:dyDescent="0.25">
      <c r="A1548" s="13" t="s">
        <v>1641</v>
      </c>
      <c r="B1548" s="13"/>
      <c r="C1548" s="13" t="s">
        <v>4214</v>
      </c>
      <c r="D1548" s="13" t="s">
        <v>1883</v>
      </c>
      <c r="E1548" s="13" t="s">
        <v>4213</v>
      </c>
      <c r="F1548" s="13"/>
      <c r="G1548" s="13" t="s">
        <v>1641</v>
      </c>
      <c r="H1548" s="13"/>
      <c r="I1548" s="13" t="s">
        <v>2186</v>
      </c>
      <c r="J1548" s="13" t="s">
        <v>4212</v>
      </c>
      <c r="K1548" s="13" t="s">
        <v>1952</v>
      </c>
      <c r="L1548" s="13"/>
      <c r="M1548" s="14"/>
      <c r="N1548" s="13"/>
      <c r="O1548" s="13" t="s">
        <v>2028</v>
      </c>
    </row>
    <row r="1549" spans="1:15" ht="19.5" customHeight="1" x14ac:dyDescent="0.25">
      <c r="A1549" s="11" t="s">
        <v>693</v>
      </c>
      <c r="B1549" s="11"/>
      <c r="C1549" s="11" t="s">
        <v>4211</v>
      </c>
      <c r="D1549" s="11" t="s">
        <v>1883</v>
      </c>
      <c r="E1549" s="11" t="s">
        <v>4208</v>
      </c>
      <c r="F1549" s="11" t="s">
        <v>4207</v>
      </c>
      <c r="G1549" s="11" t="s">
        <v>693</v>
      </c>
      <c r="H1549" s="11" t="s">
        <v>4206</v>
      </c>
      <c r="I1549" s="11" t="s">
        <v>4205</v>
      </c>
      <c r="J1549" s="11" t="s">
        <v>4204</v>
      </c>
      <c r="K1549" s="11" t="s">
        <v>1952</v>
      </c>
      <c r="L1549" s="11"/>
      <c r="M1549" s="12"/>
      <c r="N1549" s="11"/>
      <c r="O1549" s="11" t="s">
        <v>2028</v>
      </c>
    </row>
    <row r="1550" spans="1:15" ht="19.5" customHeight="1" x14ac:dyDescent="0.25">
      <c r="A1550" s="13" t="s">
        <v>693</v>
      </c>
      <c r="B1550" s="13"/>
      <c r="C1550" s="13" t="s">
        <v>4210</v>
      </c>
      <c r="D1550" s="13" t="s">
        <v>1883</v>
      </c>
      <c r="E1550" s="13" t="s">
        <v>4208</v>
      </c>
      <c r="F1550" s="13" t="s">
        <v>4207</v>
      </c>
      <c r="G1550" s="13" t="s">
        <v>693</v>
      </c>
      <c r="H1550" s="13" t="s">
        <v>4206</v>
      </c>
      <c r="I1550" s="13" t="s">
        <v>4205</v>
      </c>
      <c r="J1550" s="13" t="s">
        <v>4204</v>
      </c>
      <c r="K1550" s="13" t="s">
        <v>1952</v>
      </c>
      <c r="L1550" s="13"/>
      <c r="M1550" s="14"/>
      <c r="N1550" s="13"/>
      <c r="O1550" s="13" t="s">
        <v>2028</v>
      </c>
    </row>
    <row r="1551" spans="1:15" ht="19.5" customHeight="1" x14ac:dyDescent="0.25">
      <c r="A1551" s="11" t="s">
        <v>693</v>
      </c>
      <c r="B1551" s="11"/>
      <c r="C1551" s="11" t="s">
        <v>4209</v>
      </c>
      <c r="D1551" s="11" t="s">
        <v>1883</v>
      </c>
      <c r="E1551" s="11" t="s">
        <v>4208</v>
      </c>
      <c r="F1551" s="11" t="s">
        <v>4207</v>
      </c>
      <c r="G1551" s="11" t="s">
        <v>693</v>
      </c>
      <c r="H1551" s="11" t="s">
        <v>4206</v>
      </c>
      <c r="I1551" s="11" t="s">
        <v>4205</v>
      </c>
      <c r="J1551" s="11" t="s">
        <v>4204</v>
      </c>
      <c r="K1551" s="11" t="s">
        <v>1952</v>
      </c>
      <c r="L1551" s="11"/>
      <c r="M1551" s="12"/>
      <c r="N1551" s="11"/>
      <c r="O1551" s="11" t="s">
        <v>2028</v>
      </c>
    </row>
    <row r="1552" spans="1:15" ht="19.5" customHeight="1" x14ac:dyDescent="0.25">
      <c r="A1552" s="13" t="s">
        <v>695</v>
      </c>
      <c r="B1552" s="13"/>
      <c r="C1552" s="13" t="s">
        <v>4203</v>
      </c>
      <c r="D1552" s="13" t="s">
        <v>1883</v>
      </c>
      <c r="E1552" s="13" t="s">
        <v>4200</v>
      </c>
      <c r="F1552" s="13" t="s">
        <v>4199</v>
      </c>
      <c r="G1552" s="13" t="s">
        <v>695</v>
      </c>
      <c r="H1552" s="13" t="s">
        <v>4198</v>
      </c>
      <c r="I1552" s="13" t="s">
        <v>4197</v>
      </c>
      <c r="J1552" s="13" t="s">
        <v>4196</v>
      </c>
      <c r="K1552" s="13" t="s">
        <v>2033</v>
      </c>
      <c r="L1552" s="13"/>
      <c r="M1552" s="14"/>
      <c r="N1552" s="13"/>
      <c r="O1552" s="13" t="s">
        <v>2028</v>
      </c>
    </row>
    <row r="1553" spans="1:15" ht="19.5" customHeight="1" x14ac:dyDescent="0.25">
      <c r="A1553" s="11" t="s">
        <v>695</v>
      </c>
      <c r="B1553" s="11"/>
      <c r="C1553" s="11" t="s">
        <v>4202</v>
      </c>
      <c r="D1553" s="11" t="s">
        <v>1883</v>
      </c>
      <c r="E1553" s="11" t="s">
        <v>4200</v>
      </c>
      <c r="F1553" s="11" t="s">
        <v>4199</v>
      </c>
      <c r="G1553" s="11" t="s">
        <v>695</v>
      </c>
      <c r="H1553" s="11" t="s">
        <v>4198</v>
      </c>
      <c r="I1553" s="11" t="s">
        <v>4197</v>
      </c>
      <c r="J1553" s="11" t="s">
        <v>4196</v>
      </c>
      <c r="K1553" s="11" t="s">
        <v>2033</v>
      </c>
      <c r="L1553" s="11"/>
      <c r="M1553" s="12"/>
      <c r="N1553" s="11"/>
      <c r="O1553" s="11" t="s">
        <v>2028</v>
      </c>
    </row>
    <row r="1554" spans="1:15" ht="19.5" customHeight="1" x14ac:dyDescent="0.25">
      <c r="A1554" s="13" t="s">
        <v>695</v>
      </c>
      <c r="B1554" s="13"/>
      <c r="C1554" s="13" t="s">
        <v>4201</v>
      </c>
      <c r="D1554" s="13" t="s">
        <v>1883</v>
      </c>
      <c r="E1554" s="13" t="s">
        <v>4200</v>
      </c>
      <c r="F1554" s="13" t="s">
        <v>4199</v>
      </c>
      <c r="G1554" s="13" t="s">
        <v>695</v>
      </c>
      <c r="H1554" s="13" t="s">
        <v>4198</v>
      </c>
      <c r="I1554" s="13" t="s">
        <v>4197</v>
      </c>
      <c r="J1554" s="13" t="s">
        <v>4196</v>
      </c>
      <c r="K1554" s="13" t="s">
        <v>2033</v>
      </c>
      <c r="L1554" s="13"/>
      <c r="M1554" s="14"/>
      <c r="N1554" s="13"/>
      <c r="O1554" s="13" t="s">
        <v>2028</v>
      </c>
    </row>
    <row r="1555" spans="1:15" ht="19.5" customHeight="1" x14ac:dyDescent="0.25">
      <c r="A1555" s="11" t="s">
        <v>1324</v>
      </c>
      <c r="B1555" s="11"/>
      <c r="C1555" s="11" t="s">
        <v>4195</v>
      </c>
      <c r="D1555" s="11" t="s">
        <v>1883</v>
      </c>
      <c r="E1555" s="11" t="s">
        <v>4194</v>
      </c>
      <c r="F1555" s="11"/>
      <c r="G1555" s="11" t="s">
        <v>1324</v>
      </c>
      <c r="H1555" s="11"/>
      <c r="I1555" s="11" t="s">
        <v>4193</v>
      </c>
      <c r="J1555" s="16" t="s">
        <v>4187</v>
      </c>
      <c r="K1555" s="11" t="s">
        <v>2033</v>
      </c>
      <c r="L1555" s="11"/>
      <c r="M1555" s="12"/>
      <c r="N1555" s="11"/>
      <c r="O1555" s="11" t="s">
        <v>2028</v>
      </c>
    </row>
    <row r="1556" spans="1:15" ht="19.5" customHeight="1" x14ac:dyDescent="0.25">
      <c r="A1556" s="13" t="s">
        <v>1324</v>
      </c>
      <c r="B1556" s="13"/>
      <c r="C1556" s="13" t="s">
        <v>4192</v>
      </c>
      <c r="D1556" s="13" t="s">
        <v>1883</v>
      </c>
      <c r="E1556" s="13" t="s">
        <v>4191</v>
      </c>
      <c r="F1556" s="13" t="s">
        <v>4190</v>
      </c>
      <c r="G1556" s="13" t="s">
        <v>1324</v>
      </c>
      <c r="H1556" s="13" t="s">
        <v>4189</v>
      </c>
      <c r="I1556" s="13" t="s">
        <v>4188</v>
      </c>
      <c r="J1556" s="13" t="s">
        <v>4187</v>
      </c>
      <c r="K1556" s="13" t="s">
        <v>2033</v>
      </c>
      <c r="L1556" s="13"/>
      <c r="M1556" s="14"/>
      <c r="N1556" s="13"/>
      <c r="O1556" s="13" t="s">
        <v>2028</v>
      </c>
    </row>
    <row r="1557" spans="1:15" ht="19.5" customHeight="1" x14ac:dyDescent="0.25">
      <c r="A1557" s="11" t="s">
        <v>4184</v>
      </c>
      <c r="B1557" s="11"/>
      <c r="C1557" s="11" t="s">
        <v>4186</v>
      </c>
      <c r="D1557" s="11" t="s">
        <v>1883</v>
      </c>
      <c r="E1557" s="11" t="s">
        <v>4185</v>
      </c>
      <c r="F1557" s="11"/>
      <c r="G1557" s="11" t="s">
        <v>4184</v>
      </c>
      <c r="H1557" s="11" t="s">
        <v>4183</v>
      </c>
      <c r="I1557" s="11" t="s">
        <v>4182</v>
      </c>
      <c r="J1557" s="11" t="s">
        <v>4181</v>
      </c>
      <c r="K1557" s="11" t="s">
        <v>1952</v>
      </c>
      <c r="L1557" s="11"/>
      <c r="M1557" s="12"/>
      <c r="N1557" s="11"/>
      <c r="O1557" s="11" t="s">
        <v>2028</v>
      </c>
    </row>
    <row r="1558" spans="1:15" ht="19.5" customHeight="1" x14ac:dyDescent="0.25">
      <c r="A1558" s="13" t="s">
        <v>1691</v>
      </c>
      <c r="B1558" s="13"/>
      <c r="C1558" s="13" t="s">
        <v>4180</v>
      </c>
      <c r="D1558" s="13" t="s">
        <v>1883</v>
      </c>
      <c r="E1558" s="13" t="s">
        <v>4179</v>
      </c>
      <c r="F1558" s="13"/>
      <c r="G1558" s="13" t="s">
        <v>1691</v>
      </c>
      <c r="H1558" s="13"/>
      <c r="I1558" s="13" t="s">
        <v>4178</v>
      </c>
      <c r="J1558" s="13" t="s">
        <v>4177</v>
      </c>
      <c r="K1558" s="13" t="s">
        <v>1952</v>
      </c>
      <c r="L1558" s="13"/>
      <c r="M1558" s="14"/>
      <c r="N1558" s="13"/>
      <c r="O1558" s="13" t="s">
        <v>2028</v>
      </c>
    </row>
    <row r="1559" spans="1:15" ht="19.5" customHeight="1" x14ac:dyDescent="0.25">
      <c r="A1559" s="11" t="s">
        <v>1334</v>
      </c>
      <c r="B1559" s="11"/>
      <c r="C1559" s="11" t="s">
        <v>4176</v>
      </c>
      <c r="D1559" s="11" t="s">
        <v>1883</v>
      </c>
      <c r="E1559" s="11" t="s">
        <v>4175</v>
      </c>
      <c r="F1559" s="11" t="s">
        <v>4174</v>
      </c>
      <c r="G1559" s="11" t="s">
        <v>1334</v>
      </c>
      <c r="H1559" s="11"/>
      <c r="I1559" s="11" t="s">
        <v>4173</v>
      </c>
      <c r="J1559" s="11" t="s">
        <v>4172</v>
      </c>
      <c r="K1559" s="11" t="s">
        <v>1952</v>
      </c>
      <c r="L1559" s="11"/>
      <c r="M1559" s="12"/>
      <c r="N1559" s="11"/>
      <c r="O1559" s="11" t="s">
        <v>2028</v>
      </c>
    </row>
    <row r="1560" spans="1:15" ht="19.5" customHeight="1" x14ac:dyDescent="0.25">
      <c r="A1560" s="13" t="s">
        <v>1366</v>
      </c>
      <c r="B1560" s="13"/>
      <c r="C1560" s="13" t="s">
        <v>4171</v>
      </c>
      <c r="D1560" s="13" t="s">
        <v>1883</v>
      </c>
      <c r="E1560" s="13" t="s">
        <v>4170</v>
      </c>
      <c r="F1560" s="13" t="s">
        <v>4169</v>
      </c>
      <c r="G1560" s="13" t="s">
        <v>1366</v>
      </c>
      <c r="H1560" s="13"/>
      <c r="I1560" s="13" t="s">
        <v>4168</v>
      </c>
      <c r="J1560" s="13" t="s">
        <v>4167</v>
      </c>
      <c r="K1560" s="13" t="s">
        <v>1952</v>
      </c>
      <c r="L1560" s="13"/>
      <c r="M1560" s="14"/>
      <c r="N1560" s="13"/>
      <c r="O1560" s="13" t="s">
        <v>2028</v>
      </c>
    </row>
    <row r="1561" spans="1:15" ht="19.5" customHeight="1" x14ac:dyDescent="0.25">
      <c r="A1561" s="11" t="s">
        <v>1476</v>
      </c>
      <c r="B1561" s="11"/>
      <c r="C1561" s="11" t="s">
        <v>4166</v>
      </c>
      <c r="D1561" s="11" t="s">
        <v>1883</v>
      </c>
      <c r="E1561" s="11" t="s">
        <v>4165</v>
      </c>
      <c r="F1561" s="11"/>
      <c r="G1561" s="11" t="s">
        <v>1476</v>
      </c>
      <c r="H1561" s="11"/>
      <c r="I1561" s="11" t="s">
        <v>2052</v>
      </c>
      <c r="J1561" s="11" t="s">
        <v>4164</v>
      </c>
      <c r="K1561" s="11" t="s">
        <v>2033</v>
      </c>
      <c r="L1561" s="11"/>
      <c r="M1561" s="12"/>
      <c r="N1561" s="11"/>
      <c r="O1561" s="11" t="s">
        <v>2028</v>
      </c>
    </row>
    <row r="1562" spans="1:15" ht="19.5" customHeight="1" x14ac:dyDescent="0.25">
      <c r="A1562" s="13" t="s">
        <v>698</v>
      </c>
      <c r="B1562" s="13"/>
      <c r="C1562" s="13" t="s">
        <v>4163</v>
      </c>
      <c r="D1562" s="13" t="s">
        <v>1883</v>
      </c>
      <c r="E1562" s="13" t="s">
        <v>4162</v>
      </c>
      <c r="F1562" s="13"/>
      <c r="G1562" s="13" t="s">
        <v>698</v>
      </c>
      <c r="H1562" s="13"/>
      <c r="I1562" s="13" t="s">
        <v>4161</v>
      </c>
      <c r="J1562" s="13" t="s">
        <v>4160</v>
      </c>
      <c r="K1562" s="13" t="s">
        <v>3599</v>
      </c>
      <c r="L1562" s="13"/>
      <c r="M1562" s="14"/>
      <c r="N1562" s="13"/>
      <c r="O1562" s="13" t="s">
        <v>2028</v>
      </c>
    </row>
    <row r="1563" spans="1:15" ht="19.5" customHeight="1" x14ac:dyDescent="0.25">
      <c r="A1563" s="11" t="s">
        <v>1651</v>
      </c>
      <c r="B1563" s="11"/>
      <c r="C1563" s="11" t="s">
        <v>4159</v>
      </c>
      <c r="D1563" s="11" t="s">
        <v>1883</v>
      </c>
      <c r="E1563" s="11" t="s">
        <v>4158</v>
      </c>
      <c r="F1563" s="11"/>
      <c r="G1563" s="11" t="s">
        <v>1651</v>
      </c>
      <c r="H1563" s="11"/>
      <c r="I1563" s="11" t="s">
        <v>4157</v>
      </c>
      <c r="J1563" s="11" t="s">
        <v>4156</v>
      </c>
      <c r="K1563" s="11" t="s">
        <v>2033</v>
      </c>
      <c r="L1563" s="11"/>
      <c r="M1563" s="12"/>
      <c r="N1563" s="11"/>
      <c r="O1563" s="11" t="s">
        <v>2028</v>
      </c>
    </row>
    <row r="1564" spans="1:15" ht="19.5" customHeight="1" x14ac:dyDescent="0.25">
      <c r="A1564" s="13" t="s">
        <v>1779</v>
      </c>
      <c r="B1564" s="13"/>
      <c r="C1564" s="13" t="s">
        <v>4155</v>
      </c>
      <c r="D1564" s="13" t="s">
        <v>1883</v>
      </c>
      <c r="E1564" s="13" t="s">
        <v>4154</v>
      </c>
      <c r="F1564" s="13"/>
      <c r="G1564" s="13" t="s">
        <v>1779</v>
      </c>
      <c r="H1564" s="13"/>
      <c r="I1564" s="13" t="s">
        <v>4153</v>
      </c>
      <c r="J1564" s="15" t="s">
        <v>4152</v>
      </c>
      <c r="K1564" s="13" t="s">
        <v>2033</v>
      </c>
      <c r="L1564" s="13"/>
      <c r="M1564" s="14"/>
      <c r="N1564" s="13"/>
      <c r="O1564" s="13" t="s">
        <v>2028</v>
      </c>
    </row>
    <row r="1565" spans="1:15" ht="19.5" customHeight="1" x14ac:dyDescent="0.25">
      <c r="A1565" s="11" t="s">
        <v>700</v>
      </c>
      <c r="B1565" s="11"/>
      <c r="C1565" s="11" t="s">
        <v>4151</v>
      </c>
      <c r="D1565" s="11" t="s">
        <v>1883</v>
      </c>
      <c r="E1565" s="11" t="s">
        <v>4148</v>
      </c>
      <c r="F1565" s="11" t="s">
        <v>4147</v>
      </c>
      <c r="G1565" s="11" t="s">
        <v>700</v>
      </c>
      <c r="H1565" s="11" t="s">
        <v>4146</v>
      </c>
      <c r="I1565" s="11" t="s">
        <v>2000</v>
      </c>
      <c r="J1565" s="11" t="s">
        <v>4145</v>
      </c>
      <c r="K1565" s="11" t="s">
        <v>3599</v>
      </c>
      <c r="L1565" s="11"/>
      <c r="M1565" s="12"/>
      <c r="N1565" s="11"/>
      <c r="O1565" s="11" t="s">
        <v>2028</v>
      </c>
    </row>
    <row r="1566" spans="1:15" ht="19.5" customHeight="1" x14ac:dyDescent="0.25">
      <c r="A1566" s="13" t="s">
        <v>700</v>
      </c>
      <c r="B1566" s="13"/>
      <c r="C1566" s="13" t="s">
        <v>4150</v>
      </c>
      <c r="D1566" s="13" t="s">
        <v>1883</v>
      </c>
      <c r="E1566" s="13" t="s">
        <v>4148</v>
      </c>
      <c r="F1566" s="13" t="s">
        <v>4147</v>
      </c>
      <c r="G1566" s="13" t="s">
        <v>700</v>
      </c>
      <c r="H1566" s="13" t="s">
        <v>4146</v>
      </c>
      <c r="I1566" s="13" t="s">
        <v>2000</v>
      </c>
      <c r="J1566" s="13" t="s">
        <v>4145</v>
      </c>
      <c r="K1566" s="13" t="s">
        <v>3599</v>
      </c>
      <c r="L1566" s="13"/>
      <c r="M1566" s="14"/>
      <c r="N1566" s="13"/>
      <c r="O1566" s="13" t="s">
        <v>2028</v>
      </c>
    </row>
    <row r="1567" spans="1:15" ht="19.5" customHeight="1" x14ac:dyDescent="0.25">
      <c r="A1567" s="11" t="s">
        <v>700</v>
      </c>
      <c r="B1567" s="11"/>
      <c r="C1567" s="11" t="s">
        <v>4149</v>
      </c>
      <c r="D1567" s="11" t="s">
        <v>1883</v>
      </c>
      <c r="E1567" s="11" t="s">
        <v>4148</v>
      </c>
      <c r="F1567" s="11" t="s">
        <v>4147</v>
      </c>
      <c r="G1567" s="11" t="s">
        <v>700</v>
      </c>
      <c r="H1567" s="11" t="s">
        <v>4146</v>
      </c>
      <c r="I1567" s="11" t="s">
        <v>2000</v>
      </c>
      <c r="J1567" s="11" t="s">
        <v>4145</v>
      </c>
      <c r="K1567" s="11" t="s">
        <v>3599</v>
      </c>
      <c r="L1567" s="11"/>
      <c r="M1567" s="12"/>
      <c r="N1567" s="11"/>
      <c r="O1567" s="11" t="s">
        <v>2028</v>
      </c>
    </row>
    <row r="1568" spans="1:15" ht="19.5" customHeight="1" x14ac:dyDescent="0.25">
      <c r="A1568" s="13" t="s">
        <v>1754</v>
      </c>
      <c r="B1568" s="13"/>
      <c r="C1568" s="13" t="s">
        <v>4144</v>
      </c>
      <c r="D1568" s="13" t="s">
        <v>1883</v>
      </c>
      <c r="E1568" s="13" t="s">
        <v>4143</v>
      </c>
      <c r="F1568" s="13"/>
      <c r="G1568" s="13" t="s">
        <v>1754</v>
      </c>
      <c r="H1568" s="13"/>
      <c r="I1568" s="13" t="s">
        <v>4142</v>
      </c>
      <c r="J1568" s="13" t="s">
        <v>4141</v>
      </c>
      <c r="K1568" s="13" t="s">
        <v>3641</v>
      </c>
      <c r="L1568" s="13"/>
      <c r="M1568" s="14"/>
      <c r="N1568" s="13"/>
      <c r="O1568" s="13" t="s">
        <v>2028</v>
      </c>
    </row>
    <row r="1569" spans="1:15" ht="19.5" customHeight="1" x14ac:dyDescent="0.25">
      <c r="A1569" s="11" t="s">
        <v>8892</v>
      </c>
      <c r="B1569" s="11"/>
      <c r="C1569" s="11" t="s">
        <v>8891</v>
      </c>
      <c r="D1569" s="11" t="s">
        <v>1883</v>
      </c>
      <c r="E1569" s="11" t="s">
        <v>8893</v>
      </c>
      <c r="F1569" s="11" t="s">
        <v>8894</v>
      </c>
      <c r="G1569" s="11" t="s">
        <v>8892</v>
      </c>
      <c r="H1569" s="11"/>
      <c r="I1569" s="11" t="s">
        <v>8895</v>
      </c>
      <c r="J1569" s="11" t="s">
        <v>8896</v>
      </c>
      <c r="K1569" s="11" t="s">
        <v>2033</v>
      </c>
      <c r="L1569" s="11"/>
      <c r="M1569" s="12"/>
      <c r="N1569" s="11"/>
      <c r="O1569" s="11" t="s">
        <v>2028</v>
      </c>
    </row>
    <row r="1570" spans="1:15" ht="19.5" customHeight="1" x14ac:dyDescent="0.25">
      <c r="A1570" s="13" t="s">
        <v>1080</v>
      </c>
      <c r="B1570" s="13"/>
      <c r="C1570" s="13" t="s">
        <v>4140</v>
      </c>
      <c r="D1570" s="13" t="s">
        <v>1883</v>
      </c>
      <c r="E1570" s="13" t="s">
        <v>4139</v>
      </c>
      <c r="F1570" s="13"/>
      <c r="G1570" s="13" t="s">
        <v>1080</v>
      </c>
      <c r="H1570" s="13"/>
      <c r="I1570" s="13" t="s">
        <v>4138</v>
      </c>
      <c r="J1570" s="13" t="s">
        <v>4137</v>
      </c>
      <c r="K1570" s="13" t="s">
        <v>4136</v>
      </c>
      <c r="L1570" s="13"/>
      <c r="M1570" s="14"/>
      <c r="N1570" s="13"/>
      <c r="O1570" s="13" t="s">
        <v>2028</v>
      </c>
    </row>
    <row r="1571" spans="1:15" ht="19.5" customHeight="1" x14ac:dyDescent="0.25">
      <c r="A1571" s="11" t="s">
        <v>1314</v>
      </c>
      <c r="B1571" s="11"/>
      <c r="C1571" s="11" t="s">
        <v>4135</v>
      </c>
      <c r="D1571" s="11" t="s">
        <v>1883</v>
      </c>
      <c r="E1571" s="11" t="s">
        <v>4134</v>
      </c>
      <c r="F1571" s="11" t="s">
        <v>4133</v>
      </c>
      <c r="G1571" s="11" t="s">
        <v>1314</v>
      </c>
      <c r="H1571" s="11"/>
      <c r="I1571" s="11" t="s">
        <v>4132</v>
      </c>
      <c r="J1571" s="11" t="s">
        <v>4131</v>
      </c>
      <c r="K1571" s="11" t="s">
        <v>2033</v>
      </c>
      <c r="L1571" s="11"/>
      <c r="M1571" s="12"/>
      <c r="N1571" s="11"/>
      <c r="O1571" s="11" t="s">
        <v>2028</v>
      </c>
    </row>
    <row r="1572" spans="1:15" ht="19.5" customHeight="1" x14ac:dyDescent="0.25">
      <c r="A1572" s="13" t="s">
        <v>4127</v>
      </c>
      <c r="B1572" s="13"/>
      <c r="C1572" s="13" t="s">
        <v>4130</v>
      </c>
      <c r="D1572" s="13" t="s">
        <v>1883</v>
      </c>
      <c r="E1572" s="13" t="s">
        <v>4129</v>
      </c>
      <c r="F1572" s="13" t="s">
        <v>4128</v>
      </c>
      <c r="G1572" s="13" t="s">
        <v>4127</v>
      </c>
      <c r="H1572" s="13" t="s">
        <v>4126</v>
      </c>
      <c r="I1572" s="13" t="s">
        <v>4125</v>
      </c>
      <c r="J1572" s="13" t="s">
        <v>4124</v>
      </c>
      <c r="K1572" s="13" t="s">
        <v>1952</v>
      </c>
      <c r="L1572" s="13"/>
      <c r="M1572" s="14"/>
      <c r="N1572" s="13"/>
      <c r="O1572" s="13" t="s">
        <v>1945</v>
      </c>
    </row>
    <row r="1573" spans="1:15" ht="19.5" customHeight="1" x14ac:dyDescent="0.25">
      <c r="A1573" s="11" t="s">
        <v>1070</v>
      </c>
      <c r="B1573" s="11"/>
      <c r="C1573" s="11" t="s">
        <v>1069</v>
      </c>
      <c r="D1573" s="11" t="s">
        <v>1950</v>
      </c>
      <c r="E1573" s="11" t="s">
        <v>4123</v>
      </c>
      <c r="F1573" s="11" t="s">
        <v>4122</v>
      </c>
      <c r="G1573" s="11" t="s">
        <v>1070</v>
      </c>
      <c r="H1573" s="11" t="s">
        <v>4121</v>
      </c>
      <c r="I1573" s="11" t="s">
        <v>4120</v>
      </c>
      <c r="J1573" s="11" t="s">
        <v>4119</v>
      </c>
      <c r="K1573" s="11" t="s">
        <v>2033</v>
      </c>
      <c r="L1573" s="11"/>
      <c r="M1573" s="12"/>
      <c r="N1573" s="11"/>
      <c r="O1573" s="11" t="s">
        <v>1945</v>
      </c>
    </row>
    <row r="1574" spans="1:15" ht="19.5" customHeight="1" x14ac:dyDescent="0.25">
      <c r="A1574" s="13" t="s">
        <v>702</v>
      </c>
      <c r="B1574" s="13"/>
      <c r="C1574" s="13" t="s">
        <v>4118</v>
      </c>
      <c r="D1574" s="13" t="s">
        <v>1883</v>
      </c>
      <c r="E1574" s="13" t="s">
        <v>4115</v>
      </c>
      <c r="F1574" s="13"/>
      <c r="G1574" s="13" t="s">
        <v>702</v>
      </c>
      <c r="H1574" s="13" t="s">
        <v>4114</v>
      </c>
      <c r="I1574" s="13" t="s">
        <v>4113</v>
      </c>
      <c r="J1574" s="13" t="s">
        <v>4112</v>
      </c>
      <c r="K1574" s="13" t="s">
        <v>1952</v>
      </c>
      <c r="L1574" s="13"/>
      <c r="M1574" s="14"/>
      <c r="N1574" s="13"/>
      <c r="O1574" s="13" t="s">
        <v>2028</v>
      </c>
    </row>
    <row r="1575" spans="1:15" ht="19.5" customHeight="1" x14ac:dyDescent="0.25">
      <c r="A1575" s="11" t="s">
        <v>702</v>
      </c>
      <c r="B1575" s="11"/>
      <c r="C1575" s="11" t="s">
        <v>4117</v>
      </c>
      <c r="D1575" s="11" t="s">
        <v>1883</v>
      </c>
      <c r="E1575" s="11" t="s">
        <v>4115</v>
      </c>
      <c r="F1575" s="11"/>
      <c r="G1575" s="11" t="s">
        <v>702</v>
      </c>
      <c r="H1575" s="11" t="s">
        <v>4114</v>
      </c>
      <c r="I1575" s="11" t="s">
        <v>4113</v>
      </c>
      <c r="J1575" s="11" t="s">
        <v>4112</v>
      </c>
      <c r="K1575" s="11" t="s">
        <v>1952</v>
      </c>
      <c r="L1575" s="11"/>
      <c r="M1575" s="12"/>
      <c r="N1575" s="11"/>
      <c r="O1575" s="11" t="s">
        <v>2028</v>
      </c>
    </row>
    <row r="1576" spans="1:15" ht="19.5" customHeight="1" x14ac:dyDescent="0.25">
      <c r="A1576" s="13" t="s">
        <v>702</v>
      </c>
      <c r="B1576" s="13"/>
      <c r="C1576" s="13" t="s">
        <v>4116</v>
      </c>
      <c r="D1576" s="13" t="s">
        <v>1883</v>
      </c>
      <c r="E1576" s="13" t="s">
        <v>4115</v>
      </c>
      <c r="F1576" s="13"/>
      <c r="G1576" s="13" t="s">
        <v>702</v>
      </c>
      <c r="H1576" s="13" t="s">
        <v>4114</v>
      </c>
      <c r="I1576" s="13" t="s">
        <v>4113</v>
      </c>
      <c r="J1576" s="13" t="s">
        <v>4112</v>
      </c>
      <c r="K1576" s="13" t="s">
        <v>1952</v>
      </c>
      <c r="L1576" s="13"/>
      <c r="M1576" s="14"/>
      <c r="N1576" s="13"/>
      <c r="O1576" s="13" t="s">
        <v>2028</v>
      </c>
    </row>
    <row r="1577" spans="1:15" ht="19.5" customHeight="1" x14ac:dyDescent="0.25">
      <c r="A1577" s="11" t="s">
        <v>1383</v>
      </c>
      <c r="B1577" s="11"/>
      <c r="C1577" s="11" t="s">
        <v>4111</v>
      </c>
      <c r="D1577" s="11" t="s">
        <v>1883</v>
      </c>
      <c r="E1577" s="11" t="s">
        <v>4110</v>
      </c>
      <c r="F1577" s="11"/>
      <c r="G1577" s="11" t="s">
        <v>1383</v>
      </c>
      <c r="H1577" s="11"/>
      <c r="I1577" s="11" t="s">
        <v>4109</v>
      </c>
      <c r="J1577" s="11" t="s">
        <v>4105</v>
      </c>
      <c r="K1577" s="11" t="s">
        <v>1952</v>
      </c>
      <c r="L1577" s="11"/>
      <c r="M1577" s="12"/>
      <c r="N1577" s="11"/>
      <c r="O1577" s="11" t="s">
        <v>2028</v>
      </c>
    </row>
    <row r="1578" spans="1:15" ht="19.5" customHeight="1" x14ac:dyDescent="0.25">
      <c r="A1578" s="13" t="s">
        <v>1383</v>
      </c>
      <c r="B1578" s="13"/>
      <c r="C1578" s="13" t="s">
        <v>4108</v>
      </c>
      <c r="D1578" s="13" t="s">
        <v>1883</v>
      </c>
      <c r="E1578" s="13" t="s">
        <v>4107</v>
      </c>
      <c r="F1578" s="13"/>
      <c r="G1578" s="13" t="s">
        <v>1383</v>
      </c>
      <c r="H1578" s="13"/>
      <c r="I1578" s="13" t="s">
        <v>4106</v>
      </c>
      <c r="J1578" s="13" t="s">
        <v>4105</v>
      </c>
      <c r="K1578" s="13" t="s">
        <v>1952</v>
      </c>
      <c r="L1578" s="13"/>
      <c r="M1578" s="14"/>
      <c r="N1578" s="13"/>
      <c r="O1578" s="13" t="s">
        <v>2028</v>
      </c>
    </row>
    <row r="1579" spans="1:15" ht="19.5" customHeight="1" x14ac:dyDescent="0.25">
      <c r="A1579" s="11" t="s">
        <v>704</v>
      </c>
      <c r="B1579" s="11"/>
      <c r="C1579" s="11" t="s">
        <v>4104</v>
      </c>
      <c r="D1579" s="11" t="s">
        <v>1883</v>
      </c>
      <c r="E1579" s="11" t="s">
        <v>4101</v>
      </c>
      <c r="F1579" s="11" t="s">
        <v>4100</v>
      </c>
      <c r="G1579" s="11" t="s">
        <v>704</v>
      </c>
      <c r="H1579" s="11" t="s">
        <v>4099</v>
      </c>
      <c r="I1579" s="11" t="s">
        <v>4098</v>
      </c>
      <c r="J1579" s="11" t="s">
        <v>4097</v>
      </c>
      <c r="K1579" s="11" t="s">
        <v>2033</v>
      </c>
      <c r="L1579" s="11"/>
      <c r="M1579" s="12"/>
      <c r="N1579" s="11"/>
      <c r="O1579" s="11" t="s">
        <v>2028</v>
      </c>
    </row>
    <row r="1580" spans="1:15" ht="19.5" customHeight="1" x14ac:dyDescent="0.25">
      <c r="A1580" s="13" t="s">
        <v>704</v>
      </c>
      <c r="B1580" s="13"/>
      <c r="C1580" s="13" t="s">
        <v>4103</v>
      </c>
      <c r="D1580" s="13" t="s">
        <v>1883</v>
      </c>
      <c r="E1580" s="13" t="s">
        <v>4101</v>
      </c>
      <c r="F1580" s="13" t="s">
        <v>4100</v>
      </c>
      <c r="G1580" s="13" t="s">
        <v>704</v>
      </c>
      <c r="H1580" s="13" t="s">
        <v>4099</v>
      </c>
      <c r="I1580" s="13" t="s">
        <v>4098</v>
      </c>
      <c r="J1580" s="13" t="s">
        <v>4097</v>
      </c>
      <c r="K1580" s="13" t="s">
        <v>2033</v>
      </c>
      <c r="L1580" s="13"/>
      <c r="M1580" s="14"/>
      <c r="N1580" s="13"/>
      <c r="O1580" s="13" t="s">
        <v>2028</v>
      </c>
    </row>
    <row r="1581" spans="1:15" ht="19.5" customHeight="1" x14ac:dyDescent="0.25">
      <c r="A1581" s="11" t="s">
        <v>704</v>
      </c>
      <c r="B1581" s="11"/>
      <c r="C1581" s="11" t="s">
        <v>4102</v>
      </c>
      <c r="D1581" s="11" t="s">
        <v>1883</v>
      </c>
      <c r="E1581" s="11" t="s">
        <v>4101</v>
      </c>
      <c r="F1581" s="11" t="s">
        <v>4100</v>
      </c>
      <c r="G1581" s="11" t="s">
        <v>704</v>
      </c>
      <c r="H1581" s="11" t="s">
        <v>4099</v>
      </c>
      <c r="I1581" s="11" t="s">
        <v>4098</v>
      </c>
      <c r="J1581" s="11" t="s">
        <v>4097</v>
      </c>
      <c r="K1581" s="11" t="s">
        <v>2033</v>
      </c>
      <c r="L1581" s="11"/>
      <c r="M1581" s="12"/>
      <c r="N1581" s="11"/>
      <c r="O1581" s="11" t="s">
        <v>2028</v>
      </c>
    </row>
    <row r="1582" spans="1:15" ht="19.5" customHeight="1" x14ac:dyDescent="0.25">
      <c r="A1582" s="13" t="s">
        <v>1186</v>
      </c>
      <c r="B1582" s="13"/>
      <c r="C1582" s="13" t="s">
        <v>4096</v>
      </c>
      <c r="D1582" s="13" t="s">
        <v>1883</v>
      </c>
      <c r="E1582" s="13" t="s">
        <v>4095</v>
      </c>
      <c r="F1582" s="13"/>
      <c r="G1582" s="13" t="s">
        <v>1186</v>
      </c>
      <c r="H1582" s="13"/>
      <c r="I1582" s="13" t="s">
        <v>4094</v>
      </c>
      <c r="J1582" s="13" t="s">
        <v>4093</v>
      </c>
      <c r="K1582" s="13" t="s">
        <v>1952</v>
      </c>
      <c r="L1582" s="13"/>
      <c r="M1582" s="14"/>
      <c r="N1582" s="13"/>
      <c r="O1582" s="13" t="s">
        <v>2028</v>
      </c>
    </row>
    <row r="1583" spans="1:15" ht="19.5" customHeight="1" x14ac:dyDescent="0.25">
      <c r="A1583" s="11" t="s">
        <v>1530</v>
      </c>
      <c r="B1583" s="11"/>
      <c r="C1583" s="11" t="s">
        <v>4092</v>
      </c>
      <c r="D1583" s="11" t="s">
        <v>1883</v>
      </c>
      <c r="E1583" s="11" t="s">
        <v>4091</v>
      </c>
      <c r="F1583" s="11"/>
      <c r="G1583" s="11" t="s">
        <v>1530</v>
      </c>
      <c r="H1583" s="11"/>
      <c r="I1583" s="11" t="s">
        <v>4090</v>
      </c>
      <c r="J1583" s="11" t="s">
        <v>4089</v>
      </c>
      <c r="K1583" s="11" t="s">
        <v>2033</v>
      </c>
      <c r="L1583" s="11"/>
      <c r="M1583" s="12"/>
      <c r="N1583" s="11"/>
      <c r="O1583" s="11" t="s">
        <v>2028</v>
      </c>
    </row>
    <row r="1584" spans="1:15" ht="19.5" customHeight="1" x14ac:dyDescent="0.25">
      <c r="A1584" s="13" t="s">
        <v>4085</v>
      </c>
      <c r="B1584" s="13"/>
      <c r="C1584" s="13" t="s">
        <v>4088</v>
      </c>
      <c r="D1584" s="13" t="s">
        <v>1883</v>
      </c>
      <c r="E1584" s="13" t="s">
        <v>4087</v>
      </c>
      <c r="F1584" s="13" t="s">
        <v>4086</v>
      </c>
      <c r="G1584" s="13" t="s">
        <v>4085</v>
      </c>
      <c r="H1584" s="13"/>
      <c r="I1584" s="13" t="s">
        <v>4084</v>
      </c>
      <c r="J1584" s="13" t="s">
        <v>4083</v>
      </c>
      <c r="K1584" s="13" t="s">
        <v>2033</v>
      </c>
      <c r="L1584" s="13"/>
      <c r="M1584" s="14"/>
      <c r="N1584" s="13"/>
      <c r="O1584" s="13" t="s">
        <v>2028</v>
      </c>
    </row>
    <row r="1585" spans="1:15" ht="19.5" customHeight="1" x14ac:dyDescent="0.25">
      <c r="A1585" s="11" t="s">
        <v>706</v>
      </c>
      <c r="B1585" s="11"/>
      <c r="C1585" s="11" t="s">
        <v>4082</v>
      </c>
      <c r="D1585" s="11" t="s">
        <v>1883</v>
      </c>
      <c r="E1585" s="11" t="s">
        <v>4079</v>
      </c>
      <c r="F1585" s="11"/>
      <c r="G1585" s="11" t="s">
        <v>706</v>
      </c>
      <c r="H1585" s="11" t="s">
        <v>4081</v>
      </c>
      <c r="I1585" s="11" t="s">
        <v>4077</v>
      </c>
      <c r="J1585" s="11" t="s">
        <v>4076</v>
      </c>
      <c r="K1585" s="11" t="s">
        <v>3599</v>
      </c>
      <c r="L1585" s="11"/>
      <c r="M1585" s="12"/>
      <c r="N1585" s="11"/>
      <c r="O1585" s="11" t="s">
        <v>2028</v>
      </c>
    </row>
    <row r="1586" spans="1:15" ht="19.5" customHeight="1" x14ac:dyDescent="0.25">
      <c r="A1586" s="13" t="s">
        <v>706</v>
      </c>
      <c r="B1586" s="13"/>
      <c r="C1586" s="13" t="s">
        <v>4080</v>
      </c>
      <c r="D1586" s="13" t="s">
        <v>1883</v>
      </c>
      <c r="E1586" s="13" t="s">
        <v>4079</v>
      </c>
      <c r="F1586" s="13" t="s">
        <v>4078</v>
      </c>
      <c r="G1586" s="13" t="s">
        <v>706</v>
      </c>
      <c r="H1586" s="13"/>
      <c r="I1586" s="13" t="s">
        <v>4077</v>
      </c>
      <c r="J1586" s="13" t="s">
        <v>4076</v>
      </c>
      <c r="K1586" s="13" t="s">
        <v>3599</v>
      </c>
      <c r="L1586" s="13"/>
      <c r="M1586" s="14"/>
      <c r="N1586" s="13"/>
      <c r="O1586" s="13" t="s">
        <v>2028</v>
      </c>
    </row>
    <row r="1587" spans="1:15" ht="19.5" customHeight="1" x14ac:dyDescent="0.25">
      <c r="A1587" s="11" t="s">
        <v>708</v>
      </c>
      <c r="B1587" s="11"/>
      <c r="C1587" s="11" t="s">
        <v>4075</v>
      </c>
      <c r="D1587" s="11" t="s">
        <v>1883</v>
      </c>
      <c r="E1587" s="11" t="s">
        <v>4072</v>
      </c>
      <c r="F1587" s="11" t="s">
        <v>4071</v>
      </c>
      <c r="G1587" s="11" t="s">
        <v>708</v>
      </c>
      <c r="H1587" s="11" t="s">
        <v>4070</v>
      </c>
      <c r="I1587" s="11" t="s">
        <v>4069</v>
      </c>
      <c r="J1587" s="11" t="s">
        <v>4068</v>
      </c>
      <c r="K1587" s="11" t="s">
        <v>3599</v>
      </c>
      <c r="L1587" s="11"/>
      <c r="M1587" s="12"/>
      <c r="N1587" s="11"/>
      <c r="O1587" s="11" t="s">
        <v>2028</v>
      </c>
    </row>
    <row r="1588" spans="1:15" ht="19.5" customHeight="1" x14ac:dyDescent="0.25">
      <c r="A1588" s="13" t="s">
        <v>708</v>
      </c>
      <c r="B1588" s="13"/>
      <c r="C1588" s="13" t="s">
        <v>4074</v>
      </c>
      <c r="D1588" s="13" t="s">
        <v>1883</v>
      </c>
      <c r="E1588" s="13" t="s">
        <v>4072</v>
      </c>
      <c r="F1588" s="13" t="s">
        <v>4071</v>
      </c>
      <c r="G1588" s="13" t="s">
        <v>708</v>
      </c>
      <c r="H1588" s="13" t="s">
        <v>4070</v>
      </c>
      <c r="I1588" s="13" t="s">
        <v>4069</v>
      </c>
      <c r="J1588" s="13" t="s">
        <v>4068</v>
      </c>
      <c r="K1588" s="13" t="s">
        <v>3599</v>
      </c>
      <c r="L1588" s="13"/>
      <c r="M1588" s="14"/>
      <c r="N1588" s="13"/>
      <c r="O1588" s="13" t="s">
        <v>2028</v>
      </c>
    </row>
    <row r="1589" spans="1:15" ht="19.5" customHeight="1" x14ac:dyDescent="0.25">
      <c r="A1589" s="11" t="s">
        <v>708</v>
      </c>
      <c r="B1589" s="11"/>
      <c r="C1589" s="11" t="s">
        <v>4073</v>
      </c>
      <c r="D1589" s="11" t="s">
        <v>1883</v>
      </c>
      <c r="E1589" s="11" t="s">
        <v>4072</v>
      </c>
      <c r="F1589" s="11" t="s">
        <v>4071</v>
      </c>
      <c r="G1589" s="11" t="s">
        <v>708</v>
      </c>
      <c r="H1589" s="11" t="s">
        <v>4070</v>
      </c>
      <c r="I1589" s="11" t="s">
        <v>4069</v>
      </c>
      <c r="J1589" s="11" t="s">
        <v>4068</v>
      </c>
      <c r="K1589" s="11" t="s">
        <v>3599</v>
      </c>
      <c r="L1589" s="11"/>
      <c r="M1589" s="12"/>
      <c r="N1589" s="11"/>
      <c r="O1589" s="11" t="s">
        <v>2028</v>
      </c>
    </row>
    <row r="1590" spans="1:15" ht="19.5" customHeight="1" x14ac:dyDescent="0.25">
      <c r="A1590" s="13" t="s">
        <v>710</v>
      </c>
      <c r="B1590" s="13"/>
      <c r="C1590" s="13" t="s">
        <v>4067</v>
      </c>
      <c r="D1590" s="13" t="s">
        <v>1883</v>
      </c>
      <c r="E1590" s="13" t="s">
        <v>4064</v>
      </c>
      <c r="F1590" s="13" t="s">
        <v>4063</v>
      </c>
      <c r="G1590" s="13" t="s">
        <v>710</v>
      </c>
      <c r="H1590" s="13" t="s">
        <v>4062</v>
      </c>
      <c r="I1590" s="13" t="s">
        <v>4061</v>
      </c>
      <c r="J1590" s="13" t="s">
        <v>4060</v>
      </c>
      <c r="K1590" s="13" t="s">
        <v>2033</v>
      </c>
      <c r="L1590" s="13"/>
      <c r="M1590" s="14"/>
      <c r="N1590" s="13"/>
      <c r="O1590" s="13" t="s">
        <v>2028</v>
      </c>
    </row>
    <row r="1591" spans="1:15" ht="19.5" customHeight="1" x14ac:dyDescent="0.25">
      <c r="A1591" s="11" t="s">
        <v>710</v>
      </c>
      <c r="B1591" s="11"/>
      <c r="C1591" s="11" t="s">
        <v>4066</v>
      </c>
      <c r="D1591" s="11" t="s">
        <v>1883</v>
      </c>
      <c r="E1591" s="11" t="s">
        <v>4064</v>
      </c>
      <c r="F1591" s="11" t="s">
        <v>4063</v>
      </c>
      <c r="G1591" s="11" t="s">
        <v>710</v>
      </c>
      <c r="H1591" s="11" t="s">
        <v>4062</v>
      </c>
      <c r="I1591" s="11" t="s">
        <v>4061</v>
      </c>
      <c r="J1591" s="11" t="s">
        <v>4060</v>
      </c>
      <c r="K1591" s="11" t="s">
        <v>2033</v>
      </c>
      <c r="L1591" s="11"/>
      <c r="M1591" s="12"/>
      <c r="N1591" s="11"/>
      <c r="O1591" s="11" t="s">
        <v>2028</v>
      </c>
    </row>
    <row r="1592" spans="1:15" ht="19.5" customHeight="1" x14ac:dyDescent="0.25">
      <c r="A1592" s="13" t="s">
        <v>710</v>
      </c>
      <c r="B1592" s="13"/>
      <c r="C1592" s="13" t="s">
        <v>4065</v>
      </c>
      <c r="D1592" s="13" t="s">
        <v>1883</v>
      </c>
      <c r="E1592" s="13" t="s">
        <v>4064</v>
      </c>
      <c r="F1592" s="13" t="s">
        <v>4063</v>
      </c>
      <c r="G1592" s="13" t="s">
        <v>710</v>
      </c>
      <c r="H1592" s="13" t="s">
        <v>4062</v>
      </c>
      <c r="I1592" s="13" t="s">
        <v>4061</v>
      </c>
      <c r="J1592" s="13" t="s">
        <v>4060</v>
      </c>
      <c r="K1592" s="13" t="s">
        <v>2033</v>
      </c>
      <c r="L1592" s="13"/>
      <c r="M1592" s="14"/>
      <c r="N1592" s="13"/>
      <c r="O1592" s="13" t="s">
        <v>2028</v>
      </c>
    </row>
    <row r="1593" spans="1:15" ht="19.5" customHeight="1" x14ac:dyDescent="0.25">
      <c r="A1593" s="11" t="s">
        <v>712</v>
      </c>
      <c r="B1593" s="11"/>
      <c r="C1593" s="11" t="s">
        <v>4059</v>
      </c>
      <c r="D1593" s="11" t="s">
        <v>1883</v>
      </c>
      <c r="E1593" s="11" t="s">
        <v>4050</v>
      </c>
      <c r="F1593" s="11" t="s">
        <v>4049</v>
      </c>
      <c r="G1593" s="11" t="s">
        <v>712</v>
      </c>
      <c r="H1593" s="11" t="s">
        <v>4048</v>
      </c>
      <c r="I1593" s="11" t="s">
        <v>4047</v>
      </c>
      <c r="J1593" s="11" t="s">
        <v>4046</v>
      </c>
      <c r="K1593" s="11" t="s">
        <v>2033</v>
      </c>
      <c r="L1593" s="11"/>
      <c r="M1593" s="12"/>
      <c r="N1593" s="11"/>
      <c r="O1593" s="11" t="s">
        <v>1945</v>
      </c>
    </row>
    <row r="1594" spans="1:15" ht="19.5" customHeight="1" x14ac:dyDescent="0.25">
      <c r="A1594" s="13" t="s">
        <v>712</v>
      </c>
      <c r="B1594" s="13"/>
      <c r="C1594" s="13" t="s">
        <v>4058</v>
      </c>
      <c r="D1594" s="13" t="s">
        <v>1883</v>
      </c>
      <c r="E1594" s="13" t="s">
        <v>4050</v>
      </c>
      <c r="F1594" s="13" t="s">
        <v>4049</v>
      </c>
      <c r="G1594" s="13" t="s">
        <v>712</v>
      </c>
      <c r="H1594" s="13" t="s">
        <v>4048</v>
      </c>
      <c r="I1594" s="13" t="s">
        <v>4047</v>
      </c>
      <c r="J1594" s="13" t="s">
        <v>4046</v>
      </c>
      <c r="K1594" s="13" t="s">
        <v>2033</v>
      </c>
      <c r="L1594" s="13"/>
      <c r="M1594" s="14"/>
      <c r="N1594" s="13"/>
      <c r="O1594" s="13" t="s">
        <v>1945</v>
      </c>
    </row>
    <row r="1595" spans="1:15" ht="19.5" customHeight="1" x14ac:dyDescent="0.25">
      <c r="A1595" s="11" t="s">
        <v>712</v>
      </c>
      <c r="B1595" s="11"/>
      <c r="C1595" s="11" t="s">
        <v>4057</v>
      </c>
      <c r="D1595" s="11" t="s">
        <v>1883</v>
      </c>
      <c r="E1595" s="11" t="s">
        <v>4050</v>
      </c>
      <c r="F1595" s="11" t="s">
        <v>4049</v>
      </c>
      <c r="G1595" s="11" t="s">
        <v>712</v>
      </c>
      <c r="H1595" s="11" t="s">
        <v>4048</v>
      </c>
      <c r="I1595" s="11" t="s">
        <v>4047</v>
      </c>
      <c r="J1595" s="11" t="s">
        <v>4046</v>
      </c>
      <c r="K1595" s="11" t="s">
        <v>2033</v>
      </c>
      <c r="L1595" s="11"/>
      <c r="M1595" s="12"/>
      <c r="N1595" s="11"/>
      <c r="O1595" s="11" t="s">
        <v>1945</v>
      </c>
    </row>
    <row r="1596" spans="1:15" ht="19.5" customHeight="1" x14ac:dyDescent="0.25">
      <c r="A1596" s="13" t="s">
        <v>712</v>
      </c>
      <c r="B1596" s="13"/>
      <c r="C1596" s="13" t="s">
        <v>4056</v>
      </c>
      <c r="D1596" s="13" t="s">
        <v>1883</v>
      </c>
      <c r="E1596" s="13" t="s">
        <v>4055</v>
      </c>
      <c r="F1596" s="13" t="s">
        <v>4049</v>
      </c>
      <c r="G1596" s="13" t="s">
        <v>712</v>
      </c>
      <c r="H1596" s="13" t="s">
        <v>4048</v>
      </c>
      <c r="I1596" s="13" t="s">
        <v>4054</v>
      </c>
      <c r="J1596" s="13" t="s">
        <v>4046</v>
      </c>
      <c r="K1596" s="13" t="s">
        <v>2033</v>
      </c>
      <c r="L1596" s="13"/>
      <c r="M1596" s="14"/>
      <c r="N1596" s="13"/>
      <c r="O1596" s="13" t="s">
        <v>1916</v>
      </c>
    </row>
    <row r="1597" spans="1:15" ht="19.5" customHeight="1" x14ac:dyDescent="0.25">
      <c r="A1597" s="11" t="s">
        <v>712</v>
      </c>
      <c r="B1597" s="11"/>
      <c r="C1597" s="11" t="s">
        <v>4053</v>
      </c>
      <c r="D1597" s="11" t="s">
        <v>1883</v>
      </c>
      <c r="E1597" s="11" t="s">
        <v>4050</v>
      </c>
      <c r="F1597" s="11" t="s">
        <v>4049</v>
      </c>
      <c r="G1597" s="11" t="s">
        <v>712</v>
      </c>
      <c r="H1597" s="11" t="s">
        <v>4048</v>
      </c>
      <c r="I1597" s="11" t="s">
        <v>4047</v>
      </c>
      <c r="J1597" s="11" t="s">
        <v>4046</v>
      </c>
      <c r="K1597" s="11" t="s">
        <v>2033</v>
      </c>
      <c r="L1597" s="11"/>
      <c r="M1597" s="12"/>
      <c r="N1597" s="11"/>
      <c r="O1597" s="11" t="s">
        <v>2028</v>
      </c>
    </row>
    <row r="1598" spans="1:15" ht="19.5" customHeight="1" x14ac:dyDescent="0.25">
      <c r="A1598" s="13" t="s">
        <v>712</v>
      </c>
      <c r="B1598" s="13"/>
      <c r="C1598" s="13" t="s">
        <v>4052</v>
      </c>
      <c r="D1598" s="13" t="s">
        <v>1883</v>
      </c>
      <c r="E1598" s="13" t="s">
        <v>4050</v>
      </c>
      <c r="F1598" s="13" t="s">
        <v>4049</v>
      </c>
      <c r="G1598" s="13" t="s">
        <v>712</v>
      </c>
      <c r="H1598" s="13" t="s">
        <v>4048</v>
      </c>
      <c r="I1598" s="13" t="s">
        <v>4047</v>
      </c>
      <c r="J1598" s="13" t="s">
        <v>4046</v>
      </c>
      <c r="K1598" s="13" t="s">
        <v>2033</v>
      </c>
      <c r="L1598" s="13"/>
      <c r="M1598" s="14"/>
      <c r="N1598" s="13"/>
      <c r="O1598" s="13" t="s">
        <v>2028</v>
      </c>
    </row>
    <row r="1599" spans="1:15" ht="19.5" customHeight="1" x14ac:dyDescent="0.25">
      <c r="A1599" s="11" t="s">
        <v>712</v>
      </c>
      <c r="B1599" s="11"/>
      <c r="C1599" s="11" t="s">
        <v>4051</v>
      </c>
      <c r="D1599" s="11" t="s">
        <v>1883</v>
      </c>
      <c r="E1599" s="11" t="s">
        <v>4050</v>
      </c>
      <c r="F1599" s="11" t="s">
        <v>4049</v>
      </c>
      <c r="G1599" s="11" t="s">
        <v>712</v>
      </c>
      <c r="H1599" s="11" t="s">
        <v>4048</v>
      </c>
      <c r="I1599" s="11" t="s">
        <v>4047</v>
      </c>
      <c r="J1599" s="11" t="s">
        <v>4046</v>
      </c>
      <c r="K1599" s="11" t="s">
        <v>2033</v>
      </c>
      <c r="L1599" s="11"/>
      <c r="M1599" s="12"/>
      <c r="N1599" s="11"/>
      <c r="O1599" s="11" t="s">
        <v>2028</v>
      </c>
    </row>
    <row r="1600" spans="1:15" ht="19.5" customHeight="1" x14ac:dyDescent="0.25">
      <c r="A1600" s="13" t="s">
        <v>1276</v>
      </c>
      <c r="B1600" s="13"/>
      <c r="C1600" s="13" t="s">
        <v>4045</v>
      </c>
      <c r="D1600" s="13" t="s">
        <v>1883</v>
      </c>
      <c r="E1600" s="13" t="s">
        <v>4043</v>
      </c>
      <c r="F1600" s="13"/>
      <c r="G1600" s="13" t="s">
        <v>4042</v>
      </c>
      <c r="H1600" s="13"/>
      <c r="I1600" s="13" t="s">
        <v>4040</v>
      </c>
      <c r="J1600" s="13" t="s">
        <v>4039</v>
      </c>
      <c r="K1600" s="13" t="s">
        <v>2033</v>
      </c>
      <c r="L1600" s="13"/>
      <c r="M1600" s="14"/>
      <c r="N1600" s="13"/>
      <c r="O1600" s="13" t="s">
        <v>2028</v>
      </c>
    </row>
    <row r="1601" spans="1:15" ht="19.5" customHeight="1" x14ac:dyDescent="0.25">
      <c r="A1601" s="11" t="s">
        <v>1276</v>
      </c>
      <c r="B1601" s="11"/>
      <c r="C1601" s="11" t="s">
        <v>4044</v>
      </c>
      <c r="D1601" s="11" t="s">
        <v>1883</v>
      </c>
      <c r="E1601" s="11" t="s">
        <v>4043</v>
      </c>
      <c r="F1601" s="11"/>
      <c r="G1601" s="11" t="s">
        <v>4042</v>
      </c>
      <c r="H1601" s="11" t="s">
        <v>4041</v>
      </c>
      <c r="I1601" s="11" t="s">
        <v>4040</v>
      </c>
      <c r="J1601" s="11" t="s">
        <v>4039</v>
      </c>
      <c r="K1601" s="11" t="s">
        <v>2033</v>
      </c>
      <c r="L1601" s="11"/>
      <c r="M1601" s="12"/>
      <c r="N1601" s="11"/>
      <c r="O1601" s="11" t="s">
        <v>2028</v>
      </c>
    </row>
    <row r="1602" spans="1:15" ht="19.5" customHeight="1" x14ac:dyDescent="0.25">
      <c r="A1602" s="13" t="s">
        <v>1738</v>
      </c>
      <c r="B1602" s="13"/>
      <c r="C1602" s="13" t="s">
        <v>4038</v>
      </c>
      <c r="D1602" s="13" t="s">
        <v>1883</v>
      </c>
      <c r="E1602" s="13" t="s">
        <v>4037</v>
      </c>
      <c r="F1602" s="13"/>
      <c r="G1602" s="13" t="s">
        <v>1738</v>
      </c>
      <c r="H1602" s="13"/>
      <c r="I1602" s="13" t="s">
        <v>4036</v>
      </c>
      <c r="J1602" s="13" t="s">
        <v>4035</v>
      </c>
      <c r="K1602" s="13" t="s">
        <v>1952</v>
      </c>
      <c r="L1602" s="13"/>
      <c r="M1602" s="14"/>
      <c r="N1602" s="13"/>
      <c r="O1602" s="13" t="s">
        <v>2028</v>
      </c>
    </row>
    <row r="1603" spans="1:15" ht="19.5" customHeight="1" x14ac:dyDescent="0.25">
      <c r="A1603" s="11" t="s">
        <v>1598</v>
      </c>
      <c r="B1603" s="11"/>
      <c r="C1603" s="11" t="s">
        <v>4034</v>
      </c>
      <c r="D1603" s="11" t="s">
        <v>1883</v>
      </c>
      <c r="E1603" s="11" t="s">
        <v>4033</v>
      </c>
      <c r="F1603" s="11"/>
      <c r="G1603" s="11" t="s">
        <v>1598</v>
      </c>
      <c r="H1603" s="11"/>
      <c r="I1603" s="11" t="s">
        <v>4032</v>
      </c>
      <c r="J1603" s="11" t="s">
        <v>4031</v>
      </c>
      <c r="K1603" s="11" t="s">
        <v>2033</v>
      </c>
      <c r="L1603" s="11"/>
      <c r="M1603" s="12"/>
      <c r="N1603" s="11"/>
      <c r="O1603" s="11" t="s">
        <v>2028</v>
      </c>
    </row>
    <row r="1604" spans="1:15" ht="19.5" customHeight="1" x14ac:dyDescent="0.25">
      <c r="A1604" s="13" t="s">
        <v>4028</v>
      </c>
      <c r="B1604" s="13"/>
      <c r="C1604" s="13" t="s">
        <v>4030</v>
      </c>
      <c r="D1604" s="13" t="s">
        <v>1883</v>
      </c>
      <c r="E1604" s="13" t="s">
        <v>4029</v>
      </c>
      <c r="F1604" s="13"/>
      <c r="G1604" s="13" t="s">
        <v>4028</v>
      </c>
      <c r="H1604" s="13"/>
      <c r="I1604" s="13"/>
      <c r="J1604" s="13"/>
      <c r="K1604" s="13"/>
      <c r="L1604" s="13"/>
      <c r="M1604" s="14"/>
      <c r="N1604" s="13"/>
      <c r="O1604" s="13" t="s">
        <v>2028</v>
      </c>
    </row>
    <row r="1605" spans="1:15" ht="19.5" customHeight="1" x14ac:dyDescent="0.25">
      <c r="A1605" s="11" t="s">
        <v>716</v>
      </c>
      <c r="B1605" s="11"/>
      <c r="C1605" s="11" t="s">
        <v>4027</v>
      </c>
      <c r="D1605" s="11" t="s">
        <v>1950</v>
      </c>
      <c r="E1605" s="11" t="s">
        <v>4023</v>
      </c>
      <c r="F1605" s="11"/>
      <c r="G1605" s="11" t="s">
        <v>716</v>
      </c>
      <c r="H1605" s="11"/>
      <c r="I1605" s="11"/>
      <c r="J1605" s="11"/>
      <c r="K1605" s="11"/>
      <c r="L1605" s="11"/>
      <c r="M1605" s="12"/>
      <c r="N1605" s="11"/>
      <c r="O1605" s="11" t="s">
        <v>1916</v>
      </c>
    </row>
    <row r="1606" spans="1:15" ht="19.5" customHeight="1" x14ac:dyDescent="0.25">
      <c r="A1606" s="13" t="s">
        <v>716</v>
      </c>
      <c r="B1606" s="13"/>
      <c r="C1606" s="13" t="s">
        <v>4026</v>
      </c>
      <c r="D1606" s="13" t="s">
        <v>1883</v>
      </c>
      <c r="E1606" s="13" t="s">
        <v>4023</v>
      </c>
      <c r="F1606" s="13" t="s">
        <v>4022</v>
      </c>
      <c r="G1606" s="13" t="s">
        <v>716</v>
      </c>
      <c r="H1606" s="13"/>
      <c r="I1606" s="13" t="s">
        <v>4021</v>
      </c>
      <c r="J1606" s="13" t="s">
        <v>4020</v>
      </c>
      <c r="K1606" s="13" t="s">
        <v>2033</v>
      </c>
      <c r="L1606" s="13"/>
      <c r="M1606" s="14"/>
      <c r="N1606" s="13"/>
      <c r="O1606" s="13" t="s">
        <v>2028</v>
      </c>
    </row>
    <row r="1607" spans="1:15" ht="19.5" customHeight="1" x14ac:dyDescent="0.25">
      <c r="A1607" s="11" t="s">
        <v>716</v>
      </c>
      <c r="B1607" s="11"/>
      <c r="C1607" s="11" t="s">
        <v>4025</v>
      </c>
      <c r="D1607" s="11" t="s">
        <v>1883</v>
      </c>
      <c r="E1607" s="11" t="s">
        <v>4023</v>
      </c>
      <c r="F1607" s="11" t="s">
        <v>4022</v>
      </c>
      <c r="G1607" s="11" t="s">
        <v>716</v>
      </c>
      <c r="H1607" s="11"/>
      <c r="I1607" s="11" t="s">
        <v>4021</v>
      </c>
      <c r="J1607" s="11" t="s">
        <v>4020</v>
      </c>
      <c r="K1607" s="11" t="s">
        <v>2033</v>
      </c>
      <c r="L1607" s="11"/>
      <c r="M1607" s="12"/>
      <c r="N1607" s="11"/>
      <c r="O1607" s="11" t="s">
        <v>2028</v>
      </c>
    </row>
    <row r="1608" spans="1:15" ht="19.5" customHeight="1" x14ac:dyDescent="0.25">
      <c r="A1608" s="13" t="s">
        <v>716</v>
      </c>
      <c r="B1608" s="13"/>
      <c r="C1608" s="13" t="s">
        <v>4024</v>
      </c>
      <c r="D1608" s="13" t="s">
        <v>1883</v>
      </c>
      <c r="E1608" s="13" t="s">
        <v>4023</v>
      </c>
      <c r="F1608" s="13" t="s">
        <v>4022</v>
      </c>
      <c r="G1608" s="13" t="s">
        <v>716</v>
      </c>
      <c r="H1608" s="13"/>
      <c r="I1608" s="13" t="s">
        <v>4021</v>
      </c>
      <c r="J1608" s="13" t="s">
        <v>4020</v>
      </c>
      <c r="K1608" s="13" t="s">
        <v>2033</v>
      </c>
      <c r="L1608" s="13"/>
      <c r="M1608" s="14"/>
      <c r="N1608" s="13"/>
      <c r="O1608" s="13" t="s">
        <v>2028</v>
      </c>
    </row>
    <row r="1609" spans="1:15" ht="19.5" customHeight="1" x14ac:dyDescent="0.25">
      <c r="A1609" s="11" t="s">
        <v>1677</v>
      </c>
      <c r="B1609" s="11"/>
      <c r="C1609" s="11" t="s">
        <v>4019</v>
      </c>
      <c r="D1609" s="11" t="s">
        <v>1883</v>
      </c>
      <c r="E1609" s="11" t="s">
        <v>4018</v>
      </c>
      <c r="F1609" s="11"/>
      <c r="G1609" s="11" t="s">
        <v>1677</v>
      </c>
      <c r="H1609" s="11"/>
      <c r="I1609" s="11"/>
      <c r="J1609" s="11"/>
      <c r="K1609" s="11" t="s">
        <v>4017</v>
      </c>
      <c r="L1609" s="11"/>
      <c r="M1609" s="12"/>
      <c r="N1609" s="11"/>
      <c r="O1609" s="11" t="s">
        <v>1877</v>
      </c>
    </row>
    <row r="1610" spans="1:15" ht="19.5" customHeight="1" x14ac:dyDescent="0.25">
      <c r="A1610" s="13" t="s">
        <v>1156</v>
      </c>
      <c r="B1610" s="13"/>
      <c r="C1610" s="13" t="s">
        <v>4016</v>
      </c>
      <c r="D1610" s="13" t="s">
        <v>1883</v>
      </c>
      <c r="E1610" s="13" t="s">
        <v>4015</v>
      </c>
      <c r="F1610" s="13"/>
      <c r="G1610" s="13" t="s">
        <v>1156</v>
      </c>
      <c r="H1610" s="13"/>
      <c r="I1610" s="13"/>
      <c r="J1610" s="13"/>
      <c r="K1610" s="13"/>
      <c r="L1610" s="13"/>
      <c r="M1610" s="14"/>
      <c r="N1610" s="13"/>
      <c r="O1610" s="13" t="s">
        <v>1877</v>
      </c>
    </row>
    <row r="1611" spans="1:15" ht="19.5" customHeight="1" x14ac:dyDescent="0.25">
      <c r="A1611" s="11" t="s">
        <v>718</v>
      </c>
      <c r="B1611" s="11"/>
      <c r="C1611" s="11" t="s">
        <v>4014</v>
      </c>
      <c r="D1611" s="11" t="s">
        <v>1883</v>
      </c>
      <c r="E1611" s="11" t="s">
        <v>4011</v>
      </c>
      <c r="F1611" s="11" t="s">
        <v>4010</v>
      </c>
      <c r="G1611" s="11" t="s">
        <v>718</v>
      </c>
      <c r="H1611" s="11"/>
      <c r="I1611" s="11" t="s">
        <v>4009</v>
      </c>
      <c r="J1611" s="11" t="s">
        <v>4008</v>
      </c>
      <c r="K1611" s="11" t="s">
        <v>1952</v>
      </c>
      <c r="L1611" s="11"/>
      <c r="M1611" s="12"/>
      <c r="N1611" s="11"/>
      <c r="O1611" s="11" t="s">
        <v>2028</v>
      </c>
    </row>
    <row r="1612" spans="1:15" ht="19.5" customHeight="1" x14ac:dyDescent="0.25">
      <c r="A1612" s="13" t="s">
        <v>718</v>
      </c>
      <c r="B1612" s="13"/>
      <c r="C1612" s="13" t="s">
        <v>4013</v>
      </c>
      <c r="D1612" s="13" t="s">
        <v>1883</v>
      </c>
      <c r="E1612" s="13" t="s">
        <v>4011</v>
      </c>
      <c r="F1612" s="13" t="s">
        <v>4010</v>
      </c>
      <c r="G1612" s="13" t="s">
        <v>718</v>
      </c>
      <c r="H1612" s="13"/>
      <c r="I1612" s="13" t="s">
        <v>4009</v>
      </c>
      <c r="J1612" s="13" t="s">
        <v>4008</v>
      </c>
      <c r="K1612" s="13" t="s">
        <v>1952</v>
      </c>
      <c r="L1612" s="13"/>
      <c r="M1612" s="14"/>
      <c r="N1612" s="13"/>
      <c r="O1612" s="13" t="s">
        <v>2028</v>
      </c>
    </row>
    <row r="1613" spans="1:15" ht="19.5" customHeight="1" x14ac:dyDescent="0.25">
      <c r="A1613" s="11" t="s">
        <v>718</v>
      </c>
      <c r="B1613" s="11"/>
      <c r="C1613" s="11" t="s">
        <v>4012</v>
      </c>
      <c r="D1613" s="11" t="s">
        <v>1883</v>
      </c>
      <c r="E1613" s="11" t="s">
        <v>4011</v>
      </c>
      <c r="F1613" s="11" t="s">
        <v>4010</v>
      </c>
      <c r="G1613" s="11" t="s">
        <v>718</v>
      </c>
      <c r="H1613" s="11"/>
      <c r="I1613" s="11" t="s">
        <v>4009</v>
      </c>
      <c r="J1613" s="11" t="s">
        <v>4008</v>
      </c>
      <c r="K1613" s="11" t="s">
        <v>1952</v>
      </c>
      <c r="L1613" s="11"/>
      <c r="M1613" s="12"/>
      <c r="N1613" s="11"/>
      <c r="O1613" s="11" t="s">
        <v>2028</v>
      </c>
    </row>
    <row r="1614" spans="1:15" ht="19.5" customHeight="1" x14ac:dyDescent="0.25">
      <c r="A1614" s="13" t="s">
        <v>4004</v>
      </c>
      <c r="B1614" s="13"/>
      <c r="C1614" s="13" t="s">
        <v>4007</v>
      </c>
      <c r="D1614" s="13" t="s">
        <v>1883</v>
      </c>
      <c r="E1614" s="13" t="s">
        <v>4006</v>
      </c>
      <c r="F1614" s="13" t="s">
        <v>4005</v>
      </c>
      <c r="G1614" s="13" t="s">
        <v>4004</v>
      </c>
      <c r="H1614" s="13"/>
      <c r="I1614" s="13" t="s">
        <v>3906</v>
      </c>
      <c r="J1614" s="13" t="s">
        <v>4003</v>
      </c>
      <c r="K1614" s="13" t="s">
        <v>1952</v>
      </c>
      <c r="L1614" s="13"/>
      <c r="M1614" s="14"/>
      <c r="N1614" s="13"/>
      <c r="O1614" s="13" t="s">
        <v>1945</v>
      </c>
    </row>
    <row r="1615" spans="1:15" ht="19.5" customHeight="1" x14ac:dyDescent="0.25">
      <c r="A1615" s="11" t="s">
        <v>1064</v>
      </c>
      <c r="B1615" s="11"/>
      <c r="C1615" s="11" t="s">
        <v>1063</v>
      </c>
      <c r="D1615" s="11" t="s">
        <v>1883</v>
      </c>
      <c r="E1615" s="11" t="s">
        <v>4002</v>
      </c>
      <c r="F1615" s="11" t="s">
        <v>4001</v>
      </c>
      <c r="G1615" s="11" t="s">
        <v>1064</v>
      </c>
      <c r="H1615" s="11" t="s">
        <v>4000</v>
      </c>
      <c r="I1615" s="11" t="s">
        <v>3999</v>
      </c>
      <c r="J1615" s="11" t="s">
        <v>3998</v>
      </c>
      <c r="K1615" s="11" t="s">
        <v>1952</v>
      </c>
      <c r="L1615" s="11"/>
      <c r="M1615" s="12"/>
      <c r="N1615" s="11"/>
      <c r="O1615" s="11" t="s">
        <v>1945</v>
      </c>
    </row>
    <row r="1616" spans="1:15" ht="19.5" customHeight="1" x14ac:dyDescent="0.25">
      <c r="A1616" s="13" t="s">
        <v>720</v>
      </c>
      <c r="B1616" s="13"/>
      <c r="C1616" s="13" t="s">
        <v>3997</v>
      </c>
      <c r="D1616" s="13" t="s">
        <v>1883</v>
      </c>
      <c r="E1616" s="13" t="s">
        <v>3993</v>
      </c>
      <c r="F1616" s="13" t="s">
        <v>3992</v>
      </c>
      <c r="G1616" s="13" t="s">
        <v>720</v>
      </c>
      <c r="H1616" s="13"/>
      <c r="I1616" s="13" t="s">
        <v>3991</v>
      </c>
      <c r="J1616" s="13" t="s">
        <v>3985</v>
      </c>
      <c r="K1616" s="13" t="s">
        <v>2033</v>
      </c>
      <c r="L1616" s="13"/>
      <c r="M1616" s="14"/>
      <c r="N1616" s="13"/>
      <c r="O1616" s="13" t="s">
        <v>2028</v>
      </c>
    </row>
    <row r="1617" spans="1:15" ht="19.5" customHeight="1" x14ac:dyDescent="0.25">
      <c r="A1617" s="11" t="s">
        <v>720</v>
      </c>
      <c r="B1617" s="11"/>
      <c r="C1617" s="11" t="s">
        <v>3996</v>
      </c>
      <c r="D1617" s="11" t="s">
        <v>1883</v>
      </c>
      <c r="E1617" s="11" t="s">
        <v>3993</v>
      </c>
      <c r="F1617" s="11" t="s">
        <v>3992</v>
      </c>
      <c r="G1617" s="11" t="s">
        <v>720</v>
      </c>
      <c r="H1617" s="11"/>
      <c r="I1617" s="11" t="s">
        <v>3995</v>
      </c>
      <c r="J1617" s="11" t="s">
        <v>3985</v>
      </c>
      <c r="K1617" s="11" t="s">
        <v>2033</v>
      </c>
      <c r="L1617" s="11"/>
      <c r="M1617" s="12"/>
      <c r="N1617" s="11"/>
      <c r="O1617" s="11" t="s">
        <v>2028</v>
      </c>
    </row>
    <row r="1618" spans="1:15" ht="19.5" customHeight="1" x14ac:dyDescent="0.25">
      <c r="A1618" s="13" t="s">
        <v>720</v>
      </c>
      <c r="B1618" s="13"/>
      <c r="C1618" s="13" t="s">
        <v>3994</v>
      </c>
      <c r="D1618" s="13" t="s">
        <v>1883</v>
      </c>
      <c r="E1618" s="13" t="s">
        <v>3993</v>
      </c>
      <c r="F1618" s="13" t="s">
        <v>3992</v>
      </c>
      <c r="G1618" s="13" t="s">
        <v>720</v>
      </c>
      <c r="H1618" s="13"/>
      <c r="I1618" s="13" t="s">
        <v>3991</v>
      </c>
      <c r="J1618" s="13" t="s">
        <v>3985</v>
      </c>
      <c r="K1618" s="13" t="s">
        <v>2033</v>
      </c>
      <c r="L1618" s="13"/>
      <c r="M1618" s="14"/>
      <c r="N1618" s="13"/>
      <c r="O1618" s="13" t="s">
        <v>2028</v>
      </c>
    </row>
    <row r="1619" spans="1:15" ht="19.5" customHeight="1" x14ac:dyDescent="0.25">
      <c r="A1619" s="11" t="s">
        <v>722</v>
      </c>
      <c r="B1619" s="11"/>
      <c r="C1619" s="11" t="s">
        <v>3990</v>
      </c>
      <c r="D1619" s="11" t="s">
        <v>1883</v>
      </c>
      <c r="E1619" s="11" t="s">
        <v>3988</v>
      </c>
      <c r="F1619" s="11"/>
      <c r="G1619" s="11" t="s">
        <v>722</v>
      </c>
      <c r="H1619" s="11" t="s">
        <v>3987</v>
      </c>
      <c r="I1619" s="11" t="s">
        <v>3986</v>
      </c>
      <c r="J1619" s="11" t="s">
        <v>3985</v>
      </c>
      <c r="K1619" s="11" t="s">
        <v>2033</v>
      </c>
      <c r="L1619" s="11"/>
      <c r="M1619" s="12"/>
      <c r="N1619" s="11"/>
      <c r="O1619" s="11" t="s">
        <v>2028</v>
      </c>
    </row>
    <row r="1620" spans="1:15" ht="19.5" customHeight="1" x14ac:dyDescent="0.25">
      <c r="A1620" s="13" t="s">
        <v>722</v>
      </c>
      <c r="B1620" s="13"/>
      <c r="C1620" s="13" t="s">
        <v>3989</v>
      </c>
      <c r="D1620" s="13" t="s">
        <v>1883</v>
      </c>
      <c r="E1620" s="13" t="s">
        <v>3988</v>
      </c>
      <c r="F1620" s="13"/>
      <c r="G1620" s="13" t="s">
        <v>722</v>
      </c>
      <c r="H1620" s="13" t="s">
        <v>3987</v>
      </c>
      <c r="I1620" s="13" t="s">
        <v>3986</v>
      </c>
      <c r="J1620" s="13" t="s">
        <v>3985</v>
      </c>
      <c r="K1620" s="13" t="s">
        <v>2033</v>
      </c>
      <c r="L1620" s="13"/>
      <c r="M1620" s="14"/>
      <c r="N1620" s="13"/>
      <c r="O1620" s="13" t="s">
        <v>2028</v>
      </c>
    </row>
    <row r="1621" spans="1:15" ht="19.5" customHeight="1" x14ac:dyDescent="0.25">
      <c r="A1621" s="11" t="s">
        <v>724</v>
      </c>
      <c r="B1621" s="11"/>
      <c r="C1621" s="11" t="s">
        <v>3984</v>
      </c>
      <c r="D1621" s="11" t="s">
        <v>1883</v>
      </c>
      <c r="E1621" s="11" t="s">
        <v>3982</v>
      </c>
      <c r="F1621" s="11" t="s">
        <v>3979</v>
      </c>
      <c r="G1621" s="11" t="s">
        <v>724</v>
      </c>
      <c r="H1621" s="11"/>
      <c r="I1621" s="11" t="s">
        <v>3978</v>
      </c>
      <c r="J1621" s="11" t="s">
        <v>3977</v>
      </c>
      <c r="K1621" s="11" t="s">
        <v>1952</v>
      </c>
      <c r="L1621" s="11"/>
      <c r="M1621" s="12"/>
      <c r="N1621" s="11"/>
      <c r="O1621" s="11" t="s">
        <v>2028</v>
      </c>
    </row>
    <row r="1622" spans="1:15" ht="19.5" customHeight="1" x14ac:dyDescent="0.25">
      <c r="A1622" s="13" t="s">
        <v>724</v>
      </c>
      <c r="B1622" s="13"/>
      <c r="C1622" s="13" t="s">
        <v>3983</v>
      </c>
      <c r="D1622" s="13" t="s">
        <v>1883</v>
      </c>
      <c r="E1622" s="13" t="s">
        <v>3982</v>
      </c>
      <c r="F1622" s="13" t="s">
        <v>3979</v>
      </c>
      <c r="G1622" s="13" t="s">
        <v>724</v>
      </c>
      <c r="H1622" s="13"/>
      <c r="I1622" s="13" t="s">
        <v>3978</v>
      </c>
      <c r="J1622" s="13" t="s">
        <v>3977</v>
      </c>
      <c r="K1622" s="13" t="s">
        <v>1952</v>
      </c>
      <c r="L1622" s="13"/>
      <c r="M1622" s="14"/>
      <c r="N1622" s="13"/>
      <c r="O1622" s="13" t="s">
        <v>2028</v>
      </c>
    </row>
    <row r="1623" spans="1:15" ht="19.5" customHeight="1" x14ac:dyDescent="0.25">
      <c r="A1623" s="11" t="s">
        <v>724</v>
      </c>
      <c r="B1623" s="11"/>
      <c r="C1623" s="11" t="s">
        <v>3981</v>
      </c>
      <c r="D1623" s="11" t="s">
        <v>1883</v>
      </c>
      <c r="E1623" s="11" t="s">
        <v>3980</v>
      </c>
      <c r="F1623" s="11" t="s">
        <v>3979</v>
      </c>
      <c r="G1623" s="11" t="s">
        <v>724</v>
      </c>
      <c r="H1623" s="11"/>
      <c r="I1623" s="11" t="s">
        <v>3978</v>
      </c>
      <c r="J1623" s="11" t="s">
        <v>3977</v>
      </c>
      <c r="K1623" s="11" t="s">
        <v>1952</v>
      </c>
      <c r="L1623" s="11"/>
      <c r="M1623" s="12"/>
      <c r="N1623" s="11"/>
      <c r="O1623" s="11" t="s">
        <v>2028</v>
      </c>
    </row>
    <row r="1624" spans="1:15" ht="19.5" customHeight="1" x14ac:dyDescent="0.25">
      <c r="A1624" s="13" t="s">
        <v>3971</v>
      </c>
      <c r="B1624" s="13"/>
      <c r="C1624" s="13" t="s">
        <v>3976</v>
      </c>
      <c r="D1624" s="13" t="s">
        <v>1883</v>
      </c>
      <c r="E1624" s="13" t="s">
        <v>3973</v>
      </c>
      <c r="F1624" s="13" t="s">
        <v>3972</v>
      </c>
      <c r="G1624" s="13" t="s">
        <v>3971</v>
      </c>
      <c r="H1624" s="13"/>
      <c r="I1624" s="13" t="s">
        <v>3970</v>
      </c>
      <c r="J1624" s="13" t="s">
        <v>3969</v>
      </c>
      <c r="K1624" s="13" t="s">
        <v>1952</v>
      </c>
      <c r="L1624" s="13"/>
      <c r="M1624" s="14"/>
      <c r="N1624" s="13"/>
      <c r="O1624" s="13" t="s">
        <v>2028</v>
      </c>
    </row>
    <row r="1625" spans="1:15" ht="19.5" customHeight="1" x14ac:dyDescent="0.25">
      <c r="A1625" s="11" t="s">
        <v>3971</v>
      </c>
      <c r="B1625" s="11"/>
      <c r="C1625" s="11" t="s">
        <v>3975</v>
      </c>
      <c r="D1625" s="11" t="s">
        <v>1883</v>
      </c>
      <c r="E1625" s="11" t="s">
        <v>3973</v>
      </c>
      <c r="F1625" s="11" t="s">
        <v>3972</v>
      </c>
      <c r="G1625" s="11" t="s">
        <v>3971</v>
      </c>
      <c r="H1625" s="11"/>
      <c r="I1625" s="11" t="s">
        <v>3970</v>
      </c>
      <c r="J1625" s="11" t="s">
        <v>3969</v>
      </c>
      <c r="K1625" s="11" t="s">
        <v>1952</v>
      </c>
      <c r="L1625" s="11"/>
      <c r="M1625" s="12"/>
      <c r="N1625" s="11"/>
      <c r="O1625" s="11" t="s">
        <v>2028</v>
      </c>
    </row>
    <row r="1626" spans="1:15" ht="19.5" customHeight="1" x14ac:dyDescent="0.25">
      <c r="A1626" s="13" t="s">
        <v>3971</v>
      </c>
      <c r="B1626" s="13"/>
      <c r="C1626" s="13" t="s">
        <v>3974</v>
      </c>
      <c r="D1626" s="13" t="s">
        <v>1883</v>
      </c>
      <c r="E1626" s="13" t="s">
        <v>3973</v>
      </c>
      <c r="F1626" s="13" t="s">
        <v>3972</v>
      </c>
      <c r="G1626" s="13" t="s">
        <v>3971</v>
      </c>
      <c r="H1626" s="13"/>
      <c r="I1626" s="13" t="s">
        <v>3970</v>
      </c>
      <c r="J1626" s="13" t="s">
        <v>3969</v>
      </c>
      <c r="K1626" s="13" t="s">
        <v>1952</v>
      </c>
      <c r="L1626" s="13"/>
      <c r="M1626" s="14"/>
      <c r="N1626" s="13"/>
      <c r="O1626" s="13" t="s">
        <v>2028</v>
      </c>
    </row>
    <row r="1627" spans="1:15" ht="19.5" customHeight="1" x14ac:dyDescent="0.25">
      <c r="A1627" s="11" t="s">
        <v>1229</v>
      </c>
      <c r="B1627" s="11"/>
      <c r="C1627" s="11" t="s">
        <v>3968</v>
      </c>
      <c r="D1627" s="11" t="s">
        <v>1883</v>
      </c>
      <c r="E1627" s="11" t="s">
        <v>3967</v>
      </c>
      <c r="F1627" s="11" t="s">
        <v>3966</v>
      </c>
      <c r="G1627" s="11" t="s">
        <v>1229</v>
      </c>
      <c r="H1627" s="11"/>
      <c r="I1627" s="11" t="s">
        <v>3965</v>
      </c>
      <c r="J1627" s="11" t="s">
        <v>3964</v>
      </c>
      <c r="K1627" s="11" t="s">
        <v>2033</v>
      </c>
      <c r="L1627" s="11"/>
      <c r="M1627" s="12"/>
      <c r="N1627" s="11"/>
      <c r="O1627" s="11" t="s">
        <v>2028</v>
      </c>
    </row>
    <row r="1628" spans="1:15" ht="19.5" customHeight="1" x14ac:dyDescent="0.25">
      <c r="A1628" s="13" t="s">
        <v>729</v>
      </c>
      <c r="B1628" s="13"/>
      <c r="C1628" s="13" t="s">
        <v>3963</v>
      </c>
      <c r="D1628" s="13" t="s">
        <v>1883</v>
      </c>
      <c r="E1628" s="13" t="s">
        <v>3960</v>
      </c>
      <c r="F1628" s="13" t="s">
        <v>3959</v>
      </c>
      <c r="G1628" s="13" t="s">
        <v>729</v>
      </c>
      <c r="H1628" s="13"/>
      <c r="I1628" s="13" t="s">
        <v>3958</v>
      </c>
      <c r="J1628" s="13" t="s">
        <v>3957</v>
      </c>
      <c r="K1628" s="13" t="s">
        <v>1952</v>
      </c>
      <c r="L1628" s="13"/>
      <c r="M1628" s="14"/>
      <c r="N1628" s="13"/>
      <c r="O1628" s="13" t="s">
        <v>2028</v>
      </c>
    </row>
    <row r="1629" spans="1:15" ht="19.5" customHeight="1" x14ac:dyDescent="0.25">
      <c r="A1629" s="11" t="s">
        <v>729</v>
      </c>
      <c r="B1629" s="11"/>
      <c r="C1629" s="11" t="s">
        <v>3962</v>
      </c>
      <c r="D1629" s="11" t="s">
        <v>1883</v>
      </c>
      <c r="E1629" s="11" t="s">
        <v>3960</v>
      </c>
      <c r="F1629" s="11" t="s">
        <v>3959</v>
      </c>
      <c r="G1629" s="11" t="s">
        <v>729</v>
      </c>
      <c r="H1629" s="11"/>
      <c r="I1629" s="11" t="s">
        <v>3958</v>
      </c>
      <c r="J1629" s="11" t="s">
        <v>3957</v>
      </c>
      <c r="K1629" s="11" t="s">
        <v>1952</v>
      </c>
      <c r="L1629" s="11"/>
      <c r="M1629" s="12"/>
      <c r="N1629" s="11"/>
      <c r="O1629" s="11" t="s">
        <v>2028</v>
      </c>
    </row>
    <row r="1630" spans="1:15" ht="19.5" customHeight="1" x14ac:dyDescent="0.25">
      <c r="A1630" s="13" t="s">
        <v>729</v>
      </c>
      <c r="B1630" s="13"/>
      <c r="C1630" s="13" t="s">
        <v>3961</v>
      </c>
      <c r="D1630" s="13" t="s">
        <v>1883</v>
      </c>
      <c r="E1630" s="13" t="s">
        <v>3960</v>
      </c>
      <c r="F1630" s="13" t="s">
        <v>3959</v>
      </c>
      <c r="G1630" s="13" t="s">
        <v>729</v>
      </c>
      <c r="H1630" s="13"/>
      <c r="I1630" s="13" t="s">
        <v>3958</v>
      </c>
      <c r="J1630" s="13" t="s">
        <v>3957</v>
      </c>
      <c r="K1630" s="13" t="s">
        <v>1952</v>
      </c>
      <c r="L1630" s="13"/>
      <c r="M1630" s="14"/>
      <c r="N1630" s="13"/>
      <c r="O1630" s="13" t="s">
        <v>2028</v>
      </c>
    </row>
    <row r="1631" spans="1:15" ht="19.5" customHeight="1" x14ac:dyDescent="0.25">
      <c r="A1631" s="11" t="s">
        <v>3954</v>
      </c>
      <c r="B1631" s="11"/>
      <c r="C1631" s="11" t="s">
        <v>3956</v>
      </c>
      <c r="D1631" s="11" t="s">
        <v>1883</v>
      </c>
      <c r="E1631" s="11" t="s">
        <v>3955</v>
      </c>
      <c r="F1631" s="11"/>
      <c r="G1631" s="11" t="s">
        <v>3954</v>
      </c>
      <c r="H1631" s="11"/>
      <c r="I1631" s="11" t="s">
        <v>3953</v>
      </c>
      <c r="J1631" s="11" t="s">
        <v>3952</v>
      </c>
      <c r="K1631" s="11" t="s">
        <v>2033</v>
      </c>
      <c r="L1631" s="11"/>
      <c r="M1631" s="12"/>
      <c r="N1631" s="11"/>
      <c r="O1631" s="11" t="s">
        <v>1951</v>
      </c>
    </row>
    <row r="1632" spans="1:15" ht="19.5" customHeight="1" x14ac:dyDescent="0.25">
      <c r="A1632" s="13" t="s">
        <v>3950</v>
      </c>
      <c r="B1632" s="13"/>
      <c r="C1632" s="13" t="s">
        <v>3951</v>
      </c>
      <c r="D1632" s="13" t="s">
        <v>1883</v>
      </c>
      <c r="E1632" s="13" t="s">
        <v>2033</v>
      </c>
      <c r="F1632" s="13"/>
      <c r="G1632" s="13" t="s">
        <v>3950</v>
      </c>
      <c r="H1632" s="13"/>
      <c r="I1632" s="13"/>
      <c r="J1632" s="13"/>
      <c r="K1632" s="13" t="s">
        <v>2033</v>
      </c>
      <c r="L1632" s="13"/>
      <c r="M1632" s="14"/>
      <c r="N1632" s="13"/>
      <c r="O1632" s="13" t="s">
        <v>1951</v>
      </c>
    </row>
    <row r="1633" spans="1:15" ht="19.5" customHeight="1" x14ac:dyDescent="0.25">
      <c r="A1633" s="11" t="s">
        <v>3948</v>
      </c>
      <c r="B1633" s="11"/>
      <c r="C1633" s="11" t="s">
        <v>3949</v>
      </c>
      <c r="D1633" s="11" t="s">
        <v>1883</v>
      </c>
      <c r="E1633" s="11" t="s">
        <v>2033</v>
      </c>
      <c r="F1633" s="11"/>
      <c r="G1633" s="11" t="s">
        <v>3948</v>
      </c>
      <c r="H1633" s="11"/>
      <c r="I1633" s="11" t="s">
        <v>3947</v>
      </c>
      <c r="J1633" s="11" t="s">
        <v>3946</v>
      </c>
      <c r="K1633" s="11" t="s">
        <v>2033</v>
      </c>
      <c r="L1633" s="11"/>
      <c r="M1633" s="12"/>
      <c r="N1633" s="11"/>
      <c r="O1633" s="11" t="s">
        <v>1951</v>
      </c>
    </row>
    <row r="1634" spans="1:15" ht="19.5" customHeight="1" x14ac:dyDescent="0.25">
      <c r="A1634" s="13" t="s">
        <v>3939</v>
      </c>
      <c r="B1634" s="13"/>
      <c r="C1634" s="13" t="s">
        <v>3945</v>
      </c>
      <c r="D1634" s="13" t="s">
        <v>1883</v>
      </c>
      <c r="E1634" s="13" t="s">
        <v>3940</v>
      </c>
      <c r="F1634" s="13"/>
      <c r="G1634" s="13" t="s">
        <v>3939</v>
      </c>
      <c r="H1634" s="13"/>
      <c r="I1634" s="13"/>
      <c r="J1634" s="13"/>
      <c r="K1634" s="13" t="s">
        <v>1952</v>
      </c>
      <c r="L1634" s="13"/>
      <c r="M1634" s="14"/>
      <c r="N1634" s="13"/>
      <c r="O1634" s="13" t="s">
        <v>1951</v>
      </c>
    </row>
    <row r="1635" spans="1:15" ht="19.5" customHeight="1" x14ac:dyDescent="0.25">
      <c r="A1635" s="11" t="s">
        <v>3939</v>
      </c>
      <c r="B1635" s="11"/>
      <c r="C1635" s="11" t="s">
        <v>3944</v>
      </c>
      <c r="D1635" s="11" t="s">
        <v>1883</v>
      </c>
      <c r="E1635" s="11" t="s">
        <v>3940</v>
      </c>
      <c r="F1635" s="11"/>
      <c r="G1635" s="11" t="s">
        <v>3939</v>
      </c>
      <c r="H1635" s="11"/>
      <c r="I1635" s="11"/>
      <c r="J1635" s="11"/>
      <c r="K1635" s="11" t="s">
        <v>1952</v>
      </c>
      <c r="L1635" s="11"/>
      <c r="M1635" s="12"/>
      <c r="N1635" s="11"/>
      <c r="O1635" s="11" t="s">
        <v>1951</v>
      </c>
    </row>
    <row r="1636" spans="1:15" ht="19.5" customHeight="1" x14ac:dyDescent="0.25">
      <c r="A1636" s="13" t="s">
        <v>3939</v>
      </c>
      <c r="B1636" s="13"/>
      <c r="C1636" s="13" t="s">
        <v>3943</v>
      </c>
      <c r="D1636" s="13" t="s">
        <v>1883</v>
      </c>
      <c r="E1636" s="13" t="s">
        <v>3940</v>
      </c>
      <c r="F1636" s="13"/>
      <c r="G1636" s="13" t="s">
        <v>3939</v>
      </c>
      <c r="H1636" s="13"/>
      <c r="I1636" s="13"/>
      <c r="J1636" s="13"/>
      <c r="K1636" s="13" t="s">
        <v>1952</v>
      </c>
      <c r="L1636" s="13"/>
      <c r="M1636" s="14"/>
      <c r="N1636" s="13"/>
      <c r="O1636" s="13" t="s">
        <v>1951</v>
      </c>
    </row>
    <row r="1637" spans="1:15" ht="19.5" customHeight="1" x14ac:dyDescent="0.25">
      <c r="A1637" s="11" t="s">
        <v>3939</v>
      </c>
      <c r="B1637" s="11"/>
      <c r="C1637" s="11" t="s">
        <v>3942</v>
      </c>
      <c r="D1637" s="11" t="s">
        <v>1883</v>
      </c>
      <c r="E1637" s="11" t="s">
        <v>3940</v>
      </c>
      <c r="F1637" s="11"/>
      <c r="G1637" s="11" t="s">
        <v>3939</v>
      </c>
      <c r="H1637" s="11"/>
      <c r="I1637" s="11"/>
      <c r="J1637" s="11"/>
      <c r="K1637" s="11" t="s">
        <v>1952</v>
      </c>
      <c r="L1637" s="11"/>
      <c r="M1637" s="12"/>
      <c r="N1637" s="11"/>
      <c r="O1637" s="11" t="s">
        <v>1951</v>
      </c>
    </row>
    <row r="1638" spans="1:15" ht="19.5" customHeight="1" x14ac:dyDescent="0.25">
      <c r="A1638" s="13" t="s">
        <v>3939</v>
      </c>
      <c r="B1638" s="13"/>
      <c r="C1638" s="13" t="s">
        <v>3941</v>
      </c>
      <c r="D1638" s="13" t="s">
        <v>1883</v>
      </c>
      <c r="E1638" s="13" t="s">
        <v>3940</v>
      </c>
      <c r="F1638" s="13"/>
      <c r="G1638" s="13" t="s">
        <v>3939</v>
      </c>
      <c r="H1638" s="13"/>
      <c r="I1638" s="13"/>
      <c r="J1638" s="13"/>
      <c r="K1638" s="13" t="s">
        <v>1952</v>
      </c>
      <c r="L1638" s="13"/>
      <c r="M1638" s="14"/>
      <c r="N1638" s="13"/>
      <c r="O1638" s="13" t="s">
        <v>1951</v>
      </c>
    </row>
    <row r="1639" spans="1:15" ht="19.5" customHeight="1" x14ac:dyDescent="0.25">
      <c r="A1639" s="11" t="s">
        <v>3937</v>
      </c>
      <c r="B1639" s="11"/>
      <c r="C1639" s="11" t="s">
        <v>3938</v>
      </c>
      <c r="D1639" s="11" t="s">
        <v>1883</v>
      </c>
      <c r="E1639" s="11"/>
      <c r="F1639" s="11"/>
      <c r="G1639" s="11" t="s">
        <v>3937</v>
      </c>
      <c r="H1639" s="11"/>
      <c r="I1639" s="11"/>
      <c r="J1639" s="11"/>
      <c r="K1639" s="11"/>
      <c r="L1639" s="11"/>
      <c r="M1639" s="12"/>
      <c r="N1639" s="11"/>
      <c r="O1639" s="11"/>
    </row>
    <row r="1640" spans="1:15" ht="19.5" customHeight="1" x14ac:dyDescent="0.25">
      <c r="A1640" s="13" t="s">
        <v>731</v>
      </c>
      <c r="B1640" s="13"/>
      <c r="C1640" s="13" t="s">
        <v>3936</v>
      </c>
      <c r="D1640" s="13" t="s">
        <v>1883</v>
      </c>
      <c r="E1640" s="13" t="s">
        <v>3933</v>
      </c>
      <c r="F1640" s="13"/>
      <c r="G1640" s="13" t="s">
        <v>731</v>
      </c>
      <c r="H1640" s="13" t="s">
        <v>3932</v>
      </c>
      <c r="I1640" s="13" t="s">
        <v>3931</v>
      </c>
      <c r="J1640" s="13" t="s">
        <v>3930</v>
      </c>
      <c r="K1640" s="13" t="s">
        <v>2313</v>
      </c>
      <c r="L1640" s="13"/>
      <c r="M1640" s="14"/>
      <c r="N1640" s="13"/>
      <c r="O1640" s="13" t="s">
        <v>1877</v>
      </c>
    </row>
    <row r="1641" spans="1:15" ht="19.5" customHeight="1" x14ac:dyDescent="0.25">
      <c r="A1641" s="11" t="s">
        <v>731</v>
      </c>
      <c r="B1641" s="11"/>
      <c r="C1641" s="11" t="s">
        <v>3935</v>
      </c>
      <c r="D1641" s="11" t="s">
        <v>1883</v>
      </c>
      <c r="E1641" s="11" t="s">
        <v>3933</v>
      </c>
      <c r="F1641" s="11"/>
      <c r="G1641" s="11" t="s">
        <v>731</v>
      </c>
      <c r="H1641" s="11" t="s">
        <v>3932</v>
      </c>
      <c r="I1641" s="11" t="s">
        <v>3931</v>
      </c>
      <c r="J1641" s="11" t="s">
        <v>3930</v>
      </c>
      <c r="K1641" s="11" t="s">
        <v>2313</v>
      </c>
      <c r="L1641" s="11"/>
      <c r="M1641" s="12"/>
      <c r="N1641" s="11"/>
      <c r="O1641" s="11" t="s">
        <v>1877</v>
      </c>
    </row>
    <row r="1642" spans="1:15" ht="19.5" customHeight="1" x14ac:dyDescent="0.25">
      <c r="A1642" s="13" t="s">
        <v>731</v>
      </c>
      <c r="B1642" s="13"/>
      <c r="C1642" s="13" t="s">
        <v>3934</v>
      </c>
      <c r="D1642" s="13" t="s">
        <v>1883</v>
      </c>
      <c r="E1642" s="13" t="s">
        <v>3933</v>
      </c>
      <c r="F1642" s="13"/>
      <c r="G1642" s="13" t="s">
        <v>731</v>
      </c>
      <c r="H1642" s="13" t="s">
        <v>3932</v>
      </c>
      <c r="I1642" s="13" t="s">
        <v>3931</v>
      </c>
      <c r="J1642" s="13" t="s">
        <v>3930</v>
      </c>
      <c r="K1642" s="13" t="s">
        <v>2313</v>
      </c>
      <c r="L1642" s="13"/>
      <c r="M1642" s="14"/>
      <c r="N1642" s="13"/>
      <c r="O1642" s="13" t="s">
        <v>1877</v>
      </c>
    </row>
    <row r="1643" spans="1:15" ht="19.5" customHeight="1" x14ac:dyDescent="0.25">
      <c r="A1643" s="11" t="s">
        <v>733</v>
      </c>
      <c r="B1643" s="11"/>
      <c r="C1643" s="11" t="s">
        <v>3929</v>
      </c>
      <c r="D1643" s="11" t="s">
        <v>1883</v>
      </c>
      <c r="E1643" s="11" t="s">
        <v>3928</v>
      </c>
      <c r="F1643" s="11"/>
      <c r="G1643" s="11" t="s">
        <v>733</v>
      </c>
      <c r="H1643" s="11"/>
      <c r="I1643" s="11" t="s">
        <v>3924</v>
      </c>
      <c r="J1643" s="11" t="s">
        <v>3923</v>
      </c>
      <c r="K1643" s="11" t="s">
        <v>3916</v>
      </c>
      <c r="L1643" s="11"/>
      <c r="M1643" s="12"/>
      <c r="N1643" s="11"/>
      <c r="O1643" s="11" t="s">
        <v>1877</v>
      </c>
    </row>
    <row r="1644" spans="1:15" ht="19.5" customHeight="1" x14ac:dyDescent="0.25">
      <c r="A1644" s="13" t="s">
        <v>733</v>
      </c>
      <c r="B1644" s="13"/>
      <c r="C1644" s="13" t="s">
        <v>3927</v>
      </c>
      <c r="D1644" s="13" t="s">
        <v>1883</v>
      </c>
      <c r="E1644" s="13" t="s">
        <v>3926</v>
      </c>
      <c r="F1644" s="13"/>
      <c r="G1644" s="13" t="s">
        <v>733</v>
      </c>
      <c r="H1644" s="13"/>
      <c r="I1644" s="13" t="s">
        <v>3924</v>
      </c>
      <c r="J1644" s="13" t="s">
        <v>3923</v>
      </c>
      <c r="K1644" s="13" t="s">
        <v>3729</v>
      </c>
      <c r="L1644" s="13"/>
      <c r="M1644" s="14"/>
      <c r="N1644" s="13"/>
      <c r="O1644" s="13" t="s">
        <v>1877</v>
      </c>
    </row>
    <row r="1645" spans="1:15" ht="19.5" customHeight="1" x14ac:dyDescent="0.25">
      <c r="A1645" s="11" t="s">
        <v>733</v>
      </c>
      <c r="B1645" s="11"/>
      <c r="C1645" s="11" t="s">
        <v>3925</v>
      </c>
      <c r="D1645" s="11" t="s">
        <v>1883</v>
      </c>
      <c r="E1645" s="11"/>
      <c r="F1645" s="11"/>
      <c r="G1645" s="11" t="s">
        <v>733</v>
      </c>
      <c r="H1645" s="11"/>
      <c r="I1645" s="11" t="s">
        <v>3924</v>
      </c>
      <c r="J1645" s="11" t="s">
        <v>3923</v>
      </c>
      <c r="K1645" s="11" t="s">
        <v>3729</v>
      </c>
      <c r="L1645" s="11"/>
      <c r="M1645" s="12"/>
      <c r="N1645" s="11"/>
      <c r="O1645" s="11" t="s">
        <v>1877</v>
      </c>
    </row>
    <row r="1646" spans="1:15" ht="19.5" customHeight="1" x14ac:dyDescent="0.25">
      <c r="A1646" s="13" t="s">
        <v>3922</v>
      </c>
      <c r="B1646" s="13"/>
      <c r="C1646" s="13" t="s">
        <v>3921</v>
      </c>
      <c r="D1646" s="13" t="s">
        <v>1883</v>
      </c>
      <c r="E1646" s="13" t="s">
        <v>3920</v>
      </c>
      <c r="F1646" s="13"/>
      <c r="G1646" s="13" t="s">
        <v>3919</v>
      </c>
      <c r="H1646" s="13"/>
      <c r="I1646" s="13" t="s">
        <v>3918</v>
      </c>
      <c r="J1646" s="13" t="s">
        <v>3917</v>
      </c>
      <c r="K1646" s="13" t="s">
        <v>3916</v>
      </c>
      <c r="L1646" s="13"/>
      <c r="M1646" s="14"/>
      <c r="N1646" s="13"/>
      <c r="O1646" s="13" t="s">
        <v>1877</v>
      </c>
    </row>
    <row r="1647" spans="1:15" ht="19.5" customHeight="1" x14ac:dyDescent="0.25">
      <c r="A1647" s="11" t="s">
        <v>735</v>
      </c>
      <c r="B1647" s="11"/>
      <c r="C1647" s="11" t="s">
        <v>3915</v>
      </c>
      <c r="D1647" s="11" t="s">
        <v>1950</v>
      </c>
      <c r="E1647" s="11" t="s">
        <v>3914</v>
      </c>
      <c r="F1647" s="11" t="s">
        <v>3913</v>
      </c>
      <c r="G1647" s="11" t="s">
        <v>735</v>
      </c>
      <c r="H1647" s="11"/>
      <c r="I1647" s="11" t="s">
        <v>3912</v>
      </c>
      <c r="J1647" s="11" t="s">
        <v>3911</v>
      </c>
      <c r="K1647" s="11" t="s">
        <v>2122</v>
      </c>
      <c r="L1647" s="11"/>
      <c r="M1647" s="12"/>
      <c r="N1647" s="11"/>
      <c r="O1647" s="11" t="s">
        <v>2028</v>
      </c>
    </row>
    <row r="1648" spans="1:15" ht="19.5" customHeight="1" x14ac:dyDescent="0.25">
      <c r="A1648" s="13" t="s">
        <v>3907</v>
      </c>
      <c r="B1648" s="13"/>
      <c r="C1648" s="13" t="s">
        <v>3910</v>
      </c>
      <c r="D1648" s="13" t="s">
        <v>1950</v>
      </c>
      <c r="E1648" s="13" t="s">
        <v>3909</v>
      </c>
      <c r="F1648" s="13" t="s">
        <v>3908</v>
      </c>
      <c r="G1648" s="13" t="s">
        <v>3907</v>
      </c>
      <c r="H1648" s="13"/>
      <c r="I1648" s="13" t="s">
        <v>3906</v>
      </c>
      <c r="J1648" s="13" t="s">
        <v>3905</v>
      </c>
      <c r="K1648" s="13" t="s">
        <v>1952</v>
      </c>
      <c r="L1648" s="13"/>
      <c r="M1648" s="14"/>
      <c r="N1648" s="13"/>
      <c r="O1648" s="13" t="s">
        <v>1945</v>
      </c>
    </row>
    <row r="1649" spans="1:15" ht="19.5" customHeight="1" x14ac:dyDescent="0.25">
      <c r="A1649" s="11" t="s">
        <v>737</v>
      </c>
      <c r="B1649" s="11"/>
      <c r="C1649" s="11" t="s">
        <v>736</v>
      </c>
      <c r="D1649" s="11" t="s">
        <v>1950</v>
      </c>
      <c r="E1649" s="11" t="s">
        <v>3904</v>
      </c>
      <c r="F1649" s="11"/>
      <c r="G1649" s="11" t="s">
        <v>737</v>
      </c>
      <c r="H1649" s="11"/>
      <c r="I1649" s="11" t="s">
        <v>3903</v>
      </c>
      <c r="J1649" s="11" t="s">
        <v>3902</v>
      </c>
      <c r="K1649" s="11" t="s">
        <v>2033</v>
      </c>
      <c r="L1649" s="11"/>
      <c r="M1649" s="12"/>
      <c r="N1649" s="11"/>
      <c r="O1649" s="11" t="s">
        <v>1945</v>
      </c>
    </row>
    <row r="1650" spans="1:15" ht="19.5" customHeight="1" x14ac:dyDescent="0.25">
      <c r="A1650" s="13" t="s">
        <v>1464</v>
      </c>
      <c r="B1650" s="13"/>
      <c r="C1650" s="13" t="s">
        <v>1463</v>
      </c>
      <c r="D1650" s="13" t="s">
        <v>1883</v>
      </c>
      <c r="E1650" s="13" t="s">
        <v>3901</v>
      </c>
      <c r="F1650" s="13"/>
      <c r="G1650" s="13" t="s">
        <v>1464</v>
      </c>
      <c r="H1650" s="13"/>
      <c r="I1650" s="13" t="s">
        <v>1948</v>
      </c>
      <c r="J1650" s="13" t="s">
        <v>3900</v>
      </c>
      <c r="K1650" s="13" t="s">
        <v>1952</v>
      </c>
      <c r="L1650" s="13"/>
      <c r="M1650" s="14"/>
      <c r="N1650" s="13"/>
      <c r="O1650" s="13" t="s">
        <v>1945</v>
      </c>
    </row>
    <row r="1651" spans="1:15" ht="19.5" customHeight="1" x14ac:dyDescent="0.25">
      <c r="A1651" s="11" t="s">
        <v>3898</v>
      </c>
      <c r="B1651" s="11"/>
      <c r="C1651" s="11" t="s">
        <v>3899</v>
      </c>
      <c r="D1651" s="11" t="s">
        <v>1883</v>
      </c>
      <c r="E1651" s="11"/>
      <c r="F1651" s="11"/>
      <c r="G1651" s="11" t="s">
        <v>3898</v>
      </c>
      <c r="H1651" s="11"/>
      <c r="I1651" s="11"/>
      <c r="J1651" s="11"/>
      <c r="K1651" s="11"/>
      <c r="L1651" s="11"/>
      <c r="M1651" s="12"/>
      <c r="N1651" s="11"/>
      <c r="O1651" s="11"/>
    </row>
    <row r="1652" spans="1:15" ht="19.5" customHeight="1" x14ac:dyDescent="0.25">
      <c r="A1652" s="13" t="s">
        <v>2965</v>
      </c>
      <c r="B1652" s="13"/>
      <c r="C1652" s="13" t="s">
        <v>3897</v>
      </c>
      <c r="D1652" s="13" t="s">
        <v>1883</v>
      </c>
      <c r="E1652" s="13"/>
      <c r="F1652" s="13"/>
      <c r="G1652" s="13" t="s">
        <v>2965</v>
      </c>
      <c r="H1652" s="13"/>
      <c r="I1652" s="13"/>
      <c r="J1652" s="13"/>
      <c r="K1652" s="13"/>
      <c r="L1652" s="13"/>
      <c r="M1652" s="14"/>
      <c r="N1652" s="13"/>
      <c r="O1652" s="13"/>
    </row>
    <row r="1653" spans="1:15" ht="19.5" customHeight="1" x14ac:dyDescent="0.25">
      <c r="A1653" s="11" t="s">
        <v>3894</v>
      </c>
      <c r="B1653" s="11"/>
      <c r="C1653" s="11" t="s">
        <v>3896</v>
      </c>
      <c r="D1653" s="11" t="s">
        <v>1883</v>
      </c>
      <c r="E1653" s="11" t="s">
        <v>3895</v>
      </c>
      <c r="F1653" s="11"/>
      <c r="G1653" s="11" t="s">
        <v>3894</v>
      </c>
      <c r="H1653" s="11" t="s">
        <v>3893</v>
      </c>
      <c r="I1653" s="11" t="s">
        <v>3892</v>
      </c>
      <c r="J1653" s="11" t="s">
        <v>3891</v>
      </c>
      <c r="K1653" s="11" t="s">
        <v>1878</v>
      </c>
      <c r="L1653" s="11"/>
      <c r="M1653" s="12"/>
      <c r="N1653" s="11"/>
      <c r="O1653" s="11" t="s">
        <v>1945</v>
      </c>
    </row>
    <row r="1654" spans="1:15" ht="19.5" customHeight="1" x14ac:dyDescent="0.25">
      <c r="A1654" s="13" t="s">
        <v>3889</v>
      </c>
      <c r="B1654" s="13"/>
      <c r="C1654" s="13" t="s">
        <v>3890</v>
      </c>
      <c r="D1654" s="13" t="s">
        <v>1950</v>
      </c>
      <c r="E1654" s="13" t="s">
        <v>1952</v>
      </c>
      <c r="F1654" s="13"/>
      <c r="G1654" s="13" t="s">
        <v>3889</v>
      </c>
      <c r="H1654" s="13"/>
      <c r="I1654" s="13" t="s">
        <v>3888</v>
      </c>
      <c r="J1654" s="13" t="s">
        <v>3888</v>
      </c>
      <c r="K1654" s="13"/>
      <c r="L1654" s="13"/>
      <c r="M1654" s="14"/>
      <c r="N1654" s="13"/>
      <c r="O1654" s="13" t="s">
        <v>2808</v>
      </c>
    </row>
    <row r="1655" spans="1:15" ht="19.5" customHeight="1" x14ac:dyDescent="0.25">
      <c r="A1655" s="11" t="s">
        <v>3886</v>
      </c>
      <c r="B1655" s="11"/>
      <c r="C1655" s="11" t="s">
        <v>3887</v>
      </c>
      <c r="D1655" s="11" t="s">
        <v>1883</v>
      </c>
      <c r="E1655" s="11"/>
      <c r="F1655" s="11"/>
      <c r="G1655" s="11" t="s">
        <v>3886</v>
      </c>
      <c r="H1655" s="11"/>
      <c r="I1655" s="11"/>
      <c r="J1655" s="11"/>
      <c r="K1655" s="11"/>
      <c r="L1655" s="11"/>
      <c r="M1655" s="12"/>
      <c r="N1655" s="11"/>
      <c r="O1655" s="11"/>
    </row>
    <row r="1656" spans="1:15" ht="19.5" customHeight="1" x14ac:dyDescent="0.25">
      <c r="A1656" s="13" t="s">
        <v>1596</v>
      </c>
      <c r="B1656" s="13"/>
      <c r="C1656" s="13" t="s">
        <v>1595</v>
      </c>
      <c r="D1656" s="13" t="s">
        <v>1950</v>
      </c>
      <c r="E1656" s="13" t="s">
        <v>3885</v>
      </c>
      <c r="F1656" s="13"/>
      <c r="G1656" s="13" t="s">
        <v>1596</v>
      </c>
      <c r="H1656" s="13"/>
      <c r="I1656" s="13" t="s">
        <v>3059</v>
      </c>
      <c r="J1656" s="13" t="s">
        <v>3884</v>
      </c>
      <c r="K1656" s="13" t="s">
        <v>1952</v>
      </c>
      <c r="L1656" s="13"/>
      <c r="M1656" s="14"/>
      <c r="N1656" s="13"/>
      <c r="O1656" s="13" t="s">
        <v>1945</v>
      </c>
    </row>
    <row r="1657" spans="1:15" ht="19.5" customHeight="1" x14ac:dyDescent="0.25">
      <c r="A1657" s="11" t="s">
        <v>3881</v>
      </c>
      <c r="B1657" s="11"/>
      <c r="C1657" s="11" t="s">
        <v>3883</v>
      </c>
      <c r="D1657" s="11" t="s">
        <v>1950</v>
      </c>
      <c r="E1657" s="11" t="s">
        <v>3882</v>
      </c>
      <c r="F1657" s="11"/>
      <c r="G1657" s="11" t="s">
        <v>3881</v>
      </c>
      <c r="H1657" s="11"/>
      <c r="I1657" s="11" t="s">
        <v>3880</v>
      </c>
      <c r="J1657" s="11" t="s">
        <v>3879</v>
      </c>
      <c r="K1657" s="11" t="s">
        <v>2033</v>
      </c>
      <c r="L1657" s="11"/>
      <c r="M1657" s="12"/>
      <c r="N1657" s="11"/>
      <c r="O1657" s="11" t="s">
        <v>1945</v>
      </c>
    </row>
    <row r="1658" spans="1:15" ht="19.5" customHeight="1" x14ac:dyDescent="0.25">
      <c r="A1658" s="13" t="s">
        <v>3876</v>
      </c>
      <c r="B1658" s="13"/>
      <c r="C1658" s="13" t="s">
        <v>3878</v>
      </c>
      <c r="D1658" s="13" t="s">
        <v>1950</v>
      </c>
      <c r="E1658" s="13" t="s">
        <v>3877</v>
      </c>
      <c r="F1658" s="13"/>
      <c r="G1658" s="13" t="s">
        <v>3876</v>
      </c>
      <c r="H1658" s="13"/>
      <c r="I1658" s="13" t="s">
        <v>3875</v>
      </c>
      <c r="J1658" s="13" t="s">
        <v>3874</v>
      </c>
      <c r="K1658" s="13" t="s">
        <v>1952</v>
      </c>
      <c r="L1658" s="13"/>
      <c r="M1658" s="14"/>
      <c r="N1658" s="13"/>
      <c r="O1658" s="13" t="s">
        <v>1945</v>
      </c>
    </row>
    <row r="1659" spans="1:15" ht="19.5" customHeight="1" x14ac:dyDescent="0.25">
      <c r="A1659" s="11" t="s">
        <v>3869</v>
      </c>
      <c r="B1659" s="11"/>
      <c r="C1659" s="11" t="s">
        <v>3873</v>
      </c>
      <c r="D1659" s="11" t="s">
        <v>1883</v>
      </c>
      <c r="E1659" s="11"/>
      <c r="F1659" s="11"/>
      <c r="G1659" s="11" t="s">
        <v>3869</v>
      </c>
      <c r="H1659" s="11"/>
      <c r="I1659" s="11"/>
      <c r="J1659" s="11"/>
      <c r="K1659" s="11"/>
      <c r="L1659" s="11"/>
      <c r="M1659" s="12"/>
      <c r="N1659" s="11"/>
      <c r="O1659" s="11"/>
    </row>
    <row r="1660" spans="1:15" ht="19.5" customHeight="1" x14ac:dyDescent="0.25">
      <c r="A1660" s="13" t="s">
        <v>3869</v>
      </c>
      <c r="B1660" s="13"/>
      <c r="C1660" s="13" t="s">
        <v>3872</v>
      </c>
      <c r="D1660" s="13" t="s">
        <v>1883</v>
      </c>
      <c r="E1660" s="13"/>
      <c r="F1660" s="13"/>
      <c r="G1660" s="13" t="s">
        <v>3869</v>
      </c>
      <c r="H1660" s="13"/>
      <c r="I1660" s="13"/>
      <c r="J1660" s="13"/>
      <c r="K1660" s="13"/>
      <c r="L1660" s="13"/>
      <c r="M1660" s="14"/>
      <c r="N1660" s="13"/>
      <c r="O1660" s="13"/>
    </row>
    <row r="1661" spans="1:15" ht="19.5" customHeight="1" x14ac:dyDescent="0.25">
      <c r="A1661" s="11" t="s">
        <v>3869</v>
      </c>
      <c r="B1661" s="11"/>
      <c r="C1661" s="11" t="s">
        <v>3871</v>
      </c>
      <c r="D1661" s="11" t="s">
        <v>1883</v>
      </c>
      <c r="E1661" s="11"/>
      <c r="F1661" s="11"/>
      <c r="G1661" s="11" t="s">
        <v>3869</v>
      </c>
      <c r="H1661" s="11"/>
      <c r="I1661" s="11"/>
      <c r="J1661" s="11"/>
      <c r="K1661" s="11"/>
      <c r="L1661" s="11"/>
      <c r="M1661" s="12"/>
      <c r="N1661" s="11"/>
      <c r="O1661" s="11"/>
    </row>
    <row r="1662" spans="1:15" ht="19.5" customHeight="1" x14ac:dyDescent="0.25">
      <c r="A1662" s="13" t="s">
        <v>3869</v>
      </c>
      <c r="B1662" s="13"/>
      <c r="C1662" s="13" t="s">
        <v>3870</v>
      </c>
      <c r="D1662" s="13" t="s">
        <v>1883</v>
      </c>
      <c r="E1662" s="13"/>
      <c r="F1662" s="13"/>
      <c r="G1662" s="13" t="s">
        <v>3869</v>
      </c>
      <c r="H1662" s="13"/>
      <c r="I1662" s="13"/>
      <c r="J1662" s="13"/>
      <c r="K1662" s="13"/>
      <c r="L1662" s="13"/>
      <c r="M1662" s="14"/>
      <c r="N1662" s="13"/>
      <c r="O1662" s="13"/>
    </row>
    <row r="1663" spans="1:15" ht="19.5" customHeight="1" x14ac:dyDescent="0.25">
      <c r="A1663" s="11" t="s">
        <v>1811</v>
      </c>
      <c r="B1663" s="11"/>
      <c r="C1663" s="11" t="s">
        <v>3868</v>
      </c>
      <c r="D1663" s="11" t="s">
        <v>1883</v>
      </c>
      <c r="E1663" s="11" t="s">
        <v>3867</v>
      </c>
      <c r="F1663" s="11"/>
      <c r="G1663" s="11" t="s">
        <v>1811</v>
      </c>
      <c r="H1663" s="11"/>
      <c r="I1663" s="11" t="s">
        <v>3866</v>
      </c>
      <c r="J1663" s="11" t="s">
        <v>3865</v>
      </c>
      <c r="K1663" s="11" t="s">
        <v>2093</v>
      </c>
      <c r="L1663" s="11"/>
      <c r="M1663" s="12"/>
      <c r="N1663" s="11"/>
      <c r="O1663" s="11" t="s">
        <v>1877</v>
      </c>
    </row>
    <row r="1664" spans="1:15" ht="19.5" customHeight="1" x14ac:dyDescent="0.25">
      <c r="A1664" s="13" t="s">
        <v>743</v>
      </c>
      <c r="B1664" s="13"/>
      <c r="C1664" s="13" t="s">
        <v>3864</v>
      </c>
      <c r="D1664" s="13" t="s">
        <v>1883</v>
      </c>
      <c r="E1664" s="13" t="s">
        <v>3861</v>
      </c>
      <c r="F1664" s="13"/>
      <c r="G1664" s="13" t="s">
        <v>743</v>
      </c>
      <c r="H1664" s="13"/>
      <c r="I1664" s="13" t="s">
        <v>3860</v>
      </c>
      <c r="J1664" s="13" t="s">
        <v>3859</v>
      </c>
      <c r="K1664" s="13" t="s">
        <v>3021</v>
      </c>
      <c r="L1664" s="13"/>
      <c r="M1664" s="14"/>
      <c r="N1664" s="13"/>
      <c r="O1664" s="13" t="s">
        <v>1877</v>
      </c>
    </row>
    <row r="1665" spans="1:15" ht="19.5" customHeight="1" x14ac:dyDescent="0.25">
      <c r="A1665" s="11" t="s">
        <v>743</v>
      </c>
      <c r="B1665" s="11"/>
      <c r="C1665" s="11" t="s">
        <v>3863</v>
      </c>
      <c r="D1665" s="11" t="s">
        <v>1883</v>
      </c>
      <c r="E1665" s="11" t="s">
        <v>3861</v>
      </c>
      <c r="F1665" s="11"/>
      <c r="G1665" s="11" t="s">
        <v>743</v>
      </c>
      <c r="H1665" s="11"/>
      <c r="I1665" s="11" t="s">
        <v>3860</v>
      </c>
      <c r="J1665" s="11" t="s">
        <v>3859</v>
      </c>
      <c r="K1665" s="11" t="s">
        <v>3021</v>
      </c>
      <c r="L1665" s="11"/>
      <c r="M1665" s="12"/>
      <c r="N1665" s="11"/>
      <c r="O1665" s="11" t="s">
        <v>1877</v>
      </c>
    </row>
    <row r="1666" spans="1:15" ht="19.5" customHeight="1" x14ac:dyDescent="0.25">
      <c r="A1666" s="13" t="s">
        <v>743</v>
      </c>
      <c r="B1666" s="13"/>
      <c r="C1666" s="13" t="s">
        <v>3862</v>
      </c>
      <c r="D1666" s="13" t="s">
        <v>1883</v>
      </c>
      <c r="E1666" s="13" t="s">
        <v>3861</v>
      </c>
      <c r="F1666" s="13"/>
      <c r="G1666" s="13" t="s">
        <v>743</v>
      </c>
      <c r="H1666" s="13"/>
      <c r="I1666" s="13" t="s">
        <v>3860</v>
      </c>
      <c r="J1666" s="13" t="s">
        <v>3859</v>
      </c>
      <c r="K1666" s="13" t="s">
        <v>3021</v>
      </c>
      <c r="L1666" s="13"/>
      <c r="M1666" s="14"/>
      <c r="N1666" s="13"/>
      <c r="O1666" s="13" t="s">
        <v>1877</v>
      </c>
    </row>
    <row r="1667" spans="1:15" ht="19.5" customHeight="1" x14ac:dyDescent="0.25">
      <c r="A1667" s="11" t="s">
        <v>1233</v>
      </c>
      <c r="B1667" s="11"/>
      <c r="C1667" s="11" t="s">
        <v>3858</v>
      </c>
      <c r="D1667" s="11" t="s">
        <v>1883</v>
      </c>
      <c r="E1667" s="11" t="s">
        <v>3857</v>
      </c>
      <c r="F1667" s="11"/>
      <c r="G1667" s="11" t="s">
        <v>3856</v>
      </c>
      <c r="H1667" s="11" t="s">
        <v>3855</v>
      </c>
      <c r="I1667" s="11" t="s">
        <v>3854</v>
      </c>
      <c r="J1667" s="11" t="s">
        <v>3853</v>
      </c>
      <c r="K1667" s="11" t="s">
        <v>3852</v>
      </c>
      <c r="L1667" s="11"/>
      <c r="M1667" s="12"/>
      <c r="N1667" s="11"/>
      <c r="O1667" s="11" t="s">
        <v>1877</v>
      </c>
    </row>
    <row r="1668" spans="1:15" ht="19.5" customHeight="1" x14ac:dyDescent="0.25">
      <c r="A1668" s="13" t="s">
        <v>745</v>
      </c>
      <c r="B1668" s="13"/>
      <c r="C1668" s="13" t="s">
        <v>3851</v>
      </c>
      <c r="D1668" s="13" t="s">
        <v>1883</v>
      </c>
      <c r="E1668" s="13" t="s">
        <v>3848</v>
      </c>
      <c r="F1668" s="13"/>
      <c r="G1668" s="13" t="s">
        <v>745</v>
      </c>
      <c r="H1668" s="13"/>
      <c r="I1668" s="13" t="s">
        <v>3847</v>
      </c>
      <c r="J1668" s="13" t="s">
        <v>3846</v>
      </c>
      <c r="K1668" s="13" t="s">
        <v>2093</v>
      </c>
      <c r="L1668" s="13"/>
      <c r="M1668" s="14"/>
      <c r="N1668" s="13"/>
      <c r="O1668" s="13" t="s">
        <v>1877</v>
      </c>
    </row>
    <row r="1669" spans="1:15" ht="19.5" customHeight="1" x14ac:dyDescent="0.25">
      <c r="A1669" s="11" t="s">
        <v>745</v>
      </c>
      <c r="B1669" s="11"/>
      <c r="C1669" s="11" t="s">
        <v>3850</v>
      </c>
      <c r="D1669" s="11" t="s">
        <v>1883</v>
      </c>
      <c r="E1669" s="11" t="s">
        <v>3848</v>
      </c>
      <c r="F1669" s="11"/>
      <c r="G1669" s="11" t="s">
        <v>745</v>
      </c>
      <c r="H1669" s="11"/>
      <c r="I1669" s="11" t="s">
        <v>3847</v>
      </c>
      <c r="J1669" s="11" t="s">
        <v>3846</v>
      </c>
      <c r="K1669" s="11" t="s">
        <v>2093</v>
      </c>
      <c r="L1669" s="11"/>
      <c r="M1669" s="12"/>
      <c r="N1669" s="11"/>
      <c r="O1669" s="11" t="s">
        <v>1877</v>
      </c>
    </row>
    <row r="1670" spans="1:15" ht="19.5" customHeight="1" x14ac:dyDescent="0.25">
      <c r="A1670" s="13" t="s">
        <v>745</v>
      </c>
      <c r="B1670" s="13"/>
      <c r="C1670" s="13" t="s">
        <v>3849</v>
      </c>
      <c r="D1670" s="13" t="s">
        <v>1883</v>
      </c>
      <c r="E1670" s="13" t="s">
        <v>3848</v>
      </c>
      <c r="F1670" s="13"/>
      <c r="G1670" s="13" t="s">
        <v>745</v>
      </c>
      <c r="H1670" s="13"/>
      <c r="I1670" s="13" t="s">
        <v>3847</v>
      </c>
      <c r="J1670" s="13" t="s">
        <v>3846</v>
      </c>
      <c r="K1670" s="13" t="s">
        <v>2093</v>
      </c>
      <c r="L1670" s="13"/>
      <c r="M1670" s="14"/>
      <c r="N1670" s="13"/>
      <c r="O1670" s="13" t="s">
        <v>1877</v>
      </c>
    </row>
    <row r="1671" spans="1:15" ht="19.5" customHeight="1" x14ac:dyDescent="0.25">
      <c r="A1671" s="11" t="s">
        <v>1704</v>
      </c>
      <c r="B1671" s="11"/>
      <c r="C1671" s="11" t="s">
        <v>3845</v>
      </c>
      <c r="D1671" s="11" t="s">
        <v>1883</v>
      </c>
      <c r="E1671" s="11" t="s">
        <v>3843</v>
      </c>
      <c r="F1671" s="11"/>
      <c r="G1671" s="11" t="s">
        <v>1704</v>
      </c>
      <c r="H1671" s="11"/>
      <c r="I1671" s="11" t="s">
        <v>3842</v>
      </c>
      <c r="J1671" s="11" t="s">
        <v>3841</v>
      </c>
      <c r="K1671" s="11" t="s">
        <v>2794</v>
      </c>
      <c r="L1671" s="11"/>
      <c r="M1671" s="12"/>
      <c r="N1671" s="11"/>
      <c r="O1671" s="11" t="s">
        <v>1877</v>
      </c>
    </row>
    <row r="1672" spans="1:15" ht="19.5" customHeight="1" x14ac:dyDescent="0.25">
      <c r="A1672" s="13" t="s">
        <v>1704</v>
      </c>
      <c r="B1672" s="13"/>
      <c r="C1672" s="13" t="s">
        <v>3844</v>
      </c>
      <c r="D1672" s="13" t="s">
        <v>1883</v>
      </c>
      <c r="E1672" s="13" t="s">
        <v>3843</v>
      </c>
      <c r="F1672" s="13"/>
      <c r="G1672" s="13" t="s">
        <v>1704</v>
      </c>
      <c r="H1672" s="13"/>
      <c r="I1672" s="13" t="s">
        <v>3842</v>
      </c>
      <c r="J1672" s="13" t="s">
        <v>3841</v>
      </c>
      <c r="K1672" s="13" t="s">
        <v>2794</v>
      </c>
      <c r="L1672" s="13"/>
      <c r="M1672" s="14"/>
      <c r="N1672" s="13"/>
      <c r="O1672" s="13" t="s">
        <v>1877</v>
      </c>
    </row>
    <row r="1673" spans="1:15" ht="19.5" customHeight="1" x14ac:dyDescent="0.25">
      <c r="A1673" s="11" t="s">
        <v>1370</v>
      </c>
      <c r="B1673" s="11"/>
      <c r="C1673" s="11" t="s">
        <v>3840</v>
      </c>
      <c r="D1673" s="11" t="s">
        <v>1883</v>
      </c>
      <c r="E1673" s="11" t="s">
        <v>3838</v>
      </c>
      <c r="F1673" s="11"/>
      <c r="G1673" s="11" t="s">
        <v>1370</v>
      </c>
      <c r="H1673" s="11" t="s">
        <v>3837</v>
      </c>
      <c r="I1673" s="11" t="s">
        <v>3836</v>
      </c>
      <c r="J1673" s="11" t="s">
        <v>3835</v>
      </c>
      <c r="K1673" s="11" t="s">
        <v>3834</v>
      </c>
      <c r="L1673" s="11"/>
      <c r="M1673" s="12"/>
      <c r="N1673" s="11"/>
      <c r="O1673" s="11" t="s">
        <v>1877</v>
      </c>
    </row>
    <row r="1674" spans="1:15" ht="19.5" customHeight="1" x14ac:dyDescent="0.25">
      <c r="A1674" s="13" t="s">
        <v>1370</v>
      </c>
      <c r="B1674" s="13"/>
      <c r="C1674" s="13" t="s">
        <v>3839</v>
      </c>
      <c r="D1674" s="13" t="s">
        <v>1883</v>
      </c>
      <c r="E1674" s="13" t="s">
        <v>3838</v>
      </c>
      <c r="F1674" s="13"/>
      <c r="G1674" s="13" t="s">
        <v>1370</v>
      </c>
      <c r="H1674" s="13" t="s">
        <v>3837</v>
      </c>
      <c r="I1674" s="13" t="s">
        <v>3836</v>
      </c>
      <c r="J1674" s="13" t="s">
        <v>3835</v>
      </c>
      <c r="K1674" s="13" t="s">
        <v>3834</v>
      </c>
      <c r="L1674" s="13"/>
      <c r="M1674" s="14"/>
      <c r="N1674" s="13"/>
      <c r="O1674" s="13" t="s">
        <v>1877</v>
      </c>
    </row>
    <row r="1675" spans="1:15" ht="19.5" customHeight="1" x14ac:dyDescent="0.25">
      <c r="A1675" s="11" t="s">
        <v>1564</v>
      </c>
      <c r="B1675" s="11"/>
      <c r="C1675" s="11" t="s">
        <v>3833</v>
      </c>
      <c r="D1675" s="11" t="s">
        <v>1883</v>
      </c>
      <c r="E1675" s="11" t="s">
        <v>3832</v>
      </c>
      <c r="F1675" s="11"/>
      <c r="G1675" s="11" t="s">
        <v>1564</v>
      </c>
      <c r="H1675" s="11"/>
      <c r="I1675" s="11" t="s">
        <v>3831</v>
      </c>
      <c r="J1675" s="11" t="s">
        <v>3830</v>
      </c>
      <c r="K1675" s="11" t="s">
        <v>1878</v>
      </c>
      <c r="L1675" s="11"/>
      <c r="M1675" s="12"/>
      <c r="N1675" s="11"/>
      <c r="O1675" s="11" t="s">
        <v>1877</v>
      </c>
    </row>
    <row r="1676" spans="1:15" ht="19.5" customHeight="1" x14ac:dyDescent="0.25">
      <c r="A1676" s="13" t="s">
        <v>1730</v>
      </c>
      <c r="B1676" s="13"/>
      <c r="C1676" s="13" t="s">
        <v>3829</v>
      </c>
      <c r="D1676" s="13" t="s">
        <v>1883</v>
      </c>
      <c r="E1676" s="13" t="s">
        <v>3828</v>
      </c>
      <c r="F1676" s="13"/>
      <c r="G1676" s="13" t="s">
        <v>1730</v>
      </c>
      <c r="H1676" s="13"/>
      <c r="I1676" s="13" t="s">
        <v>3827</v>
      </c>
      <c r="J1676" s="13" t="s">
        <v>3826</v>
      </c>
      <c r="K1676" s="13" t="s">
        <v>2093</v>
      </c>
      <c r="L1676" s="13"/>
      <c r="M1676" s="14"/>
      <c r="N1676" s="13"/>
      <c r="O1676" s="13" t="s">
        <v>1877</v>
      </c>
    </row>
    <row r="1677" spans="1:15" ht="19.5" customHeight="1" x14ac:dyDescent="0.25">
      <c r="A1677" s="11" t="s">
        <v>747</v>
      </c>
      <c r="B1677" s="11"/>
      <c r="C1677" s="11" t="s">
        <v>3825</v>
      </c>
      <c r="D1677" s="11" t="s">
        <v>1883</v>
      </c>
      <c r="E1677" s="11" t="s">
        <v>3820</v>
      </c>
      <c r="F1677" s="11"/>
      <c r="G1677" s="11" t="s">
        <v>3822</v>
      </c>
      <c r="H1677" s="11" t="s">
        <v>3819</v>
      </c>
      <c r="I1677" s="11" t="s">
        <v>3818</v>
      </c>
      <c r="J1677" s="11" t="s">
        <v>3817</v>
      </c>
      <c r="K1677" s="11" t="s">
        <v>3816</v>
      </c>
      <c r="L1677" s="11"/>
      <c r="M1677" s="12"/>
      <c r="N1677" s="11"/>
      <c r="O1677" s="11" t="s">
        <v>1877</v>
      </c>
    </row>
    <row r="1678" spans="1:15" ht="19.5" customHeight="1" x14ac:dyDescent="0.25">
      <c r="A1678" s="13" t="s">
        <v>747</v>
      </c>
      <c r="B1678" s="13"/>
      <c r="C1678" s="13" t="s">
        <v>3824</v>
      </c>
      <c r="D1678" s="13" t="s">
        <v>1883</v>
      </c>
      <c r="E1678" s="13" t="s">
        <v>3820</v>
      </c>
      <c r="F1678" s="13"/>
      <c r="G1678" s="13" t="s">
        <v>3822</v>
      </c>
      <c r="H1678" s="13" t="s">
        <v>3819</v>
      </c>
      <c r="I1678" s="13" t="s">
        <v>3818</v>
      </c>
      <c r="J1678" s="13" t="s">
        <v>3817</v>
      </c>
      <c r="K1678" s="13" t="s">
        <v>3816</v>
      </c>
      <c r="L1678" s="13"/>
      <c r="M1678" s="14"/>
      <c r="N1678" s="13"/>
      <c r="O1678" s="13" t="s">
        <v>1877</v>
      </c>
    </row>
    <row r="1679" spans="1:15" ht="19.5" customHeight="1" x14ac:dyDescent="0.25">
      <c r="A1679" s="11" t="s">
        <v>747</v>
      </c>
      <c r="B1679" s="11"/>
      <c r="C1679" s="11" t="s">
        <v>3823</v>
      </c>
      <c r="D1679" s="11" t="s">
        <v>1883</v>
      </c>
      <c r="E1679" s="11" t="s">
        <v>3820</v>
      </c>
      <c r="F1679" s="11"/>
      <c r="G1679" s="11" t="s">
        <v>3822</v>
      </c>
      <c r="H1679" s="11" t="s">
        <v>3819</v>
      </c>
      <c r="I1679" s="11" t="s">
        <v>3818</v>
      </c>
      <c r="J1679" s="11" t="s">
        <v>3817</v>
      </c>
      <c r="K1679" s="11" t="s">
        <v>3816</v>
      </c>
      <c r="L1679" s="11"/>
      <c r="M1679" s="12"/>
      <c r="N1679" s="11"/>
      <c r="O1679" s="11" t="s">
        <v>1877</v>
      </c>
    </row>
    <row r="1680" spans="1:15" ht="19.5" customHeight="1" x14ac:dyDescent="0.25">
      <c r="A1680" s="13" t="s">
        <v>747</v>
      </c>
      <c r="B1680" s="13"/>
      <c r="C1680" s="13" t="s">
        <v>3821</v>
      </c>
      <c r="D1680" s="13" t="s">
        <v>1883</v>
      </c>
      <c r="E1680" s="13" t="s">
        <v>3820</v>
      </c>
      <c r="F1680" s="13"/>
      <c r="G1680" s="13" t="s">
        <v>747</v>
      </c>
      <c r="H1680" s="13" t="s">
        <v>3819</v>
      </c>
      <c r="I1680" s="13" t="s">
        <v>3818</v>
      </c>
      <c r="J1680" s="13" t="s">
        <v>3817</v>
      </c>
      <c r="K1680" s="13" t="s">
        <v>3816</v>
      </c>
      <c r="L1680" s="13"/>
      <c r="M1680" s="14"/>
      <c r="N1680" s="13"/>
      <c r="O1680" s="13" t="s">
        <v>1916</v>
      </c>
    </row>
    <row r="1681" spans="1:15" ht="19.5" customHeight="1" x14ac:dyDescent="0.25">
      <c r="A1681" s="11" t="s">
        <v>1734</v>
      </c>
      <c r="B1681" s="11"/>
      <c r="C1681" s="11" t="s">
        <v>3815</v>
      </c>
      <c r="D1681" s="11" t="s">
        <v>1883</v>
      </c>
      <c r="E1681" s="11" t="s">
        <v>3814</v>
      </c>
      <c r="F1681" s="11"/>
      <c r="G1681" s="11" t="s">
        <v>1734</v>
      </c>
      <c r="H1681" s="11"/>
      <c r="I1681" s="11" t="s">
        <v>3813</v>
      </c>
      <c r="J1681" s="11" t="s">
        <v>3812</v>
      </c>
      <c r="K1681" s="11" t="s">
        <v>3811</v>
      </c>
      <c r="L1681" s="11"/>
      <c r="M1681" s="12"/>
      <c r="N1681" s="11"/>
      <c r="O1681" s="11" t="s">
        <v>1877</v>
      </c>
    </row>
    <row r="1682" spans="1:15" ht="19.5" customHeight="1" x14ac:dyDescent="0.25">
      <c r="A1682" s="13" t="s">
        <v>1405</v>
      </c>
      <c r="B1682" s="13"/>
      <c r="C1682" s="13" t="s">
        <v>1404</v>
      </c>
      <c r="D1682" s="13" t="s">
        <v>1883</v>
      </c>
      <c r="E1682" s="13" t="s">
        <v>3809</v>
      </c>
      <c r="F1682" s="13"/>
      <c r="G1682" s="13" t="s">
        <v>1405</v>
      </c>
      <c r="H1682" s="13"/>
      <c r="I1682" s="13"/>
      <c r="J1682" s="13"/>
      <c r="K1682" s="13"/>
      <c r="L1682" s="13"/>
      <c r="M1682" s="14"/>
      <c r="N1682" s="13"/>
      <c r="O1682" s="13" t="s">
        <v>1945</v>
      </c>
    </row>
    <row r="1683" spans="1:15" ht="19.5" customHeight="1" x14ac:dyDescent="0.25">
      <c r="A1683" s="11" t="s">
        <v>1405</v>
      </c>
      <c r="B1683" s="11"/>
      <c r="C1683" s="11" t="s">
        <v>3810</v>
      </c>
      <c r="D1683" s="11" t="s">
        <v>1883</v>
      </c>
      <c r="E1683" s="11" t="s">
        <v>3809</v>
      </c>
      <c r="F1683" s="11"/>
      <c r="G1683" s="11" t="s">
        <v>1405</v>
      </c>
      <c r="H1683" s="11"/>
      <c r="I1683" s="11"/>
      <c r="J1683" s="11"/>
      <c r="K1683" s="11"/>
      <c r="L1683" s="11"/>
      <c r="M1683" s="12"/>
      <c r="N1683" s="11"/>
      <c r="O1683" s="11" t="s">
        <v>1916</v>
      </c>
    </row>
    <row r="1684" spans="1:15" ht="19.5" customHeight="1" x14ac:dyDescent="0.25">
      <c r="A1684" s="13" t="s">
        <v>749</v>
      </c>
      <c r="B1684" s="13"/>
      <c r="C1684" s="13" t="s">
        <v>3808</v>
      </c>
      <c r="D1684" s="13" t="s">
        <v>1883</v>
      </c>
      <c r="E1684" s="13" t="s">
        <v>3805</v>
      </c>
      <c r="F1684" s="13"/>
      <c r="G1684" s="13" t="s">
        <v>3804</v>
      </c>
      <c r="H1684" s="13"/>
      <c r="I1684" s="13" t="s">
        <v>3803</v>
      </c>
      <c r="J1684" s="13" t="s">
        <v>3802</v>
      </c>
      <c r="K1684" s="13" t="s">
        <v>2093</v>
      </c>
      <c r="L1684" s="13"/>
      <c r="M1684" s="14"/>
      <c r="N1684" s="13"/>
      <c r="O1684" s="13" t="s">
        <v>1877</v>
      </c>
    </row>
    <row r="1685" spans="1:15" ht="19.5" customHeight="1" x14ac:dyDescent="0.25">
      <c r="A1685" s="11" t="s">
        <v>749</v>
      </c>
      <c r="B1685" s="11"/>
      <c r="C1685" s="11" t="s">
        <v>3807</v>
      </c>
      <c r="D1685" s="11" t="s">
        <v>1883</v>
      </c>
      <c r="E1685" s="11" t="s">
        <v>3805</v>
      </c>
      <c r="F1685" s="11"/>
      <c r="G1685" s="11" t="s">
        <v>3804</v>
      </c>
      <c r="H1685" s="11"/>
      <c r="I1685" s="11" t="s">
        <v>3803</v>
      </c>
      <c r="J1685" s="11" t="s">
        <v>3802</v>
      </c>
      <c r="K1685" s="11" t="s">
        <v>2093</v>
      </c>
      <c r="L1685" s="11"/>
      <c r="M1685" s="12"/>
      <c r="N1685" s="11"/>
      <c r="O1685" s="11" t="s">
        <v>1877</v>
      </c>
    </row>
    <row r="1686" spans="1:15" ht="19.5" customHeight="1" x14ac:dyDescent="0.25">
      <c r="A1686" s="13" t="s">
        <v>749</v>
      </c>
      <c r="B1686" s="13"/>
      <c r="C1686" s="13" t="s">
        <v>3806</v>
      </c>
      <c r="D1686" s="13" t="s">
        <v>1883</v>
      </c>
      <c r="E1686" s="13" t="s">
        <v>3805</v>
      </c>
      <c r="F1686" s="13"/>
      <c r="G1686" s="13" t="s">
        <v>3804</v>
      </c>
      <c r="H1686" s="13"/>
      <c r="I1686" s="13" t="s">
        <v>3803</v>
      </c>
      <c r="J1686" s="13" t="s">
        <v>3802</v>
      </c>
      <c r="K1686" s="13" t="s">
        <v>2093</v>
      </c>
      <c r="L1686" s="13"/>
      <c r="M1686" s="14"/>
      <c r="N1686" s="13"/>
      <c r="O1686" s="13" t="s">
        <v>1877</v>
      </c>
    </row>
    <row r="1687" spans="1:15" ht="19.5" customHeight="1" x14ac:dyDescent="0.25">
      <c r="A1687" s="11" t="s">
        <v>749</v>
      </c>
      <c r="B1687" s="11"/>
      <c r="C1687" s="11" t="s">
        <v>3801</v>
      </c>
      <c r="D1687" s="11" t="s">
        <v>1883</v>
      </c>
      <c r="E1687" s="11" t="s">
        <v>3800</v>
      </c>
      <c r="F1687" s="11"/>
      <c r="G1687" s="11" t="s">
        <v>749</v>
      </c>
      <c r="H1687" s="11"/>
      <c r="I1687" s="11"/>
      <c r="J1687" s="11"/>
      <c r="K1687" s="11"/>
      <c r="L1687" s="11"/>
      <c r="M1687" s="12"/>
      <c r="N1687" s="11"/>
      <c r="O1687" s="11" t="s">
        <v>1916</v>
      </c>
    </row>
    <row r="1688" spans="1:15" ht="19.5" customHeight="1" x14ac:dyDescent="0.25">
      <c r="A1688" s="13" t="s">
        <v>8827</v>
      </c>
      <c r="B1688" s="13"/>
      <c r="C1688" s="13" t="s">
        <v>3799</v>
      </c>
      <c r="D1688" s="13" t="s">
        <v>1883</v>
      </c>
      <c r="E1688" s="13" t="s">
        <v>3798</v>
      </c>
      <c r="F1688" s="13"/>
      <c r="G1688" s="13" t="s">
        <v>1797</v>
      </c>
      <c r="H1688" s="13"/>
      <c r="I1688" s="13" t="s">
        <v>3797</v>
      </c>
      <c r="J1688" s="13" t="s">
        <v>3796</v>
      </c>
      <c r="K1688" s="13" t="s">
        <v>2093</v>
      </c>
      <c r="L1688" s="13"/>
      <c r="M1688" s="14"/>
      <c r="N1688" s="13"/>
      <c r="O1688" s="13" t="s">
        <v>1945</v>
      </c>
    </row>
    <row r="1689" spans="1:15" ht="19.5" customHeight="1" x14ac:dyDescent="0.25">
      <c r="A1689" s="11" t="s">
        <v>8852</v>
      </c>
      <c r="B1689" s="11"/>
      <c r="C1689" s="11" t="s">
        <v>8859</v>
      </c>
      <c r="D1689" s="11" t="s">
        <v>1883</v>
      </c>
      <c r="E1689" s="11" t="s">
        <v>8860</v>
      </c>
      <c r="F1689" s="11"/>
      <c r="G1689" s="11" t="s">
        <v>8852</v>
      </c>
      <c r="H1689" s="11"/>
      <c r="I1689" s="11" t="s">
        <v>8861</v>
      </c>
      <c r="J1689" s="11" t="s">
        <v>8862</v>
      </c>
      <c r="K1689" s="11" t="s">
        <v>2093</v>
      </c>
      <c r="L1689" s="11"/>
      <c r="M1689" s="12"/>
      <c r="N1689" s="11"/>
      <c r="O1689" s="11" t="s">
        <v>1877</v>
      </c>
    </row>
    <row r="1690" spans="1:15" ht="19.5" customHeight="1" x14ac:dyDescent="0.25">
      <c r="A1690" s="13" t="s">
        <v>751</v>
      </c>
      <c r="B1690" s="13"/>
      <c r="C1690" s="13" t="s">
        <v>3795</v>
      </c>
      <c r="D1690" s="13" t="s">
        <v>1883</v>
      </c>
      <c r="E1690" s="13" t="s">
        <v>3794</v>
      </c>
      <c r="F1690" s="13"/>
      <c r="G1690" s="13" t="s">
        <v>751</v>
      </c>
      <c r="H1690" s="13" t="s">
        <v>3793</v>
      </c>
      <c r="I1690" s="13" t="s">
        <v>2403</v>
      </c>
      <c r="J1690" s="13" t="s">
        <v>3792</v>
      </c>
      <c r="K1690" s="13" t="s">
        <v>3791</v>
      </c>
      <c r="L1690" s="13"/>
      <c r="M1690" s="14"/>
      <c r="N1690" s="13"/>
      <c r="O1690" s="13" t="s">
        <v>2364</v>
      </c>
    </row>
    <row r="1691" spans="1:15" ht="19.5" customHeight="1" x14ac:dyDescent="0.25">
      <c r="A1691" s="11" t="s">
        <v>3788</v>
      </c>
      <c r="B1691" s="11"/>
      <c r="C1691" s="11" t="s">
        <v>3790</v>
      </c>
      <c r="D1691" s="11" t="s">
        <v>1883</v>
      </c>
      <c r="E1691" s="11" t="s">
        <v>3789</v>
      </c>
      <c r="F1691" s="11"/>
      <c r="G1691" s="11" t="s">
        <v>3788</v>
      </c>
      <c r="H1691" s="11"/>
      <c r="I1691" s="11"/>
      <c r="J1691" s="11"/>
      <c r="K1691" s="11"/>
      <c r="L1691" s="11"/>
      <c r="M1691" s="12"/>
      <c r="N1691" s="11"/>
      <c r="O1691" s="11" t="s">
        <v>1877</v>
      </c>
    </row>
    <row r="1692" spans="1:15" ht="19.5" customHeight="1" x14ac:dyDescent="0.25">
      <c r="A1692" s="13" t="s">
        <v>1106</v>
      </c>
      <c r="B1692" s="13"/>
      <c r="C1692" s="13" t="s">
        <v>3787</v>
      </c>
      <c r="D1692" s="13" t="s">
        <v>1883</v>
      </c>
      <c r="E1692" s="13" t="s">
        <v>3786</v>
      </c>
      <c r="F1692" s="13"/>
      <c r="G1692" s="13" t="s">
        <v>1106</v>
      </c>
      <c r="H1692" s="13"/>
      <c r="I1692" s="13" t="s">
        <v>3785</v>
      </c>
      <c r="J1692" s="13" t="s">
        <v>3784</v>
      </c>
      <c r="K1692" s="13" t="s">
        <v>2093</v>
      </c>
      <c r="L1692" s="13"/>
      <c r="M1692" s="14"/>
      <c r="N1692" s="13"/>
      <c r="O1692" s="13" t="s">
        <v>1877</v>
      </c>
    </row>
    <row r="1693" spans="1:15" ht="19.5" customHeight="1" x14ac:dyDescent="0.25">
      <c r="A1693" s="11" t="s">
        <v>1675</v>
      </c>
      <c r="B1693" s="11"/>
      <c r="C1693" s="11" t="s">
        <v>3783</v>
      </c>
      <c r="D1693" s="11" t="s">
        <v>1883</v>
      </c>
      <c r="E1693" s="11" t="s">
        <v>3782</v>
      </c>
      <c r="F1693" s="11"/>
      <c r="G1693" s="11" t="s">
        <v>1675</v>
      </c>
      <c r="H1693" s="11"/>
      <c r="I1693" s="11" t="s">
        <v>3781</v>
      </c>
      <c r="J1693" s="11" t="s">
        <v>3780</v>
      </c>
      <c r="K1693" s="11" t="s">
        <v>3779</v>
      </c>
      <c r="L1693" s="11"/>
      <c r="M1693" s="12"/>
      <c r="N1693" s="11"/>
      <c r="O1693" s="11" t="s">
        <v>1877</v>
      </c>
    </row>
    <row r="1694" spans="1:15" ht="19.5" customHeight="1" x14ac:dyDescent="0.25">
      <c r="A1694" s="13" t="s">
        <v>1819</v>
      </c>
      <c r="B1694" s="13"/>
      <c r="C1694" s="13" t="s">
        <v>1818</v>
      </c>
      <c r="D1694" s="13" t="s">
        <v>1883</v>
      </c>
      <c r="E1694" s="13" t="s">
        <v>3778</v>
      </c>
      <c r="F1694" s="13"/>
      <c r="G1694" s="13" t="s">
        <v>1819</v>
      </c>
      <c r="H1694" s="13"/>
      <c r="I1694" s="13" t="s">
        <v>3777</v>
      </c>
      <c r="J1694" s="13" t="s">
        <v>3776</v>
      </c>
      <c r="K1694" s="13" t="s">
        <v>2093</v>
      </c>
      <c r="L1694" s="13"/>
      <c r="M1694" s="14"/>
      <c r="N1694" s="13"/>
      <c r="O1694" s="13" t="s">
        <v>1877</v>
      </c>
    </row>
    <row r="1695" spans="1:15" ht="19.5" customHeight="1" x14ac:dyDescent="0.25">
      <c r="A1695" s="11" t="s">
        <v>755</v>
      </c>
      <c r="B1695" s="11"/>
      <c r="C1695" s="11" t="s">
        <v>3775</v>
      </c>
      <c r="D1695" s="11" t="s">
        <v>1883</v>
      </c>
      <c r="E1695" s="11" t="s">
        <v>3774</v>
      </c>
      <c r="F1695" s="11"/>
      <c r="G1695" s="11" t="s">
        <v>755</v>
      </c>
      <c r="H1695" s="11"/>
      <c r="I1695" s="11" t="s">
        <v>3773</v>
      </c>
      <c r="J1695" s="11" t="s">
        <v>3772</v>
      </c>
      <c r="K1695" s="11" t="s">
        <v>3771</v>
      </c>
      <c r="L1695" s="11"/>
      <c r="M1695" s="12"/>
      <c r="N1695" s="11"/>
      <c r="O1695" s="11" t="s">
        <v>1877</v>
      </c>
    </row>
    <row r="1696" spans="1:15" ht="19.5" customHeight="1" x14ac:dyDescent="0.25">
      <c r="A1696" s="13" t="s">
        <v>757</v>
      </c>
      <c r="B1696" s="13"/>
      <c r="C1696" s="13" t="s">
        <v>3770</v>
      </c>
      <c r="D1696" s="13" t="s">
        <v>1883</v>
      </c>
      <c r="E1696" s="13" t="s">
        <v>3767</v>
      </c>
      <c r="F1696" s="13"/>
      <c r="G1696" s="13" t="s">
        <v>757</v>
      </c>
      <c r="H1696" s="13" t="s">
        <v>3766</v>
      </c>
      <c r="I1696" s="13" t="s">
        <v>3765</v>
      </c>
      <c r="J1696" s="13" t="s">
        <v>3764</v>
      </c>
      <c r="K1696" s="13" t="s">
        <v>2635</v>
      </c>
      <c r="L1696" s="13"/>
      <c r="M1696" s="14"/>
      <c r="N1696" s="13"/>
      <c r="O1696" s="13" t="s">
        <v>1877</v>
      </c>
    </row>
    <row r="1697" spans="1:15" ht="19.5" customHeight="1" x14ac:dyDescent="0.25">
      <c r="A1697" s="11" t="s">
        <v>757</v>
      </c>
      <c r="B1697" s="11"/>
      <c r="C1697" s="11" t="s">
        <v>3769</v>
      </c>
      <c r="D1697" s="11" t="s">
        <v>1883</v>
      </c>
      <c r="E1697" s="11" t="s">
        <v>3767</v>
      </c>
      <c r="F1697" s="11"/>
      <c r="G1697" s="11" t="s">
        <v>757</v>
      </c>
      <c r="H1697" s="11" t="s">
        <v>3766</v>
      </c>
      <c r="I1697" s="11" t="s">
        <v>3765</v>
      </c>
      <c r="J1697" s="11" t="s">
        <v>3764</v>
      </c>
      <c r="K1697" s="11" t="s">
        <v>2635</v>
      </c>
      <c r="L1697" s="11"/>
      <c r="M1697" s="12"/>
      <c r="N1697" s="11"/>
      <c r="O1697" s="11" t="s">
        <v>1877</v>
      </c>
    </row>
    <row r="1698" spans="1:15" ht="19.5" customHeight="1" x14ac:dyDescent="0.25">
      <c r="A1698" s="13" t="s">
        <v>757</v>
      </c>
      <c r="B1698" s="13"/>
      <c r="C1698" s="13" t="s">
        <v>3768</v>
      </c>
      <c r="D1698" s="13" t="s">
        <v>1883</v>
      </c>
      <c r="E1698" s="13" t="s">
        <v>3767</v>
      </c>
      <c r="F1698" s="13"/>
      <c r="G1698" s="13" t="s">
        <v>757</v>
      </c>
      <c r="H1698" s="13" t="s">
        <v>3766</v>
      </c>
      <c r="I1698" s="13" t="s">
        <v>3765</v>
      </c>
      <c r="J1698" s="13" t="s">
        <v>3764</v>
      </c>
      <c r="K1698" s="13" t="s">
        <v>2635</v>
      </c>
      <c r="L1698" s="13"/>
      <c r="M1698" s="14"/>
      <c r="N1698" s="13"/>
      <c r="O1698" s="13" t="s">
        <v>1877</v>
      </c>
    </row>
    <row r="1699" spans="1:15" ht="19.5" customHeight="1" x14ac:dyDescent="0.25">
      <c r="A1699" s="11" t="s">
        <v>759</v>
      </c>
      <c r="B1699" s="11"/>
      <c r="C1699" s="11" t="s">
        <v>3763</v>
      </c>
      <c r="D1699" s="11" t="s">
        <v>1883</v>
      </c>
      <c r="E1699" s="11" t="s">
        <v>8794</v>
      </c>
      <c r="F1699" s="11"/>
      <c r="G1699" s="11" t="s">
        <v>3760</v>
      </c>
      <c r="H1699" s="11" t="s">
        <v>3759</v>
      </c>
      <c r="I1699" s="11" t="s">
        <v>3758</v>
      </c>
      <c r="J1699" s="11" t="s">
        <v>3757</v>
      </c>
      <c r="K1699" s="11" t="s">
        <v>3756</v>
      </c>
      <c r="L1699" s="11"/>
      <c r="M1699" s="12"/>
      <c r="N1699" s="11"/>
      <c r="O1699" s="11" t="s">
        <v>1877</v>
      </c>
    </row>
    <row r="1700" spans="1:15" ht="19.5" customHeight="1" x14ac:dyDescent="0.25">
      <c r="A1700" s="13" t="s">
        <v>759</v>
      </c>
      <c r="B1700" s="13"/>
      <c r="C1700" s="13" t="s">
        <v>3762</v>
      </c>
      <c r="D1700" s="13" t="s">
        <v>1883</v>
      </c>
      <c r="E1700" s="13" t="s">
        <v>8794</v>
      </c>
      <c r="F1700" s="13"/>
      <c r="G1700" s="13" t="s">
        <v>3760</v>
      </c>
      <c r="H1700" s="13" t="s">
        <v>3759</v>
      </c>
      <c r="I1700" s="13" t="s">
        <v>3758</v>
      </c>
      <c r="J1700" s="13" t="s">
        <v>3757</v>
      </c>
      <c r="K1700" s="13" t="s">
        <v>3756</v>
      </c>
      <c r="L1700" s="13"/>
      <c r="M1700" s="14"/>
      <c r="N1700" s="13"/>
      <c r="O1700" s="13" t="s">
        <v>1877</v>
      </c>
    </row>
    <row r="1701" spans="1:15" ht="19.5" customHeight="1" x14ac:dyDescent="0.25">
      <c r="A1701" s="11" t="s">
        <v>759</v>
      </c>
      <c r="B1701" s="11"/>
      <c r="C1701" s="11" t="s">
        <v>3761</v>
      </c>
      <c r="D1701" s="11" t="s">
        <v>1883</v>
      </c>
      <c r="E1701" s="11" t="s">
        <v>8794</v>
      </c>
      <c r="F1701" s="11"/>
      <c r="G1701" s="11" t="s">
        <v>3760</v>
      </c>
      <c r="H1701" s="11" t="s">
        <v>3759</v>
      </c>
      <c r="I1701" s="11" t="s">
        <v>3758</v>
      </c>
      <c r="J1701" s="11" t="s">
        <v>3757</v>
      </c>
      <c r="K1701" s="11" t="s">
        <v>3756</v>
      </c>
      <c r="L1701" s="11"/>
      <c r="M1701" s="12"/>
      <c r="N1701" s="11"/>
      <c r="O1701" s="11" t="s">
        <v>1877</v>
      </c>
    </row>
    <row r="1702" spans="1:15" ht="19.5" customHeight="1" x14ac:dyDescent="0.25">
      <c r="A1702" s="13" t="s">
        <v>761</v>
      </c>
      <c r="B1702" s="13"/>
      <c r="C1702" s="13" t="s">
        <v>3755</v>
      </c>
      <c r="D1702" s="13" t="s">
        <v>1883</v>
      </c>
      <c r="E1702" s="13" t="s">
        <v>3752</v>
      </c>
      <c r="F1702" s="13"/>
      <c r="G1702" s="13" t="s">
        <v>761</v>
      </c>
      <c r="H1702" s="13"/>
      <c r="I1702" s="13" t="s">
        <v>3751</v>
      </c>
      <c r="J1702" s="13" t="s">
        <v>3750</v>
      </c>
      <c r="K1702" s="13" t="s">
        <v>1878</v>
      </c>
      <c r="L1702" s="13"/>
      <c r="M1702" s="14"/>
      <c r="N1702" s="13"/>
      <c r="O1702" s="13" t="s">
        <v>1877</v>
      </c>
    </row>
    <row r="1703" spans="1:15" ht="19.5" customHeight="1" x14ac:dyDescent="0.25">
      <c r="A1703" s="11" t="s">
        <v>761</v>
      </c>
      <c r="B1703" s="11"/>
      <c r="C1703" s="11" t="s">
        <v>3754</v>
      </c>
      <c r="D1703" s="11" t="s">
        <v>1883</v>
      </c>
      <c r="E1703" s="11" t="s">
        <v>3752</v>
      </c>
      <c r="F1703" s="11"/>
      <c r="G1703" s="11" t="s">
        <v>761</v>
      </c>
      <c r="H1703" s="11"/>
      <c r="I1703" s="11" t="s">
        <v>3751</v>
      </c>
      <c r="J1703" s="11" t="s">
        <v>3750</v>
      </c>
      <c r="K1703" s="11" t="s">
        <v>1878</v>
      </c>
      <c r="L1703" s="11"/>
      <c r="M1703" s="12"/>
      <c r="N1703" s="11"/>
      <c r="O1703" s="11" t="s">
        <v>1877</v>
      </c>
    </row>
    <row r="1704" spans="1:15" ht="19.5" customHeight="1" x14ac:dyDescent="0.25">
      <c r="A1704" s="13" t="s">
        <v>761</v>
      </c>
      <c r="B1704" s="13"/>
      <c r="C1704" s="13" t="s">
        <v>3753</v>
      </c>
      <c r="D1704" s="13" t="s">
        <v>1883</v>
      </c>
      <c r="E1704" s="13" t="s">
        <v>3752</v>
      </c>
      <c r="F1704" s="13"/>
      <c r="G1704" s="13" t="s">
        <v>761</v>
      </c>
      <c r="H1704" s="13"/>
      <c r="I1704" s="13" t="s">
        <v>3751</v>
      </c>
      <c r="J1704" s="13" t="s">
        <v>3750</v>
      </c>
      <c r="K1704" s="13" t="s">
        <v>1878</v>
      </c>
      <c r="L1704" s="13"/>
      <c r="M1704" s="14"/>
      <c r="N1704" s="13"/>
      <c r="O1704" s="13" t="s">
        <v>1877</v>
      </c>
    </row>
    <row r="1705" spans="1:15" ht="19.5" customHeight="1" x14ac:dyDescent="0.25">
      <c r="A1705" s="11" t="s">
        <v>763</v>
      </c>
      <c r="B1705" s="11"/>
      <c r="C1705" s="11" t="s">
        <v>3749</v>
      </c>
      <c r="D1705" s="11" t="s">
        <v>1883</v>
      </c>
      <c r="E1705" s="11" t="s">
        <v>3748</v>
      </c>
      <c r="F1705" s="11"/>
      <c r="G1705" s="11" t="s">
        <v>763</v>
      </c>
      <c r="H1705" s="11" t="s">
        <v>3747</v>
      </c>
      <c r="I1705" s="11" t="s">
        <v>3746</v>
      </c>
      <c r="J1705" s="11" t="s">
        <v>3745</v>
      </c>
      <c r="K1705" s="11" t="s">
        <v>2093</v>
      </c>
      <c r="L1705" s="11"/>
      <c r="M1705" s="12"/>
      <c r="N1705" s="11"/>
      <c r="O1705" s="11" t="s">
        <v>1877</v>
      </c>
    </row>
    <row r="1706" spans="1:15" ht="19.5" customHeight="1" x14ac:dyDescent="0.25">
      <c r="A1706" s="13" t="s">
        <v>765</v>
      </c>
      <c r="B1706" s="13"/>
      <c r="C1706" s="13" t="s">
        <v>3744</v>
      </c>
      <c r="D1706" s="13" t="s">
        <v>1883</v>
      </c>
      <c r="E1706" s="13" t="s">
        <v>3741</v>
      </c>
      <c r="F1706" s="13"/>
      <c r="G1706" s="13" t="s">
        <v>765</v>
      </c>
      <c r="H1706" s="13" t="s">
        <v>3740</v>
      </c>
      <c r="I1706" s="13" t="s">
        <v>3739</v>
      </c>
      <c r="J1706" s="13" t="s">
        <v>3738</v>
      </c>
      <c r="K1706" s="13" t="s">
        <v>1887</v>
      </c>
      <c r="L1706" s="13"/>
      <c r="M1706" s="14"/>
      <c r="N1706" s="13"/>
      <c r="O1706" s="13" t="s">
        <v>1877</v>
      </c>
    </row>
    <row r="1707" spans="1:15" ht="19.5" customHeight="1" x14ac:dyDescent="0.25">
      <c r="A1707" s="11" t="s">
        <v>765</v>
      </c>
      <c r="B1707" s="11"/>
      <c r="C1707" s="11" t="s">
        <v>3743</v>
      </c>
      <c r="D1707" s="11" t="s">
        <v>1883</v>
      </c>
      <c r="E1707" s="11" t="s">
        <v>3741</v>
      </c>
      <c r="F1707" s="11"/>
      <c r="G1707" s="11" t="s">
        <v>765</v>
      </c>
      <c r="H1707" s="11" t="s">
        <v>3740</v>
      </c>
      <c r="I1707" s="11" t="s">
        <v>3739</v>
      </c>
      <c r="J1707" s="11" t="s">
        <v>3738</v>
      </c>
      <c r="K1707" s="11" t="s">
        <v>1887</v>
      </c>
      <c r="L1707" s="11"/>
      <c r="M1707" s="12"/>
      <c r="N1707" s="11"/>
      <c r="O1707" s="11" t="s">
        <v>1877</v>
      </c>
    </row>
    <row r="1708" spans="1:15" ht="19.5" customHeight="1" x14ac:dyDescent="0.25">
      <c r="A1708" s="13" t="s">
        <v>765</v>
      </c>
      <c r="B1708" s="13"/>
      <c r="C1708" s="13" t="s">
        <v>3742</v>
      </c>
      <c r="D1708" s="13" t="s">
        <v>1883</v>
      </c>
      <c r="E1708" s="13" t="s">
        <v>3741</v>
      </c>
      <c r="F1708" s="13"/>
      <c r="G1708" s="13" t="s">
        <v>765</v>
      </c>
      <c r="H1708" s="13" t="s">
        <v>3740</v>
      </c>
      <c r="I1708" s="13" t="s">
        <v>3739</v>
      </c>
      <c r="J1708" s="13" t="s">
        <v>3738</v>
      </c>
      <c r="K1708" s="13" t="s">
        <v>1887</v>
      </c>
      <c r="L1708" s="13"/>
      <c r="M1708" s="14"/>
      <c r="N1708" s="13"/>
      <c r="O1708" s="13" t="s">
        <v>1877</v>
      </c>
    </row>
    <row r="1709" spans="1:15" ht="19.5" customHeight="1" x14ac:dyDescent="0.25">
      <c r="A1709" s="11" t="s">
        <v>767</v>
      </c>
      <c r="B1709" s="11"/>
      <c r="C1709" s="11" t="s">
        <v>3737</v>
      </c>
      <c r="D1709" s="11" t="s">
        <v>1883</v>
      </c>
      <c r="E1709" s="11" t="s">
        <v>3733</v>
      </c>
      <c r="F1709" s="11"/>
      <c r="G1709" s="11" t="s">
        <v>767</v>
      </c>
      <c r="H1709" s="11" t="s">
        <v>3732</v>
      </c>
      <c r="I1709" s="11" t="s">
        <v>3731</v>
      </c>
      <c r="J1709" s="11" t="s">
        <v>3730</v>
      </c>
      <c r="K1709" s="11" t="s">
        <v>3729</v>
      </c>
      <c r="L1709" s="11"/>
      <c r="M1709" s="12"/>
      <c r="N1709" s="11"/>
      <c r="O1709" s="11" t="s">
        <v>1877</v>
      </c>
    </row>
    <row r="1710" spans="1:15" ht="19.5" customHeight="1" x14ac:dyDescent="0.25">
      <c r="A1710" s="13" t="s">
        <v>767</v>
      </c>
      <c r="B1710" s="13"/>
      <c r="C1710" s="13" t="s">
        <v>3736</v>
      </c>
      <c r="D1710" s="13" t="s">
        <v>1883</v>
      </c>
      <c r="E1710" s="13" t="s">
        <v>3733</v>
      </c>
      <c r="F1710" s="13"/>
      <c r="G1710" s="13" t="s">
        <v>767</v>
      </c>
      <c r="H1710" s="13" t="s">
        <v>3732</v>
      </c>
      <c r="I1710" s="13" t="s">
        <v>3731</v>
      </c>
      <c r="J1710" s="13" t="s">
        <v>3730</v>
      </c>
      <c r="K1710" s="13" t="s">
        <v>3729</v>
      </c>
      <c r="L1710" s="13"/>
      <c r="M1710" s="14"/>
      <c r="N1710" s="13"/>
      <c r="O1710" s="13" t="s">
        <v>1877</v>
      </c>
    </row>
    <row r="1711" spans="1:15" ht="19.5" customHeight="1" x14ac:dyDescent="0.25">
      <c r="A1711" s="11" t="s">
        <v>767</v>
      </c>
      <c r="B1711" s="11"/>
      <c r="C1711" s="11" t="s">
        <v>3735</v>
      </c>
      <c r="D1711" s="11" t="s">
        <v>1883</v>
      </c>
      <c r="E1711" s="11" t="s">
        <v>3733</v>
      </c>
      <c r="F1711" s="11"/>
      <c r="G1711" s="11" t="s">
        <v>767</v>
      </c>
      <c r="H1711" s="11" t="s">
        <v>3732</v>
      </c>
      <c r="I1711" s="11" t="s">
        <v>3731</v>
      </c>
      <c r="J1711" s="11" t="s">
        <v>3730</v>
      </c>
      <c r="K1711" s="11" t="s">
        <v>3729</v>
      </c>
      <c r="L1711" s="11"/>
      <c r="M1711" s="12"/>
      <c r="N1711" s="11"/>
      <c r="O1711" s="11" t="s">
        <v>1877</v>
      </c>
    </row>
    <row r="1712" spans="1:15" ht="19.5" customHeight="1" x14ac:dyDescent="0.25">
      <c r="A1712" s="13" t="s">
        <v>767</v>
      </c>
      <c r="B1712" s="13"/>
      <c r="C1712" s="13" t="s">
        <v>3734</v>
      </c>
      <c r="D1712" s="13" t="s">
        <v>1883</v>
      </c>
      <c r="E1712" s="13" t="s">
        <v>3733</v>
      </c>
      <c r="F1712" s="13"/>
      <c r="G1712" s="13" t="s">
        <v>767</v>
      </c>
      <c r="H1712" s="13" t="s">
        <v>3732</v>
      </c>
      <c r="I1712" s="13" t="s">
        <v>3731</v>
      </c>
      <c r="J1712" s="13" t="s">
        <v>3730</v>
      </c>
      <c r="K1712" s="13" t="s">
        <v>3729</v>
      </c>
      <c r="L1712" s="13"/>
      <c r="M1712" s="14"/>
      <c r="N1712" s="13"/>
      <c r="O1712" s="13" t="s">
        <v>1916</v>
      </c>
    </row>
    <row r="1713" spans="1:15" ht="19.5" customHeight="1" x14ac:dyDescent="0.25">
      <c r="A1713" s="11" t="s">
        <v>1427</v>
      </c>
      <c r="B1713" s="11"/>
      <c r="C1713" s="11" t="s">
        <v>3728</v>
      </c>
      <c r="D1713" s="11" t="s">
        <v>1883</v>
      </c>
      <c r="E1713" s="11" t="s">
        <v>3727</v>
      </c>
      <c r="F1713" s="11"/>
      <c r="G1713" s="11" t="s">
        <v>3726</v>
      </c>
      <c r="H1713" s="11"/>
      <c r="I1713" s="11" t="s">
        <v>3725</v>
      </c>
      <c r="J1713" s="11" t="s">
        <v>3724</v>
      </c>
      <c r="K1713" s="11" t="s">
        <v>2313</v>
      </c>
      <c r="L1713" s="11"/>
      <c r="M1713" s="12"/>
      <c r="N1713" s="11"/>
      <c r="O1713" s="11" t="s">
        <v>1877</v>
      </c>
    </row>
    <row r="1714" spans="1:15" ht="19.5" customHeight="1" x14ac:dyDescent="0.25">
      <c r="A1714" s="13" t="s">
        <v>3723</v>
      </c>
      <c r="B1714" s="13"/>
      <c r="C1714" s="13" t="s">
        <v>3722</v>
      </c>
      <c r="D1714" s="13" t="s">
        <v>1883</v>
      </c>
      <c r="E1714" s="13" t="s">
        <v>3721</v>
      </c>
      <c r="F1714" s="13"/>
      <c r="G1714" s="13" t="s">
        <v>3720</v>
      </c>
      <c r="H1714" s="13"/>
      <c r="I1714" s="13" t="s">
        <v>3719</v>
      </c>
      <c r="J1714" s="13" t="s">
        <v>3718</v>
      </c>
      <c r="K1714" s="13" t="s">
        <v>2313</v>
      </c>
      <c r="L1714" s="13"/>
      <c r="M1714" s="14"/>
      <c r="N1714" s="13"/>
      <c r="O1714" s="13" t="s">
        <v>1877</v>
      </c>
    </row>
    <row r="1715" spans="1:15" ht="19.5" customHeight="1" x14ac:dyDescent="0.25">
      <c r="A1715" s="11" t="s">
        <v>3716</v>
      </c>
      <c r="B1715" s="11"/>
      <c r="C1715" s="11" t="s">
        <v>3717</v>
      </c>
      <c r="D1715" s="11" t="s">
        <v>1883</v>
      </c>
      <c r="E1715" s="11"/>
      <c r="F1715" s="11"/>
      <c r="G1715" s="11" t="s">
        <v>3716</v>
      </c>
      <c r="H1715" s="11"/>
      <c r="I1715" s="11"/>
      <c r="J1715" s="11"/>
      <c r="K1715" s="11"/>
      <c r="L1715" s="11"/>
      <c r="M1715" s="12"/>
      <c r="N1715" s="11"/>
      <c r="O1715" s="11"/>
    </row>
    <row r="1716" spans="1:15" ht="19.5" customHeight="1" x14ac:dyDescent="0.25">
      <c r="A1716" s="13" t="s">
        <v>3711</v>
      </c>
      <c r="B1716" s="13"/>
      <c r="C1716" s="13" t="s">
        <v>3713</v>
      </c>
      <c r="D1716" s="13" t="s">
        <v>1883</v>
      </c>
      <c r="E1716" s="13" t="s">
        <v>3712</v>
      </c>
      <c r="F1716" s="13"/>
      <c r="G1716" s="13" t="s">
        <v>3711</v>
      </c>
      <c r="H1716" s="13"/>
      <c r="I1716" s="13" t="s">
        <v>3710</v>
      </c>
      <c r="J1716" s="13" t="s">
        <v>3709</v>
      </c>
      <c r="K1716" s="13" t="s">
        <v>3708</v>
      </c>
      <c r="L1716" s="13"/>
      <c r="M1716" s="14"/>
      <c r="N1716" s="13"/>
      <c r="O1716" s="13" t="s">
        <v>1877</v>
      </c>
    </row>
    <row r="1717" spans="1:15" ht="19.5" customHeight="1" x14ac:dyDescent="0.25">
      <c r="A1717" s="11" t="s">
        <v>3711</v>
      </c>
      <c r="B1717" s="11"/>
      <c r="C1717" s="11" t="s">
        <v>3715</v>
      </c>
      <c r="D1717" s="11" t="s">
        <v>1883</v>
      </c>
      <c r="E1717" s="11" t="s">
        <v>3714</v>
      </c>
      <c r="F1717" s="11"/>
      <c r="G1717" s="11" t="s">
        <v>3711</v>
      </c>
      <c r="H1717" s="11"/>
      <c r="I1717" s="11" t="s">
        <v>3710</v>
      </c>
      <c r="J1717" s="11" t="s">
        <v>3709</v>
      </c>
      <c r="K1717" s="11" t="s">
        <v>2093</v>
      </c>
      <c r="L1717" s="11"/>
      <c r="M1717" s="12"/>
      <c r="N1717" s="11"/>
      <c r="O1717" s="11" t="s">
        <v>1916</v>
      </c>
    </row>
    <row r="1718" spans="1:15" ht="19.5" customHeight="1" x14ac:dyDescent="0.25">
      <c r="A1718" s="13" t="s">
        <v>3707</v>
      </c>
      <c r="B1718" s="13"/>
      <c r="C1718" s="13" t="s">
        <v>3706</v>
      </c>
      <c r="D1718" s="13" t="s">
        <v>1883</v>
      </c>
      <c r="E1718" s="13" t="s">
        <v>3701</v>
      </c>
      <c r="F1718" s="13"/>
      <c r="G1718" s="13" t="s">
        <v>3700</v>
      </c>
      <c r="H1718" s="13" t="s">
        <v>3699</v>
      </c>
      <c r="I1718" s="13" t="s">
        <v>3705</v>
      </c>
      <c r="J1718" s="13" t="s">
        <v>3697</v>
      </c>
      <c r="K1718" s="13" t="s">
        <v>2976</v>
      </c>
      <c r="L1718" s="13"/>
      <c r="M1718" s="14"/>
      <c r="N1718" s="13"/>
      <c r="O1718" s="13" t="s">
        <v>1916</v>
      </c>
    </row>
    <row r="1719" spans="1:15" ht="19.5" customHeight="1" x14ac:dyDescent="0.25">
      <c r="A1719" s="11" t="s">
        <v>769</v>
      </c>
      <c r="B1719" s="11"/>
      <c r="C1719" s="11" t="s">
        <v>3704</v>
      </c>
      <c r="D1719" s="11" t="s">
        <v>1883</v>
      </c>
      <c r="E1719" s="11" t="s">
        <v>3701</v>
      </c>
      <c r="F1719" s="11"/>
      <c r="G1719" s="11" t="s">
        <v>3700</v>
      </c>
      <c r="H1719" s="11" t="s">
        <v>3699</v>
      </c>
      <c r="I1719" s="11" t="s">
        <v>3698</v>
      </c>
      <c r="J1719" s="11" t="s">
        <v>3697</v>
      </c>
      <c r="K1719" s="11" t="s">
        <v>2976</v>
      </c>
      <c r="L1719" s="11"/>
      <c r="M1719" s="12"/>
      <c r="N1719" s="11"/>
      <c r="O1719" s="11" t="s">
        <v>1877</v>
      </c>
    </row>
    <row r="1720" spans="1:15" ht="19.5" customHeight="1" x14ac:dyDescent="0.25">
      <c r="A1720" s="13" t="s">
        <v>769</v>
      </c>
      <c r="B1720" s="13"/>
      <c r="C1720" s="13" t="s">
        <v>3703</v>
      </c>
      <c r="D1720" s="13" t="s">
        <v>1883</v>
      </c>
      <c r="E1720" s="13" t="s">
        <v>3701</v>
      </c>
      <c r="F1720" s="13"/>
      <c r="G1720" s="13" t="s">
        <v>3700</v>
      </c>
      <c r="H1720" s="13" t="s">
        <v>3699</v>
      </c>
      <c r="I1720" s="13" t="s">
        <v>3698</v>
      </c>
      <c r="J1720" s="13" t="s">
        <v>3697</v>
      </c>
      <c r="K1720" s="13" t="s">
        <v>2976</v>
      </c>
      <c r="L1720" s="13"/>
      <c r="M1720" s="14"/>
      <c r="N1720" s="13"/>
      <c r="O1720" s="13" t="s">
        <v>1877</v>
      </c>
    </row>
    <row r="1721" spans="1:15" ht="19.5" customHeight="1" x14ac:dyDescent="0.25">
      <c r="A1721" s="11" t="s">
        <v>769</v>
      </c>
      <c r="B1721" s="11"/>
      <c r="C1721" s="11" t="s">
        <v>3702</v>
      </c>
      <c r="D1721" s="11" t="s">
        <v>1883</v>
      </c>
      <c r="E1721" s="11" t="s">
        <v>3701</v>
      </c>
      <c r="F1721" s="11"/>
      <c r="G1721" s="11" t="s">
        <v>3700</v>
      </c>
      <c r="H1721" s="11" t="s">
        <v>3699</v>
      </c>
      <c r="I1721" s="11" t="s">
        <v>3698</v>
      </c>
      <c r="J1721" s="11" t="s">
        <v>3697</v>
      </c>
      <c r="K1721" s="11" t="s">
        <v>2976</v>
      </c>
      <c r="L1721" s="11"/>
      <c r="M1721" s="12"/>
      <c r="N1721" s="11"/>
      <c r="O1721" s="11" t="s">
        <v>1877</v>
      </c>
    </row>
    <row r="1722" spans="1:15" ht="19.5" customHeight="1" x14ac:dyDescent="0.25">
      <c r="A1722" s="13" t="s">
        <v>1122</v>
      </c>
      <c r="B1722" s="13"/>
      <c r="C1722" s="13" t="s">
        <v>3696</v>
      </c>
      <c r="D1722" s="13" t="s">
        <v>1883</v>
      </c>
      <c r="E1722" s="13" t="s">
        <v>8936</v>
      </c>
      <c r="F1722" s="13"/>
      <c r="G1722" s="13" t="s">
        <v>1122</v>
      </c>
      <c r="H1722" s="13"/>
      <c r="I1722" s="13" t="s">
        <v>2095</v>
      </c>
      <c r="J1722" s="13" t="s">
        <v>3695</v>
      </c>
      <c r="K1722" s="13" t="s">
        <v>1878</v>
      </c>
      <c r="L1722" s="13"/>
      <c r="M1722" s="14"/>
      <c r="N1722" s="13"/>
      <c r="O1722" s="13" t="s">
        <v>1877</v>
      </c>
    </row>
    <row r="1723" spans="1:15" ht="19.5" customHeight="1" x14ac:dyDescent="0.25">
      <c r="A1723" s="11" t="s">
        <v>1446</v>
      </c>
      <c r="B1723" s="11"/>
      <c r="C1723" s="11" t="s">
        <v>1445</v>
      </c>
      <c r="D1723" s="11" t="s">
        <v>1950</v>
      </c>
      <c r="E1723" s="11" t="s">
        <v>3694</v>
      </c>
      <c r="F1723" s="11"/>
      <c r="G1723" s="11" t="s">
        <v>1446</v>
      </c>
      <c r="H1723" s="11"/>
      <c r="I1723" s="11" t="s">
        <v>2498</v>
      </c>
      <c r="J1723" s="11" t="s">
        <v>3693</v>
      </c>
      <c r="K1723" s="11" t="s">
        <v>1952</v>
      </c>
      <c r="L1723" s="11"/>
      <c r="M1723" s="12"/>
      <c r="N1723" s="11"/>
      <c r="O1723" s="11" t="s">
        <v>1945</v>
      </c>
    </row>
    <row r="1724" spans="1:15" ht="19.5" customHeight="1" x14ac:dyDescent="0.25">
      <c r="A1724" s="13" t="s">
        <v>3691</v>
      </c>
      <c r="B1724" s="13"/>
      <c r="C1724" s="13" t="s">
        <v>3692</v>
      </c>
      <c r="D1724" s="13" t="s">
        <v>1883</v>
      </c>
      <c r="E1724" s="13"/>
      <c r="F1724" s="13"/>
      <c r="G1724" s="13" t="s">
        <v>3691</v>
      </c>
      <c r="H1724" s="13"/>
      <c r="I1724" s="13"/>
      <c r="J1724" s="13"/>
      <c r="K1724" s="13"/>
      <c r="L1724" s="13"/>
      <c r="M1724" s="14"/>
      <c r="N1724" s="13"/>
      <c r="O1724" s="13"/>
    </row>
    <row r="1725" spans="1:15" ht="19.5" customHeight="1" x14ac:dyDescent="0.25">
      <c r="A1725" s="11" t="s">
        <v>3689</v>
      </c>
      <c r="B1725" s="11"/>
      <c r="C1725" s="11" t="s">
        <v>3690</v>
      </c>
      <c r="D1725" s="11" t="s">
        <v>1883</v>
      </c>
      <c r="E1725" s="11"/>
      <c r="F1725" s="11"/>
      <c r="G1725" s="11" t="s">
        <v>3689</v>
      </c>
      <c r="H1725" s="11"/>
      <c r="I1725" s="11"/>
      <c r="J1725" s="11"/>
      <c r="K1725" s="11"/>
      <c r="L1725" s="11"/>
      <c r="M1725" s="12"/>
      <c r="N1725" s="11"/>
      <c r="O1725" s="11"/>
    </row>
    <row r="1726" spans="1:15" ht="19.5" customHeight="1" x14ac:dyDescent="0.25">
      <c r="A1726" s="13" t="s">
        <v>3687</v>
      </c>
      <c r="B1726" s="13"/>
      <c r="C1726" s="13" t="s">
        <v>3688</v>
      </c>
      <c r="D1726" s="13" t="s">
        <v>1883</v>
      </c>
      <c r="E1726" s="13"/>
      <c r="F1726" s="13"/>
      <c r="G1726" s="13" t="s">
        <v>3687</v>
      </c>
      <c r="H1726" s="13"/>
      <c r="I1726" s="13"/>
      <c r="J1726" s="13"/>
      <c r="K1726" s="13"/>
      <c r="L1726" s="13"/>
      <c r="M1726" s="14"/>
      <c r="N1726" s="13"/>
      <c r="O1726" s="13"/>
    </row>
    <row r="1727" spans="1:15" ht="19.5" customHeight="1" x14ac:dyDescent="0.25">
      <c r="A1727" s="11" t="s">
        <v>771</v>
      </c>
      <c r="B1727" s="11"/>
      <c r="C1727" s="11" t="s">
        <v>3686</v>
      </c>
      <c r="D1727" s="11" t="s">
        <v>1883</v>
      </c>
      <c r="E1727" s="11" t="s">
        <v>3683</v>
      </c>
      <c r="F1727" s="11"/>
      <c r="G1727" s="11" t="s">
        <v>771</v>
      </c>
      <c r="H1727" s="11" t="s">
        <v>3682</v>
      </c>
      <c r="I1727" s="11" t="s">
        <v>3681</v>
      </c>
      <c r="J1727" s="11" t="s">
        <v>3680</v>
      </c>
      <c r="K1727" s="11" t="s">
        <v>3679</v>
      </c>
      <c r="L1727" s="11"/>
      <c r="M1727" s="12"/>
      <c r="N1727" s="11"/>
      <c r="O1727" s="11" t="s">
        <v>1877</v>
      </c>
    </row>
    <row r="1728" spans="1:15" ht="19.5" customHeight="1" x14ac:dyDescent="0.25">
      <c r="A1728" s="13" t="s">
        <v>771</v>
      </c>
      <c r="B1728" s="13"/>
      <c r="C1728" s="13" t="s">
        <v>3685</v>
      </c>
      <c r="D1728" s="13" t="s">
        <v>1883</v>
      </c>
      <c r="E1728" s="13" t="s">
        <v>3683</v>
      </c>
      <c r="F1728" s="13"/>
      <c r="G1728" s="13" t="s">
        <v>771</v>
      </c>
      <c r="H1728" s="13" t="s">
        <v>3682</v>
      </c>
      <c r="I1728" s="13" t="s">
        <v>3681</v>
      </c>
      <c r="J1728" s="13" t="s">
        <v>3680</v>
      </c>
      <c r="K1728" s="13" t="s">
        <v>3679</v>
      </c>
      <c r="L1728" s="13"/>
      <c r="M1728" s="14"/>
      <c r="N1728" s="13"/>
      <c r="O1728" s="13" t="s">
        <v>1877</v>
      </c>
    </row>
    <row r="1729" spans="1:15" ht="19.5" customHeight="1" x14ac:dyDescent="0.25">
      <c r="A1729" s="11" t="s">
        <v>771</v>
      </c>
      <c r="B1729" s="11"/>
      <c r="C1729" s="11" t="s">
        <v>3684</v>
      </c>
      <c r="D1729" s="11" t="s">
        <v>1883</v>
      </c>
      <c r="E1729" s="11" t="s">
        <v>3683</v>
      </c>
      <c r="F1729" s="11"/>
      <c r="G1729" s="11" t="s">
        <v>771</v>
      </c>
      <c r="H1729" s="11" t="s">
        <v>3682</v>
      </c>
      <c r="I1729" s="11" t="s">
        <v>3681</v>
      </c>
      <c r="J1729" s="11" t="s">
        <v>3680</v>
      </c>
      <c r="K1729" s="11" t="s">
        <v>3679</v>
      </c>
      <c r="L1729" s="11"/>
      <c r="M1729" s="12"/>
      <c r="N1729" s="11"/>
      <c r="O1729" s="11" t="s">
        <v>1877</v>
      </c>
    </row>
    <row r="1730" spans="1:15" ht="19.5" customHeight="1" x14ac:dyDescent="0.25">
      <c r="A1730" s="13" t="s">
        <v>3675</v>
      </c>
      <c r="B1730" s="13"/>
      <c r="C1730" s="13" t="s">
        <v>3678</v>
      </c>
      <c r="D1730" s="13" t="s">
        <v>1950</v>
      </c>
      <c r="E1730" s="13" t="s">
        <v>3677</v>
      </c>
      <c r="F1730" s="13" t="s">
        <v>3676</v>
      </c>
      <c r="G1730" s="13" t="s">
        <v>3675</v>
      </c>
      <c r="H1730" s="13"/>
      <c r="I1730" s="13"/>
      <c r="J1730" s="13"/>
      <c r="K1730" s="13"/>
      <c r="L1730" s="13"/>
      <c r="M1730" s="14"/>
      <c r="N1730" s="13"/>
      <c r="O1730" s="13"/>
    </row>
    <row r="1731" spans="1:15" ht="19.5" customHeight="1" x14ac:dyDescent="0.25">
      <c r="A1731" s="11" t="s">
        <v>773</v>
      </c>
      <c r="B1731" s="11"/>
      <c r="C1731" s="11" t="s">
        <v>3674</v>
      </c>
      <c r="D1731" s="11" t="s">
        <v>1883</v>
      </c>
      <c r="E1731" s="11" t="s">
        <v>3671</v>
      </c>
      <c r="F1731" s="11"/>
      <c r="G1731" s="11" t="s">
        <v>773</v>
      </c>
      <c r="H1731" s="11" t="s">
        <v>3670</v>
      </c>
      <c r="I1731" s="11" t="s">
        <v>3669</v>
      </c>
      <c r="J1731" s="11" t="s">
        <v>3668</v>
      </c>
      <c r="K1731" s="11" t="s">
        <v>2794</v>
      </c>
      <c r="L1731" s="11"/>
      <c r="M1731" s="12"/>
      <c r="N1731" s="11"/>
      <c r="O1731" s="11" t="s">
        <v>1877</v>
      </c>
    </row>
    <row r="1732" spans="1:15" ht="19.5" customHeight="1" x14ac:dyDescent="0.25">
      <c r="A1732" s="13" t="s">
        <v>773</v>
      </c>
      <c r="B1732" s="13"/>
      <c r="C1732" s="13" t="s">
        <v>3673</v>
      </c>
      <c r="D1732" s="13" t="s">
        <v>1883</v>
      </c>
      <c r="E1732" s="13" t="s">
        <v>3671</v>
      </c>
      <c r="F1732" s="13"/>
      <c r="G1732" s="13" t="s">
        <v>773</v>
      </c>
      <c r="H1732" s="13" t="s">
        <v>3670</v>
      </c>
      <c r="I1732" s="13" t="s">
        <v>3669</v>
      </c>
      <c r="J1732" s="13" t="s">
        <v>3668</v>
      </c>
      <c r="K1732" s="13" t="s">
        <v>2794</v>
      </c>
      <c r="L1732" s="13"/>
      <c r="M1732" s="14"/>
      <c r="N1732" s="13"/>
      <c r="O1732" s="13" t="s">
        <v>1877</v>
      </c>
    </row>
    <row r="1733" spans="1:15" ht="19.5" customHeight="1" x14ac:dyDescent="0.25">
      <c r="A1733" s="11" t="s">
        <v>773</v>
      </c>
      <c r="B1733" s="11"/>
      <c r="C1733" s="11" t="s">
        <v>3672</v>
      </c>
      <c r="D1733" s="11" t="s">
        <v>1883</v>
      </c>
      <c r="E1733" s="11" t="s">
        <v>3671</v>
      </c>
      <c r="F1733" s="11"/>
      <c r="G1733" s="11" t="s">
        <v>773</v>
      </c>
      <c r="H1733" s="11" t="s">
        <v>3670</v>
      </c>
      <c r="I1733" s="11" t="s">
        <v>3669</v>
      </c>
      <c r="J1733" s="11" t="s">
        <v>3668</v>
      </c>
      <c r="K1733" s="11" t="s">
        <v>2794</v>
      </c>
      <c r="L1733" s="11"/>
      <c r="M1733" s="12"/>
      <c r="N1733" s="11"/>
      <c r="O1733" s="11" t="s">
        <v>1877</v>
      </c>
    </row>
    <row r="1734" spans="1:15" ht="19.5" customHeight="1" x14ac:dyDescent="0.25">
      <c r="A1734" s="13" t="s">
        <v>3665</v>
      </c>
      <c r="B1734" s="13"/>
      <c r="C1734" s="13" t="s">
        <v>3667</v>
      </c>
      <c r="D1734" s="13" t="s">
        <v>1883</v>
      </c>
      <c r="E1734" s="13" t="s">
        <v>3663</v>
      </c>
      <c r="F1734" s="13" t="s">
        <v>3662</v>
      </c>
      <c r="G1734" s="13" t="s">
        <v>727</v>
      </c>
      <c r="H1734" s="13"/>
      <c r="I1734" s="13" t="s">
        <v>3661</v>
      </c>
      <c r="J1734" s="13" t="s">
        <v>3660</v>
      </c>
      <c r="K1734" s="13" t="s">
        <v>1952</v>
      </c>
      <c r="L1734" s="13"/>
      <c r="M1734" s="14"/>
      <c r="N1734" s="13"/>
      <c r="O1734" s="13" t="s">
        <v>2028</v>
      </c>
    </row>
    <row r="1735" spans="1:15" ht="19.5" customHeight="1" x14ac:dyDescent="0.25">
      <c r="A1735" s="11" t="s">
        <v>3665</v>
      </c>
      <c r="B1735" s="11"/>
      <c r="C1735" s="11" t="s">
        <v>3666</v>
      </c>
      <c r="D1735" s="11" t="s">
        <v>1883</v>
      </c>
      <c r="E1735" s="11" t="s">
        <v>3663</v>
      </c>
      <c r="F1735" s="11" t="s">
        <v>3662</v>
      </c>
      <c r="G1735" s="11" t="s">
        <v>727</v>
      </c>
      <c r="H1735" s="11"/>
      <c r="I1735" s="11" t="s">
        <v>3661</v>
      </c>
      <c r="J1735" s="11" t="s">
        <v>3660</v>
      </c>
      <c r="K1735" s="11" t="s">
        <v>1952</v>
      </c>
      <c r="L1735" s="11"/>
      <c r="M1735" s="12"/>
      <c r="N1735" s="11"/>
      <c r="O1735" s="11" t="s">
        <v>2028</v>
      </c>
    </row>
    <row r="1736" spans="1:15" ht="19.5" customHeight="1" x14ac:dyDescent="0.25">
      <c r="A1736" s="13" t="s">
        <v>3665</v>
      </c>
      <c r="B1736" s="13"/>
      <c r="C1736" s="13" t="s">
        <v>3664</v>
      </c>
      <c r="D1736" s="13" t="s">
        <v>1883</v>
      </c>
      <c r="E1736" s="13" t="s">
        <v>3663</v>
      </c>
      <c r="F1736" s="13" t="s">
        <v>3662</v>
      </c>
      <c r="G1736" s="13" t="s">
        <v>727</v>
      </c>
      <c r="H1736" s="13"/>
      <c r="I1736" s="13" t="s">
        <v>3661</v>
      </c>
      <c r="J1736" s="13" t="s">
        <v>3660</v>
      </c>
      <c r="K1736" s="13" t="s">
        <v>1952</v>
      </c>
      <c r="L1736" s="13"/>
      <c r="M1736" s="14"/>
      <c r="N1736" s="13"/>
      <c r="O1736" s="13" t="s">
        <v>2028</v>
      </c>
    </row>
    <row r="1737" spans="1:15" ht="19.5" customHeight="1" x14ac:dyDescent="0.25">
      <c r="A1737" s="11" t="s">
        <v>1456</v>
      </c>
      <c r="B1737" s="11"/>
      <c r="C1737" s="11" t="s">
        <v>3659</v>
      </c>
      <c r="D1737" s="11" t="s">
        <v>1883</v>
      </c>
      <c r="E1737" s="11" t="s">
        <v>3657</v>
      </c>
      <c r="F1737" s="11"/>
      <c r="G1737" s="11" t="s">
        <v>3656</v>
      </c>
      <c r="H1737" s="11"/>
      <c r="I1737" s="11" t="s">
        <v>3655</v>
      </c>
      <c r="J1737" s="11" t="s">
        <v>3654</v>
      </c>
      <c r="K1737" s="11" t="s">
        <v>2033</v>
      </c>
      <c r="L1737" s="11"/>
      <c r="M1737" s="12"/>
      <c r="N1737" s="11"/>
      <c r="O1737" s="11" t="s">
        <v>2028</v>
      </c>
    </row>
    <row r="1738" spans="1:15" ht="19.5" customHeight="1" x14ac:dyDescent="0.25">
      <c r="A1738" s="13" t="s">
        <v>1456</v>
      </c>
      <c r="B1738" s="13"/>
      <c r="C1738" s="13" t="s">
        <v>3658</v>
      </c>
      <c r="D1738" s="13" t="s">
        <v>1883</v>
      </c>
      <c r="E1738" s="13" t="s">
        <v>3657</v>
      </c>
      <c r="F1738" s="13"/>
      <c r="G1738" s="13" t="s">
        <v>3656</v>
      </c>
      <c r="H1738" s="13"/>
      <c r="I1738" s="13" t="s">
        <v>3655</v>
      </c>
      <c r="J1738" s="13" t="s">
        <v>3654</v>
      </c>
      <c r="K1738" s="13" t="s">
        <v>2033</v>
      </c>
      <c r="L1738" s="13"/>
      <c r="M1738" s="14"/>
      <c r="N1738" s="13"/>
      <c r="O1738" s="13" t="s">
        <v>2028</v>
      </c>
    </row>
    <row r="1739" spans="1:15" ht="19.5" customHeight="1" x14ac:dyDescent="0.25">
      <c r="A1739" s="11" t="s">
        <v>1189</v>
      </c>
      <c r="B1739" s="11"/>
      <c r="C1739" s="11" t="s">
        <v>3653</v>
      </c>
      <c r="D1739" s="11" t="s">
        <v>1950</v>
      </c>
      <c r="E1739" s="11" t="s">
        <v>3652</v>
      </c>
      <c r="F1739" s="11" t="s">
        <v>3651</v>
      </c>
      <c r="G1739" s="11" t="s">
        <v>3650</v>
      </c>
      <c r="H1739" s="11"/>
      <c r="I1739" s="11" t="s">
        <v>3649</v>
      </c>
      <c r="J1739" s="11" t="s">
        <v>3648</v>
      </c>
      <c r="K1739" s="11" t="s">
        <v>1952</v>
      </c>
      <c r="L1739" s="11"/>
      <c r="M1739" s="12"/>
      <c r="N1739" s="11"/>
      <c r="O1739" s="11" t="s">
        <v>2028</v>
      </c>
    </row>
    <row r="1740" spans="1:15" ht="19.5" customHeight="1" x14ac:dyDescent="0.25">
      <c r="A1740" s="13" t="s">
        <v>1284</v>
      </c>
      <c r="B1740" s="13"/>
      <c r="C1740" s="13" t="s">
        <v>3647</v>
      </c>
      <c r="D1740" s="13" t="s">
        <v>1883</v>
      </c>
      <c r="E1740" s="13" t="s">
        <v>3646</v>
      </c>
      <c r="F1740" s="13" t="s">
        <v>3645</v>
      </c>
      <c r="G1740" s="13" t="s">
        <v>3644</v>
      </c>
      <c r="H1740" s="13"/>
      <c r="I1740" s="13" t="s">
        <v>3643</v>
      </c>
      <c r="J1740" s="13" t="s">
        <v>3642</v>
      </c>
      <c r="K1740" s="13" t="s">
        <v>3641</v>
      </c>
      <c r="L1740" s="13"/>
      <c r="M1740" s="14"/>
      <c r="N1740" s="13"/>
      <c r="O1740" s="13" t="s">
        <v>2028</v>
      </c>
    </row>
    <row r="1741" spans="1:15" ht="19.5" customHeight="1" x14ac:dyDescent="0.25">
      <c r="A1741" s="11" t="s">
        <v>1500</v>
      </c>
      <c r="B1741" s="11"/>
      <c r="C1741" s="11" t="s">
        <v>3640</v>
      </c>
      <c r="D1741" s="11" t="s">
        <v>1883</v>
      </c>
      <c r="E1741" s="11" t="s">
        <v>3639</v>
      </c>
      <c r="F1741" s="11"/>
      <c r="G1741" s="11" t="s">
        <v>1500</v>
      </c>
      <c r="H1741" s="11"/>
      <c r="I1741" s="11" t="s">
        <v>3638</v>
      </c>
      <c r="J1741" s="11" t="s">
        <v>3637</v>
      </c>
      <c r="K1741" s="11" t="s">
        <v>2033</v>
      </c>
      <c r="L1741" s="11"/>
      <c r="M1741" s="12"/>
      <c r="N1741" s="11"/>
      <c r="O1741" s="11" t="s">
        <v>2028</v>
      </c>
    </row>
    <row r="1742" spans="1:15" ht="19.5" customHeight="1" x14ac:dyDescent="0.25">
      <c r="A1742" s="13" t="s">
        <v>1714</v>
      </c>
      <c r="B1742" s="13"/>
      <c r="C1742" s="13" t="s">
        <v>3636</v>
      </c>
      <c r="D1742" s="13" t="s">
        <v>1883</v>
      </c>
      <c r="E1742" s="13" t="s">
        <v>3635</v>
      </c>
      <c r="F1742" s="13"/>
      <c r="G1742" s="13" t="s">
        <v>1714</v>
      </c>
      <c r="H1742" s="13"/>
      <c r="I1742" s="13" t="s">
        <v>3634</v>
      </c>
      <c r="J1742" s="13" t="s">
        <v>3633</v>
      </c>
      <c r="K1742" s="13" t="s">
        <v>1952</v>
      </c>
      <c r="L1742" s="13"/>
      <c r="M1742" s="14"/>
      <c r="N1742" s="13"/>
      <c r="O1742" s="13" t="s">
        <v>2028</v>
      </c>
    </row>
    <row r="1743" spans="1:15" ht="19.5" customHeight="1" x14ac:dyDescent="0.25">
      <c r="A1743" s="11" t="s">
        <v>1062</v>
      </c>
      <c r="B1743" s="11"/>
      <c r="C1743" s="11" t="s">
        <v>1061</v>
      </c>
      <c r="D1743" s="11" t="s">
        <v>1883</v>
      </c>
      <c r="E1743" s="11" t="s">
        <v>3632</v>
      </c>
      <c r="F1743" s="11"/>
      <c r="G1743" s="11" t="s">
        <v>1062</v>
      </c>
      <c r="H1743" s="11" t="s">
        <v>3631</v>
      </c>
      <c r="I1743" s="11" t="s">
        <v>3630</v>
      </c>
      <c r="J1743" s="11" t="s">
        <v>3629</v>
      </c>
      <c r="K1743" s="11" t="s">
        <v>1952</v>
      </c>
      <c r="L1743" s="11"/>
      <c r="M1743" s="12"/>
      <c r="N1743" s="11"/>
      <c r="O1743" s="11" t="s">
        <v>1945</v>
      </c>
    </row>
    <row r="1744" spans="1:15" ht="19.5" customHeight="1" x14ac:dyDescent="0.25">
      <c r="A1744" s="13" t="s">
        <v>1053</v>
      </c>
      <c r="B1744" s="13"/>
      <c r="C1744" s="13" t="s">
        <v>1052</v>
      </c>
      <c r="D1744" s="13" t="s">
        <v>1883</v>
      </c>
      <c r="E1744" s="13" t="s">
        <v>3628</v>
      </c>
      <c r="F1744" s="13"/>
      <c r="G1744" s="13" t="s">
        <v>1053</v>
      </c>
      <c r="H1744" s="13"/>
      <c r="I1744" s="13" t="s">
        <v>3627</v>
      </c>
      <c r="J1744" s="13" t="s">
        <v>3626</v>
      </c>
      <c r="K1744" s="13" t="s">
        <v>3625</v>
      </c>
      <c r="L1744" s="13"/>
      <c r="M1744" s="14"/>
      <c r="N1744" s="13"/>
      <c r="O1744" s="13" t="s">
        <v>1945</v>
      </c>
    </row>
    <row r="1745" spans="1:15" ht="19.5" customHeight="1" x14ac:dyDescent="0.25">
      <c r="A1745" s="11" t="s">
        <v>3612</v>
      </c>
      <c r="B1745" s="11"/>
      <c r="C1745" s="11" t="s">
        <v>3624</v>
      </c>
      <c r="D1745" s="11" t="s">
        <v>1883</v>
      </c>
      <c r="E1745" s="11"/>
      <c r="F1745" s="11"/>
      <c r="G1745" s="11" t="s">
        <v>3612</v>
      </c>
      <c r="H1745" s="11"/>
      <c r="I1745" s="11"/>
      <c r="J1745" s="11"/>
      <c r="K1745" s="11"/>
      <c r="L1745" s="11"/>
      <c r="M1745" s="12"/>
      <c r="N1745" s="11"/>
      <c r="O1745" s="11"/>
    </row>
    <row r="1746" spans="1:15" ht="19.5" customHeight="1" x14ac:dyDescent="0.25">
      <c r="A1746" s="13" t="s">
        <v>3612</v>
      </c>
      <c r="B1746" s="13"/>
      <c r="C1746" s="13" t="s">
        <v>3623</v>
      </c>
      <c r="D1746" s="13" t="s">
        <v>1883</v>
      </c>
      <c r="E1746" s="13"/>
      <c r="F1746" s="13"/>
      <c r="G1746" s="13" t="s">
        <v>3612</v>
      </c>
      <c r="H1746" s="13"/>
      <c r="I1746" s="13"/>
      <c r="J1746" s="13"/>
      <c r="K1746" s="13"/>
      <c r="L1746" s="13"/>
      <c r="M1746" s="14"/>
      <c r="N1746" s="13"/>
      <c r="O1746" s="13"/>
    </row>
    <row r="1747" spans="1:15" ht="19.5" customHeight="1" x14ac:dyDescent="0.25">
      <c r="A1747" s="11" t="s">
        <v>3612</v>
      </c>
      <c r="B1747" s="11"/>
      <c r="C1747" s="11" t="s">
        <v>3622</v>
      </c>
      <c r="D1747" s="11" t="s">
        <v>1883</v>
      </c>
      <c r="E1747" s="11"/>
      <c r="F1747" s="11"/>
      <c r="G1747" s="11" t="s">
        <v>3612</v>
      </c>
      <c r="H1747" s="11"/>
      <c r="I1747" s="11"/>
      <c r="J1747" s="11"/>
      <c r="K1747" s="11"/>
      <c r="L1747" s="11"/>
      <c r="M1747" s="12"/>
      <c r="N1747" s="11"/>
      <c r="O1747" s="11"/>
    </row>
    <row r="1748" spans="1:15" ht="19.5" customHeight="1" x14ac:dyDescent="0.25">
      <c r="A1748" s="13" t="s">
        <v>3612</v>
      </c>
      <c r="B1748" s="13"/>
      <c r="C1748" s="13" t="s">
        <v>3621</v>
      </c>
      <c r="D1748" s="13" t="s">
        <v>1883</v>
      </c>
      <c r="E1748" s="13"/>
      <c r="F1748" s="13"/>
      <c r="G1748" s="13" t="s">
        <v>3612</v>
      </c>
      <c r="H1748" s="13"/>
      <c r="I1748" s="13"/>
      <c r="J1748" s="13"/>
      <c r="K1748" s="13"/>
      <c r="L1748" s="13"/>
      <c r="M1748" s="14"/>
      <c r="N1748" s="13"/>
      <c r="O1748" s="13"/>
    </row>
    <row r="1749" spans="1:15" ht="19.5" customHeight="1" x14ac:dyDescent="0.25">
      <c r="A1749" s="11" t="s">
        <v>3612</v>
      </c>
      <c r="B1749" s="11"/>
      <c r="C1749" s="11" t="s">
        <v>3620</v>
      </c>
      <c r="D1749" s="11" t="s">
        <v>1883</v>
      </c>
      <c r="E1749" s="11"/>
      <c r="F1749" s="11"/>
      <c r="G1749" s="11" t="s">
        <v>3612</v>
      </c>
      <c r="H1749" s="11"/>
      <c r="I1749" s="11"/>
      <c r="J1749" s="11"/>
      <c r="K1749" s="11"/>
      <c r="L1749" s="11"/>
      <c r="M1749" s="12"/>
      <c r="N1749" s="11"/>
      <c r="O1749" s="11"/>
    </row>
    <row r="1750" spans="1:15" ht="19.5" customHeight="1" x14ac:dyDescent="0.25">
      <c r="A1750" s="13" t="s">
        <v>3612</v>
      </c>
      <c r="B1750" s="13"/>
      <c r="C1750" s="13" t="s">
        <v>3619</v>
      </c>
      <c r="D1750" s="13" t="s">
        <v>1883</v>
      </c>
      <c r="E1750" s="13"/>
      <c r="F1750" s="13"/>
      <c r="G1750" s="13" t="s">
        <v>3612</v>
      </c>
      <c r="H1750" s="13"/>
      <c r="I1750" s="13"/>
      <c r="J1750" s="13"/>
      <c r="K1750" s="13"/>
      <c r="L1750" s="13"/>
      <c r="M1750" s="14"/>
      <c r="N1750" s="13"/>
      <c r="O1750" s="13"/>
    </row>
    <row r="1751" spans="1:15" ht="19.5" customHeight="1" x14ac:dyDescent="0.25">
      <c r="A1751" s="11" t="s">
        <v>3612</v>
      </c>
      <c r="B1751" s="11"/>
      <c r="C1751" s="11" t="s">
        <v>3618</v>
      </c>
      <c r="D1751" s="11" t="s">
        <v>1883</v>
      </c>
      <c r="E1751" s="11"/>
      <c r="F1751" s="11"/>
      <c r="G1751" s="11" t="s">
        <v>3612</v>
      </c>
      <c r="H1751" s="11"/>
      <c r="I1751" s="11"/>
      <c r="J1751" s="11"/>
      <c r="K1751" s="11"/>
      <c r="L1751" s="11"/>
      <c r="M1751" s="12"/>
      <c r="N1751" s="11"/>
      <c r="O1751" s="11"/>
    </row>
    <row r="1752" spans="1:15" ht="19.5" customHeight="1" x14ac:dyDescent="0.25">
      <c r="A1752" s="13" t="s">
        <v>3612</v>
      </c>
      <c r="B1752" s="13"/>
      <c r="C1752" s="13" t="s">
        <v>3617</v>
      </c>
      <c r="D1752" s="13" t="s">
        <v>1883</v>
      </c>
      <c r="E1752" s="13"/>
      <c r="F1752" s="13"/>
      <c r="G1752" s="13" t="s">
        <v>3612</v>
      </c>
      <c r="H1752" s="13"/>
      <c r="I1752" s="13"/>
      <c r="J1752" s="13"/>
      <c r="K1752" s="13"/>
      <c r="L1752" s="13"/>
      <c r="M1752" s="14"/>
      <c r="N1752" s="13"/>
      <c r="O1752" s="13"/>
    </row>
    <row r="1753" spans="1:15" ht="19.5" customHeight="1" x14ac:dyDescent="0.25">
      <c r="A1753" s="11" t="s">
        <v>3612</v>
      </c>
      <c r="B1753" s="11"/>
      <c r="C1753" s="11" t="s">
        <v>3616</v>
      </c>
      <c r="D1753" s="11" t="s">
        <v>1883</v>
      </c>
      <c r="E1753" s="11"/>
      <c r="F1753" s="11"/>
      <c r="G1753" s="11" t="s">
        <v>3612</v>
      </c>
      <c r="H1753" s="11"/>
      <c r="I1753" s="11"/>
      <c r="J1753" s="11"/>
      <c r="K1753" s="11"/>
      <c r="L1753" s="11"/>
      <c r="M1753" s="12"/>
      <c r="N1753" s="11"/>
      <c r="O1753" s="11"/>
    </row>
    <row r="1754" spans="1:15" ht="19.5" customHeight="1" x14ac:dyDescent="0.25">
      <c r="A1754" s="13" t="s">
        <v>3612</v>
      </c>
      <c r="B1754" s="13"/>
      <c r="C1754" s="13" t="s">
        <v>3615</v>
      </c>
      <c r="D1754" s="13" t="s">
        <v>1883</v>
      </c>
      <c r="E1754" s="13"/>
      <c r="F1754" s="13"/>
      <c r="G1754" s="13" t="s">
        <v>3612</v>
      </c>
      <c r="H1754" s="13"/>
      <c r="I1754" s="13"/>
      <c r="J1754" s="13"/>
      <c r="K1754" s="13"/>
      <c r="L1754" s="13"/>
      <c r="M1754" s="14"/>
      <c r="N1754" s="13"/>
      <c r="O1754" s="13"/>
    </row>
    <row r="1755" spans="1:15" ht="19.5" customHeight="1" x14ac:dyDescent="0.25">
      <c r="A1755" s="11" t="s">
        <v>3612</v>
      </c>
      <c r="B1755" s="11"/>
      <c r="C1755" s="11" t="s">
        <v>3614</v>
      </c>
      <c r="D1755" s="11" t="s">
        <v>1883</v>
      </c>
      <c r="E1755" s="11"/>
      <c r="F1755" s="11"/>
      <c r="G1755" s="11" t="s">
        <v>3612</v>
      </c>
      <c r="H1755" s="11"/>
      <c r="I1755" s="11"/>
      <c r="J1755" s="11"/>
      <c r="K1755" s="11"/>
      <c r="L1755" s="11"/>
      <c r="M1755" s="12"/>
      <c r="N1755" s="11"/>
      <c r="O1755" s="11"/>
    </row>
    <row r="1756" spans="1:15" ht="19.5" customHeight="1" x14ac:dyDescent="0.25">
      <c r="A1756" s="13" t="s">
        <v>3612</v>
      </c>
      <c r="B1756" s="13"/>
      <c r="C1756" s="13" t="s">
        <v>3613</v>
      </c>
      <c r="D1756" s="13" t="s">
        <v>1883</v>
      </c>
      <c r="E1756" s="13"/>
      <c r="F1756" s="13"/>
      <c r="G1756" s="13" t="s">
        <v>3612</v>
      </c>
      <c r="H1756" s="13"/>
      <c r="I1756" s="13"/>
      <c r="J1756" s="13"/>
      <c r="K1756" s="13"/>
      <c r="L1756" s="13"/>
      <c r="M1756" s="14"/>
      <c r="N1756" s="13"/>
      <c r="O1756" s="13"/>
    </row>
    <row r="1757" spans="1:15" ht="19.5" customHeight="1" x14ac:dyDescent="0.25">
      <c r="A1757" s="11" t="s">
        <v>3610</v>
      </c>
      <c r="B1757" s="11"/>
      <c r="C1757" s="11" t="s">
        <v>3611</v>
      </c>
      <c r="D1757" s="11" t="s">
        <v>1883</v>
      </c>
      <c r="E1757" s="11"/>
      <c r="F1757" s="11"/>
      <c r="G1757" s="11" t="s">
        <v>3610</v>
      </c>
      <c r="H1757" s="11"/>
      <c r="I1757" s="11"/>
      <c r="J1757" s="11"/>
      <c r="K1757" s="11"/>
      <c r="L1757" s="11"/>
      <c r="M1757" s="12"/>
      <c r="N1757" s="11"/>
      <c r="O1757" s="11"/>
    </row>
    <row r="1758" spans="1:15" ht="19.5" customHeight="1" x14ac:dyDescent="0.25">
      <c r="A1758" s="13" t="s">
        <v>775</v>
      </c>
      <c r="B1758" s="13"/>
      <c r="C1758" s="13" t="s">
        <v>3609</v>
      </c>
      <c r="D1758" s="13" t="s">
        <v>1883</v>
      </c>
      <c r="E1758" s="13" t="s">
        <v>3605</v>
      </c>
      <c r="F1758" s="13" t="s">
        <v>3604</v>
      </c>
      <c r="G1758" s="13" t="s">
        <v>775</v>
      </c>
      <c r="H1758" s="13" t="s">
        <v>3602</v>
      </c>
      <c r="I1758" s="13" t="s">
        <v>3601</v>
      </c>
      <c r="J1758" s="13" t="s">
        <v>3600</v>
      </c>
      <c r="K1758" s="13" t="s">
        <v>3599</v>
      </c>
      <c r="L1758" s="13"/>
      <c r="M1758" s="14"/>
      <c r="N1758" s="13"/>
      <c r="O1758" s="13" t="s">
        <v>1916</v>
      </c>
    </row>
    <row r="1759" spans="1:15" ht="19.5" customHeight="1" x14ac:dyDescent="0.25">
      <c r="A1759" s="11" t="s">
        <v>775</v>
      </c>
      <c r="B1759" s="11"/>
      <c r="C1759" s="11" t="s">
        <v>3608</v>
      </c>
      <c r="D1759" s="11" t="s">
        <v>1883</v>
      </c>
      <c r="E1759" s="11" t="s">
        <v>3605</v>
      </c>
      <c r="F1759" s="11" t="s">
        <v>3604</v>
      </c>
      <c r="G1759" s="11" t="s">
        <v>3603</v>
      </c>
      <c r="H1759" s="11" t="s">
        <v>3602</v>
      </c>
      <c r="I1759" s="11" t="s">
        <v>3601</v>
      </c>
      <c r="J1759" s="11" t="s">
        <v>3600</v>
      </c>
      <c r="K1759" s="11" t="s">
        <v>3599</v>
      </c>
      <c r="L1759" s="11"/>
      <c r="M1759" s="12"/>
      <c r="N1759" s="11"/>
      <c r="O1759" s="11" t="s">
        <v>2028</v>
      </c>
    </row>
    <row r="1760" spans="1:15" ht="19.5" customHeight="1" x14ac:dyDescent="0.25">
      <c r="A1760" s="13" t="s">
        <v>775</v>
      </c>
      <c r="B1760" s="13"/>
      <c r="C1760" s="13" t="s">
        <v>3607</v>
      </c>
      <c r="D1760" s="13" t="s">
        <v>1883</v>
      </c>
      <c r="E1760" s="13" t="s">
        <v>3605</v>
      </c>
      <c r="F1760" s="13" t="s">
        <v>3604</v>
      </c>
      <c r="G1760" s="13" t="s">
        <v>3603</v>
      </c>
      <c r="H1760" s="13" t="s">
        <v>3602</v>
      </c>
      <c r="I1760" s="13" t="s">
        <v>3601</v>
      </c>
      <c r="J1760" s="13" t="s">
        <v>3600</v>
      </c>
      <c r="K1760" s="13" t="s">
        <v>3599</v>
      </c>
      <c r="L1760" s="13"/>
      <c r="M1760" s="14"/>
      <c r="N1760" s="13"/>
      <c r="O1760" s="13" t="s">
        <v>2028</v>
      </c>
    </row>
    <row r="1761" spans="1:15" ht="19.5" customHeight="1" x14ac:dyDescent="0.25">
      <c r="A1761" s="11" t="s">
        <v>775</v>
      </c>
      <c r="B1761" s="11"/>
      <c r="C1761" s="11" t="s">
        <v>3606</v>
      </c>
      <c r="D1761" s="11" t="s">
        <v>1883</v>
      </c>
      <c r="E1761" s="11" t="s">
        <v>3605</v>
      </c>
      <c r="F1761" s="11" t="s">
        <v>3604</v>
      </c>
      <c r="G1761" s="11" t="s">
        <v>3603</v>
      </c>
      <c r="H1761" s="11" t="s">
        <v>3602</v>
      </c>
      <c r="I1761" s="11" t="s">
        <v>3601</v>
      </c>
      <c r="J1761" s="11" t="s">
        <v>3600</v>
      </c>
      <c r="K1761" s="11" t="s">
        <v>3599</v>
      </c>
      <c r="L1761" s="11"/>
      <c r="M1761" s="12"/>
      <c r="N1761" s="11"/>
      <c r="O1761" s="11" t="s">
        <v>2028</v>
      </c>
    </row>
    <row r="1762" spans="1:15" ht="19.5" customHeight="1" x14ac:dyDescent="0.25">
      <c r="A1762" s="13" t="s">
        <v>1612</v>
      </c>
      <c r="B1762" s="13"/>
      <c r="C1762" s="13" t="s">
        <v>3598</v>
      </c>
      <c r="D1762" s="13" t="s">
        <v>1883</v>
      </c>
      <c r="E1762" s="13" t="s">
        <v>3597</v>
      </c>
      <c r="F1762" s="13"/>
      <c r="G1762" s="13" t="s">
        <v>1612</v>
      </c>
      <c r="H1762" s="13"/>
      <c r="I1762" s="13" t="s">
        <v>3596</v>
      </c>
      <c r="J1762" s="13" t="s">
        <v>3595</v>
      </c>
      <c r="K1762" s="13" t="s">
        <v>2313</v>
      </c>
      <c r="L1762" s="13"/>
      <c r="M1762" s="14"/>
      <c r="N1762" s="13"/>
      <c r="O1762" s="13" t="s">
        <v>1877</v>
      </c>
    </row>
    <row r="1763" spans="1:15" ht="19.5" customHeight="1" x14ac:dyDescent="0.25">
      <c r="A1763" s="11" t="s">
        <v>777</v>
      </c>
      <c r="B1763" s="11"/>
      <c r="C1763" s="11" t="s">
        <v>3594</v>
      </c>
      <c r="D1763" s="11" t="s">
        <v>1883</v>
      </c>
      <c r="E1763" s="11" t="s">
        <v>3593</v>
      </c>
      <c r="F1763" s="11"/>
      <c r="G1763" s="11" t="s">
        <v>777</v>
      </c>
      <c r="H1763" s="11"/>
      <c r="I1763" s="11" t="s">
        <v>2834</v>
      </c>
      <c r="J1763" s="11" t="s">
        <v>3592</v>
      </c>
      <c r="K1763" s="11" t="s">
        <v>3021</v>
      </c>
      <c r="L1763" s="11"/>
      <c r="M1763" s="12"/>
      <c r="N1763" s="11"/>
      <c r="O1763" s="11" t="s">
        <v>1877</v>
      </c>
    </row>
    <row r="1764" spans="1:15" ht="19.5" customHeight="1" x14ac:dyDescent="0.25">
      <c r="A1764" s="13" t="s">
        <v>779</v>
      </c>
      <c r="B1764" s="13"/>
      <c r="C1764" s="13" t="s">
        <v>3591</v>
      </c>
      <c r="D1764" s="13" t="s">
        <v>1883</v>
      </c>
      <c r="E1764" s="13" t="s">
        <v>3590</v>
      </c>
      <c r="F1764" s="13"/>
      <c r="G1764" s="13" t="s">
        <v>779</v>
      </c>
      <c r="H1764" s="13"/>
      <c r="I1764" s="13" t="s">
        <v>3589</v>
      </c>
      <c r="J1764" s="13" t="s">
        <v>3588</v>
      </c>
      <c r="K1764" s="13" t="s">
        <v>3021</v>
      </c>
      <c r="L1764" s="13"/>
      <c r="M1764" s="14"/>
      <c r="N1764" s="13"/>
      <c r="O1764" s="13" t="s">
        <v>1877</v>
      </c>
    </row>
    <row r="1765" spans="1:15" ht="19.5" customHeight="1" x14ac:dyDescent="0.25">
      <c r="A1765" s="11" t="s">
        <v>781</v>
      </c>
      <c r="B1765" s="11"/>
      <c r="C1765" s="11" t="s">
        <v>780</v>
      </c>
      <c r="D1765" s="11" t="s">
        <v>1950</v>
      </c>
      <c r="E1765" s="11"/>
      <c r="F1765" s="11"/>
      <c r="G1765" s="11" t="s">
        <v>781</v>
      </c>
      <c r="H1765" s="11"/>
      <c r="I1765" s="11" t="s">
        <v>3587</v>
      </c>
      <c r="J1765" s="11" t="s">
        <v>3586</v>
      </c>
      <c r="K1765" s="11" t="s">
        <v>3021</v>
      </c>
      <c r="L1765" s="11"/>
      <c r="M1765" s="12"/>
      <c r="N1765" s="11"/>
      <c r="O1765" s="11" t="s">
        <v>2808</v>
      </c>
    </row>
    <row r="1766" spans="1:15" ht="19.5" customHeight="1" x14ac:dyDescent="0.25">
      <c r="A1766" s="13" t="s">
        <v>783</v>
      </c>
      <c r="B1766" s="13"/>
      <c r="C1766" s="13" t="s">
        <v>3585</v>
      </c>
      <c r="D1766" s="13" t="s">
        <v>1883</v>
      </c>
      <c r="E1766" s="13" t="s">
        <v>3584</v>
      </c>
      <c r="F1766" s="13"/>
      <c r="G1766" s="13" t="s">
        <v>783</v>
      </c>
      <c r="H1766" s="13"/>
      <c r="I1766" s="13"/>
      <c r="J1766" s="13"/>
      <c r="K1766" s="13" t="s">
        <v>1878</v>
      </c>
      <c r="L1766" s="13"/>
      <c r="M1766" s="14"/>
      <c r="N1766" s="13"/>
      <c r="O1766" s="13" t="s">
        <v>1916</v>
      </c>
    </row>
    <row r="1767" spans="1:15" ht="19.5" customHeight="1" x14ac:dyDescent="0.25">
      <c r="A1767" s="11" t="s">
        <v>783</v>
      </c>
      <c r="B1767" s="11"/>
      <c r="C1767" s="11" t="s">
        <v>3583</v>
      </c>
      <c r="D1767" s="11" t="s">
        <v>1883</v>
      </c>
      <c r="E1767" s="11" t="s">
        <v>3582</v>
      </c>
      <c r="F1767" s="11"/>
      <c r="G1767" s="11" t="s">
        <v>783</v>
      </c>
      <c r="H1767" s="11"/>
      <c r="I1767" s="11" t="s">
        <v>3581</v>
      </c>
      <c r="J1767" s="11" t="s">
        <v>3580</v>
      </c>
      <c r="K1767" s="11" t="s">
        <v>1878</v>
      </c>
      <c r="L1767" s="11"/>
      <c r="M1767" s="12"/>
      <c r="N1767" s="11"/>
      <c r="O1767" s="11" t="s">
        <v>1877</v>
      </c>
    </row>
    <row r="1768" spans="1:15" ht="19.5" customHeight="1" x14ac:dyDescent="0.25">
      <c r="A1768" s="13" t="s">
        <v>3574</v>
      </c>
      <c r="B1768" s="13"/>
      <c r="C1768" s="13" t="s">
        <v>3579</v>
      </c>
      <c r="D1768" s="13" t="s">
        <v>1883</v>
      </c>
      <c r="E1768" s="13"/>
      <c r="F1768" s="13"/>
      <c r="G1768" s="13" t="s">
        <v>3574</v>
      </c>
      <c r="H1768" s="13"/>
      <c r="I1768" s="13"/>
      <c r="J1768" s="13"/>
      <c r="K1768" s="13"/>
      <c r="L1768" s="13"/>
      <c r="M1768" s="14"/>
      <c r="N1768" s="13"/>
      <c r="O1768" s="13"/>
    </row>
    <row r="1769" spans="1:15" ht="19.5" customHeight="1" x14ac:dyDescent="0.25">
      <c r="A1769" s="11" t="s">
        <v>3574</v>
      </c>
      <c r="B1769" s="11"/>
      <c r="C1769" s="11" t="s">
        <v>3578</v>
      </c>
      <c r="D1769" s="11" t="s">
        <v>1883</v>
      </c>
      <c r="E1769" s="11"/>
      <c r="F1769" s="11"/>
      <c r="G1769" s="11" t="s">
        <v>3574</v>
      </c>
      <c r="H1769" s="11"/>
      <c r="I1769" s="11"/>
      <c r="J1769" s="11"/>
      <c r="K1769" s="11"/>
      <c r="L1769" s="11"/>
      <c r="M1769" s="12"/>
      <c r="N1769" s="11"/>
      <c r="O1769" s="11"/>
    </row>
    <row r="1770" spans="1:15" ht="19.5" customHeight="1" x14ac:dyDescent="0.25">
      <c r="A1770" s="13" t="s">
        <v>3574</v>
      </c>
      <c r="B1770" s="13"/>
      <c r="C1770" s="13" t="s">
        <v>3577</v>
      </c>
      <c r="D1770" s="13" t="s">
        <v>1883</v>
      </c>
      <c r="E1770" s="13"/>
      <c r="F1770" s="13"/>
      <c r="G1770" s="13" t="s">
        <v>3574</v>
      </c>
      <c r="H1770" s="13"/>
      <c r="I1770" s="13"/>
      <c r="J1770" s="13"/>
      <c r="K1770" s="13"/>
      <c r="L1770" s="13"/>
      <c r="M1770" s="14"/>
      <c r="N1770" s="13"/>
      <c r="O1770" s="13"/>
    </row>
    <row r="1771" spans="1:15" ht="19.5" customHeight="1" x14ac:dyDescent="0.25">
      <c r="A1771" s="11" t="s">
        <v>3574</v>
      </c>
      <c r="B1771" s="11"/>
      <c r="C1771" s="11" t="s">
        <v>3576</v>
      </c>
      <c r="D1771" s="11" t="s">
        <v>1883</v>
      </c>
      <c r="E1771" s="11"/>
      <c r="F1771" s="11"/>
      <c r="G1771" s="11" t="s">
        <v>3574</v>
      </c>
      <c r="H1771" s="11"/>
      <c r="I1771" s="11"/>
      <c r="J1771" s="11"/>
      <c r="K1771" s="11"/>
      <c r="L1771" s="11"/>
      <c r="M1771" s="12"/>
      <c r="N1771" s="11"/>
      <c r="O1771" s="11"/>
    </row>
    <row r="1772" spans="1:15" ht="19.5" customHeight="1" x14ac:dyDescent="0.25">
      <c r="A1772" s="13" t="s">
        <v>3574</v>
      </c>
      <c r="B1772" s="13"/>
      <c r="C1772" s="13" t="s">
        <v>3575</v>
      </c>
      <c r="D1772" s="13" t="s">
        <v>1883</v>
      </c>
      <c r="E1772" s="13"/>
      <c r="F1772" s="13"/>
      <c r="G1772" s="13" t="s">
        <v>3574</v>
      </c>
      <c r="H1772" s="13"/>
      <c r="I1772" s="13"/>
      <c r="J1772" s="13"/>
      <c r="K1772" s="13"/>
      <c r="L1772" s="13"/>
      <c r="M1772" s="14"/>
      <c r="N1772" s="13"/>
      <c r="O1772" s="13"/>
    </row>
    <row r="1773" spans="1:15" ht="19.5" customHeight="1" x14ac:dyDescent="0.25">
      <c r="A1773" s="11" t="s">
        <v>2710</v>
      </c>
      <c r="B1773" s="11"/>
      <c r="C1773" s="11" t="s">
        <v>3573</v>
      </c>
      <c r="D1773" s="11" t="s">
        <v>1883</v>
      </c>
      <c r="E1773" s="11"/>
      <c r="F1773" s="11"/>
      <c r="G1773" s="11" t="s">
        <v>2710</v>
      </c>
      <c r="H1773" s="11"/>
      <c r="I1773" s="11"/>
      <c r="J1773" s="11"/>
      <c r="K1773" s="11"/>
      <c r="L1773" s="11"/>
      <c r="M1773" s="12"/>
      <c r="N1773" s="11"/>
      <c r="O1773" s="11"/>
    </row>
    <row r="1774" spans="1:15" ht="19.5" customHeight="1" x14ac:dyDescent="0.25">
      <c r="A1774" s="13" t="s">
        <v>2710</v>
      </c>
      <c r="B1774" s="13"/>
      <c r="C1774" s="13" t="s">
        <v>3572</v>
      </c>
      <c r="D1774" s="13" t="s">
        <v>1883</v>
      </c>
      <c r="E1774" s="13"/>
      <c r="F1774" s="13"/>
      <c r="G1774" s="13" t="s">
        <v>2710</v>
      </c>
      <c r="H1774" s="13"/>
      <c r="I1774" s="13"/>
      <c r="J1774" s="13"/>
      <c r="K1774" s="13"/>
      <c r="L1774" s="13"/>
      <c r="M1774" s="14"/>
      <c r="N1774" s="13"/>
      <c r="O1774" s="13"/>
    </row>
    <row r="1775" spans="1:15" ht="19.5" customHeight="1" x14ac:dyDescent="0.25">
      <c r="A1775" s="11" t="s">
        <v>2710</v>
      </c>
      <c r="B1775" s="11"/>
      <c r="C1775" s="11" t="s">
        <v>3571</v>
      </c>
      <c r="D1775" s="11" t="s">
        <v>1883</v>
      </c>
      <c r="E1775" s="11"/>
      <c r="F1775" s="11"/>
      <c r="G1775" s="11" t="s">
        <v>2710</v>
      </c>
      <c r="H1775" s="11"/>
      <c r="I1775" s="11"/>
      <c r="J1775" s="11"/>
      <c r="K1775" s="11"/>
      <c r="L1775" s="11"/>
      <c r="M1775" s="12"/>
      <c r="N1775" s="11"/>
      <c r="O1775" s="11"/>
    </row>
    <row r="1776" spans="1:15" ht="19.5" customHeight="1" x14ac:dyDescent="0.25">
      <c r="A1776" s="13" t="s">
        <v>3569</v>
      </c>
      <c r="B1776" s="13"/>
      <c r="C1776" s="13" t="s">
        <v>3570</v>
      </c>
      <c r="D1776" s="13" t="s">
        <v>1883</v>
      </c>
      <c r="E1776" s="13"/>
      <c r="F1776" s="13"/>
      <c r="G1776" s="13" t="s">
        <v>3569</v>
      </c>
      <c r="H1776" s="13"/>
      <c r="I1776" s="13"/>
      <c r="J1776" s="13"/>
      <c r="K1776" s="13"/>
      <c r="L1776" s="13"/>
      <c r="M1776" s="14"/>
      <c r="N1776" s="13"/>
      <c r="O1776" s="13"/>
    </row>
    <row r="1777" spans="1:15" ht="19.5" customHeight="1" x14ac:dyDescent="0.25">
      <c r="A1777" s="11" t="s">
        <v>3567</v>
      </c>
      <c r="B1777" s="11"/>
      <c r="C1777" s="11" t="s">
        <v>3568</v>
      </c>
      <c r="D1777" s="11" t="s">
        <v>1883</v>
      </c>
      <c r="E1777" s="11"/>
      <c r="F1777" s="11"/>
      <c r="G1777" s="11" t="s">
        <v>3567</v>
      </c>
      <c r="H1777" s="11"/>
      <c r="I1777" s="11"/>
      <c r="J1777" s="11"/>
      <c r="K1777" s="11"/>
      <c r="L1777" s="11"/>
      <c r="M1777" s="12"/>
      <c r="N1777" s="11"/>
      <c r="O1777" s="11"/>
    </row>
    <row r="1778" spans="1:15" ht="19.5" customHeight="1" x14ac:dyDescent="0.25">
      <c r="A1778" s="13" t="s">
        <v>785</v>
      </c>
      <c r="B1778" s="13"/>
      <c r="C1778" s="13" t="s">
        <v>3566</v>
      </c>
      <c r="D1778" s="13" t="s">
        <v>1883</v>
      </c>
      <c r="E1778" s="13" t="s">
        <v>3563</v>
      </c>
      <c r="F1778" s="13"/>
      <c r="G1778" s="13" t="s">
        <v>785</v>
      </c>
      <c r="H1778" s="13" t="s">
        <v>3562</v>
      </c>
      <c r="I1778" s="13" t="s">
        <v>3561</v>
      </c>
      <c r="J1778" s="13" t="s">
        <v>3560</v>
      </c>
      <c r="K1778" s="13" t="s">
        <v>2635</v>
      </c>
      <c r="L1778" s="13"/>
      <c r="M1778" s="14"/>
      <c r="N1778" s="13"/>
      <c r="O1778" s="13" t="s">
        <v>1877</v>
      </c>
    </row>
    <row r="1779" spans="1:15" ht="19.5" customHeight="1" x14ac:dyDescent="0.25">
      <c r="A1779" s="11" t="s">
        <v>785</v>
      </c>
      <c r="B1779" s="11"/>
      <c r="C1779" s="11" t="s">
        <v>3565</v>
      </c>
      <c r="D1779" s="11" t="s">
        <v>1883</v>
      </c>
      <c r="E1779" s="11" t="s">
        <v>3563</v>
      </c>
      <c r="F1779" s="11"/>
      <c r="G1779" s="11" t="s">
        <v>785</v>
      </c>
      <c r="H1779" s="11" t="s">
        <v>3562</v>
      </c>
      <c r="I1779" s="11" t="s">
        <v>3561</v>
      </c>
      <c r="J1779" s="11" t="s">
        <v>3560</v>
      </c>
      <c r="K1779" s="11" t="s">
        <v>2635</v>
      </c>
      <c r="L1779" s="11"/>
      <c r="M1779" s="12"/>
      <c r="N1779" s="11"/>
      <c r="O1779" s="11" t="s">
        <v>1877</v>
      </c>
    </row>
    <row r="1780" spans="1:15" ht="19.5" customHeight="1" x14ac:dyDescent="0.25">
      <c r="A1780" s="13" t="s">
        <v>785</v>
      </c>
      <c r="B1780" s="13"/>
      <c r="C1780" s="13" t="s">
        <v>3564</v>
      </c>
      <c r="D1780" s="13" t="s">
        <v>1883</v>
      </c>
      <c r="E1780" s="13" t="s">
        <v>3563</v>
      </c>
      <c r="F1780" s="13"/>
      <c r="G1780" s="13" t="s">
        <v>785</v>
      </c>
      <c r="H1780" s="13" t="s">
        <v>3562</v>
      </c>
      <c r="I1780" s="13" t="s">
        <v>3561</v>
      </c>
      <c r="J1780" s="13" t="s">
        <v>3560</v>
      </c>
      <c r="K1780" s="13" t="s">
        <v>2635</v>
      </c>
      <c r="L1780" s="13"/>
      <c r="M1780" s="14"/>
      <c r="N1780" s="13"/>
      <c r="O1780" s="13" t="s">
        <v>1877</v>
      </c>
    </row>
    <row r="1781" spans="1:15" ht="19.5" customHeight="1" x14ac:dyDescent="0.25">
      <c r="A1781" s="11" t="s">
        <v>787</v>
      </c>
      <c r="B1781" s="11"/>
      <c r="C1781" s="11" t="s">
        <v>3559</v>
      </c>
      <c r="D1781" s="11" t="s">
        <v>1883</v>
      </c>
      <c r="E1781" s="11" t="s">
        <v>3556</v>
      </c>
      <c r="F1781" s="11"/>
      <c r="G1781" s="11" t="s">
        <v>787</v>
      </c>
      <c r="H1781" s="11"/>
      <c r="I1781" s="11" t="s">
        <v>3555</v>
      </c>
      <c r="J1781" s="11" t="s">
        <v>3554</v>
      </c>
      <c r="K1781" s="11" t="s">
        <v>3553</v>
      </c>
      <c r="L1781" s="11"/>
      <c r="M1781" s="12"/>
      <c r="N1781" s="11"/>
      <c r="O1781" s="11" t="s">
        <v>1877</v>
      </c>
    </row>
    <row r="1782" spans="1:15" ht="19.5" customHeight="1" x14ac:dyDescent="0.25">
      <c r="A1782" s="13" t="s">
        <v>787</v>
      </c>
      <c r="B1782" s="13"/>
      <c r="C1782" s="13" t="s">
        <v>3558</v>
      </c>
      <c r="D1782" s="13" t="s">
        <v>1883</v>
      </c>
      <c r="E1782" s="13" t="s">
        <v>3556</v>
      </c>
      <c r="F1782" s="13"/>
      <c r="G1782" s="13" t="s">
        <v>787</v>
      </c>
      <c r="H1782" s="13"/>
      <c r="I1782" s="13" t="s">
        <v>3555</v>
      </c>
      <c r="J1782" s="13" t="s">
        <v>3554</v>
      </c>
      <c r="K1782" s="13" t="s">
        <v>3553</v>
      </c>
      <c r="L1782" s="13"/>
      <c r="M1782" s="14"/>
      <c r="N1782" s="13"/>
      <c r="O1782" s="13" t="s">
        <v>1877</v>
      </c>
    </row>
    <row r="1783" spans="1:15" ht="19.5" customHeight="1" x14ac:dyDescent="0.25">
      <c r="A1783" s="11" t="s">
        <v>787</v>
      </c>
      <c r="B1783" s="11"/>
      <c r="C1783" s="11" t="s">
        <v>3557</v>
      </c>
      <c r="D1783" s="11" t="s">
        <v>1883</v>
      </c>
      <c r="E1783" s="11" t="s">
        <v>3556</v>
      </c>
      <c r="F1783" s="11"/>
      <c r="G1783" s="11" t="s">
        <v>787</v>
      </c>
      <c r="H1783" s="11"/>
      <c r="I1783" s="11" t="s">
        <v>3555</v>
      </c>
      <c r="J1783" s="11" t="s">
        <v>3554</v>
      </c>
      <c r="K1783" s="11" t="s">
        <v>3553</v>
      </c>
      <c r="L1783" s="11"/>
      <c r="M1783" s="12"/>
      <c r="N1783" s="11"/>
      <c r="O1783" s="11" t="s">
        <v>1877</v>
      </c>
    </row>
    <row r="1784" spans="1:15" ht="19.5" customHeight="1" x14ac:dyDescent="0.25">
      <c r="A1784" s="13" t="s">
        <v>789</v>
      </c>
      <c r="B1784" s="13"/>
      <c r="C1784" s="13" t="s">
        <v>3552</v>
      </c>
      <c r="D1784" s="13" t="s">
        <v>1883</v>
      </c>
      <c r="E1784" s="13" t="s">
        <v>3549</v>
      </c>
      <c r="F1784" s="13"/>
      <c r="G1784" s="13" t="s">
        <v>789</v>
      </c>
      <c r="H1784" s="13" t="s">
        <v>3548</v>
      </c>
      <c r="I1784" s="13" t="s">
        <v>3547</v>
      </c>
      <c r="J1784" s="13" t="s">
        <v>3546</v>
      </c>
      <c r="K1784" s="13" t="s">
        <v>3545</v>
      </c>
      <c r="L1784" s="13"/>
      <c r="M1784" s="14"/>
      <c r="N1784" s="13"/>
      <c r="O1784" s="13" t="s">
        <v>1877</v>
      </c>
    </row>
    <row r="1785" spans="1:15" ht="19.5" customHeight="1" x14ac:dyDescent="0.25">
      <c r="A1785" s="11" t="s">
        <v>789</v>
      </c>
      <c r="B1785" s="11"/>
      <c r="C1785" s="11" t="s">
        <v>3551</v>
      </c>
      <c r="D1785" s="11" t="s">
        <v>1883</v>
      </c>
      <c r="E1785" s="11" t="s">
        <v>3549</v>
      </c>
      <c r="F1785" s="11"/>
      <c r="G1785" s="11" t="s">
        <v>789</v>
      </c>
      <c r="H1785" s="11" t="s">
        <v>3548</v>
      </c>
      <c r="I1785" s="11" t="s">
        <v>3547</v>
      </c>
      <c r="J1785" s="11" t="s">
        <v>3546</v>
      </c>
      <c r="K1785" s="11" t="s">
        <v>3545</v>
      </c>
      <c r="L1785" s="11"/>
      <c r="M1785" s="12"/>
      <c r="N1785" s="11"/>
      <c r="O1785" s="11" t="s">
        <v>1877</v>
      </c>
    </row>
    <row r="1786" spans="1:15" ht="19.5" customHeight="1" x14ac:dyDescent="0.25">
      <c r="A1786" s="13" t="s">
        <v>789</v>
      </c>
      <c r="B1786" s="13"/>
      <c r="C1786" s="13" t="s">
        <v>3550</v>
      </c>
      <c r="D1786" s="13" t="s">
        <v>1883</v>
      </c>
      <c r="E1786" s="13" t="s">
        <v>3549</v>
      </c>
      <c r="F1786" s="13"/>
      <c r="G1786" s="13" t="s">
        <v>789</v>
      </c>
      <c r="H1786" s="13" t="s">
        <v>3548</v>
      </c>
      <c r="I1786" s="13" t="s">
        <v>3547</v>
      </c>
      <c r="J1786" s="13" t="s">
        <v>3546</v>
      </c>
      <c r="K1786" s="13" t="s">
        <v>3545</v>
      </c>
      <c r="L1786" s="13"/>
      <c r="M1786" s="14"/>
      <c r="N1786" s="13"/>
      <c r="O1786" s="13" t="s">
        <v>1877</v>
      </c>
    </row>
    <row r="1787" spans="1:15" ht="19.5" customHeight="1" x14ac:dyDescent="0.25">
      <c r="A1787" s="11" t="s">
        <v>791</v>
      </c>
      <c r="B1787" s="11"/>
      <c r="C1787" s="11" t="s">
        <v>3544</v>
      </c>
      <c r="D1787" s="11" t="s">
        <v>1883</v>
      </c>
      <c r="E1787" s="11" t="s">
        <v>3541</v>
      </c>
      <c r="F1787" s="11"/>
      <c r="G1787" s="11" t="s">
        <v>791</v>
      </c>
      <c r="H1787" s="11" t="s">
        <v>3540</v>
      </c>
      <c r="I1787" s="11" t="s">
        <v>3539</v>
      </c>
      <c r="J1787" s="11" t="s">
        <v>3533</v>
      </c>
      <c r="K1787" s="11" t="s">
        <v>1887</v>
      </c>
      <c r="L1787" s="11"/>
      <c r="M1787" s="12"/>
      <c r="N1787" s="11"/>
      <c r="O1787" s="11" t="s">
        <v>1877</v>
      </c>
    </row>
    <row r="1788" spans="1:15" ht="19.5" customHeight="1" x14ac:dyDescent="0.25">
      <c r="A1788" s="13" t="s">
        <v>791</v>
      </c>
      <c r="B1788" s="13"/>
      <c r="C1788" s="13" t="s">
        <v>3543</v>
      </c>
      <c r="D1788" s="13" t="s">
        <v>1883</v>
      </c>
      <c r="E1788" s="13" t="s">
        <v>3541</v>
      </c>
      <c r="F1788" s="13"/>
      <c r="G1788" s="13" t="s">
        <v>791</v>
      </c>
      <c r="H1788" s="13" t="s">
        <v>3540</v>
      </c>
      <c r="I1788" s="13" t="s">
        <v>3539</v>
      </c>
      <c r="J1788" s="13" t="s">
        <v>3533</v>
      </c>
      <c r="K1788" s="13" t="s">
        <v>1887</v>
      </c>
      <c r="L1788" s="13"/>
      <c r="M1788" s="14"/>
      <c r="N1788" s="13"/>
      <c r="O1788" s="13" t="s">
        <v>1877</v>
      </c>
    </row>
    <row r="1789" spans="1:15" ht="19.5" customHeight="1" x14ac:dyDescent="0.25">
      <c r="A1789" s="11" t="s">
        <v>791</v>
      </c>
      <c r="B1789" s="11"/>
      <c r="C1789" s="11" t="s">
        <v>3542</v>
      </c>
      <c r="D1789" s="11" t="s">
        <v>1883</v>
      </c>
      <c r="E1789" s="11" t="s">
        <v>3541</v>
      </c>
      <c r="F1789" s="11"/>
      <c r="G1789" s="11" t="s">
        <v>791</v>
      </c>
      <c r="H1789" s="11" t="s">
        <v>3540</v>
      </c>
      <c r="I1789" s="11" t="s">
        <v>3539</v>
      </c>
      <c r="J1789" s="11" t="s">
        <v>3533</v>
      </c>
      <c r="K1789" s="11" t="s">
        <v>1887</v>
      </c>
      <c r="L1789" s="11"/>
      <c r="M1789" s="12"/>
      <c r="N1789" s="11"/>
      <c r="O1789" s="11" t="s">
        <v>1877</v>
      </c>
    </row>
    <row r="1790" spans="1:15" ht="19.5" customHeight="1" x14ac:dyDescent="0.25">
      <c r="A1790" s="13" t="s">
        <v>793</v>
      </c>
      <c r="B1790" s="13"/>
      <c r="C1790" s="13" t="s">
        <v>3538</v>
      </c>
      <c r="D1790" s="13" t="s">
        <v>1883</v>
      </c>
      <c r="E1790" s="13" t="s">
        <v>3535</v>
      </c>
      <c r="F1790" s="13"/>
      <c r="G1790" s="13" t="s">
        <v>793</v>
      </c>
      <c r="H1790" s="13"/>
      <c r="I1790" s="13" t="s">
        <v>3534</v>
      </c>
      <c r="J1790" s="13" t="s">
        <v>3533</v>
      </c>
      <c r="K1790" s="13" t="s">
        <v>1887</v>
      </c>
      <c r="L1790" s="13"/>
      <c r="M1790" s="14"/>
      <c r="N1790" s="13"/>
      <c r="O1790" s="13" t="s">
        <v>1877</v>
      </c>
    </row>
    <row r="1791" spans="1:15" ht="19.5" customHeight="1" x14ac:dyDescent="0.25">
      <c r="A1791" s="11" t="s">
        <v>793</v>
      </c>
      <c r="B1791" s="11"/>
      <c r="C1791" s="11" t="s">
        <v>3537</v>
      </c>
      <c r="D1791" s="11" t="s">
        <v>1883</v>
      </c>
      <c r="E1791" s="11" t="s">
        <v>3535</v>
      </c>
      <c r="F1791" s="11"/>
      <c r="G1791" s="11" t="s">
        <v>793</v>
      </c>
      <c r="H1791" s="11"/>
      <c r="I1791" s="11" t="s">
        <v>3534</v>
      </c>
      <c r="J1791" s="11" t="s">
        <v>3533</v>
      </c>
      <c r="K1791" s="11" t="s">
        <v>1887</v>
      </c>
      <c r="L1791" s="11"/>
      <c r="M1791" s="12"/>
      <c r="N1791" s="11"/>
      <c r="O1791" s="11" t="s">
        <v>1877</v>
      </c>
    </row>
    <row r="1792" spans="1:15" ht="19.5" customHeight="1" x14ac:dyDescent="0.25">
      <c r="A1792" s="13" t="s">
        <v>793</v>
      </c>
      <c r="B1792" s="13"/>
      <c r="C1792" s="13" t="s">
        <v>3536</v>
      </c>
      <c r="D1792" s="13" t="s">
        <v>1883</v>
      </c>
      <c r="E1792" s="13" t="s">
        <v>3535</v>
      </c>
      <c r="F1792" s="13"/>
      <c r="G1792" s="13" t="s">
        <v>793</v>
      </c>
      <c r="H1792" s="13"/>
      <c r="I1792" s="13" t="s">
        <v>3534</v>
      </c>
      <c r="J1792" s="13" t="s">
        <v>3533</v>
      </c>
      <c r="K1792" s="13" t="s">
        <v>1887</v>
      </c>
      <c r="L1792" s="13"/>
      <c r="M1792" s="14"/>
      <c r="N1792" s="13"/>
      <c r="O1792" s="13" t="s">
        <v>1877</v>
      </c>
    </row>
    <row r="1793" spans="1:15" ht="19.5" customHeight="1" x14ac:dyDescent="0.25">
      <c r="A1793" s="11" t="s">
        <v>793</v>
      </c>
      <c r="B1793" s="11"/>
      <c r="C1793" s="11" t="s">
        <v>3532</v>
      </c>
      <c r="D1793" s="11" t="s">
        <v>1883</v>
      </c>
      <c r="E1793" s="11" t="s">
        <v>3531</v>
      </c>
      <c r="F1793" s="11"/>
      <c r="G1793" s="11" t="s">
        <v>793</v>
      </c>
      <c r="H1793" s="11"/>
      <c r="I1793" s="11"/>
      <c r="J1793" s="11"/>
      <c r="K1793" s="11" t="s">
        <v>1887</v>
      </c>
      <c r="L1793" s="11"/>
      <c r="M1793" s="12"/>
      <c r="N1793" s="11"/>
      <c r="O1793" s="11" t="s">
        <v>1916</v>
      </c>
    </row>
    <row r="1794" spans="1:15" ht="19.5" customHeight="1" x14ac:dyDescent="0.25">
      <c r="A1794" s="13" t="s">
        <v>1710</v>
      </c>
      <c r="B1794" s="13"/>
      <c r="C1794" s="13" t="s">
        <v>3530</v>
      </c>
      <c r="D1794" s="13" t="s">
        <v>1883</v>
      </c>
      <c r="E1794" s="13" t="s">
        <v>3529</v>
      </c>
      <c r="F1794" s="13"/>
      <c r="G1794" s="13" t="s">
        <v>1710</v>
      </c>
      <c r="H1794" s="13"/>
      <c r="I1794" s="13" t="s">
        <v>3528</v>
      </c>
      <c r="J1794" s="13" t="s">
        <v>3527</v>
      </c>
      <c r="K1794" s="13" t="s">
        <v>2093</v>
      </c>
      <c r="L1794" s="13"/>
      <c r="M1794" s="14"/>
      <c r="N1794" s="13"/>
      <c r="O1794" s="13" t="s">
        <v>1877</v>
      </c>
    </row>
    <row r="1795" spans="1:15" ht="19.5" customHeight="1" x14ac:dyDescent="0.25">
      <c r="A1795" s="11" t="s">
        <v>795</v>
      </c>
      <c r="B1795" s="11"/>
      <c r="C1795" s="11" t="s">
        <v>3526</v>
      </c>
      <c r="D1795" s="11" t="s">
        <v>1883</v>
      </c>
      <c r="E1795" s="11" t="s">
        <v>3523</v>
      </c>
      <c r="F1795" s="11"/>
      <c r="G1795" s="11" t="s">
        <v>795</v>
      </c>
      <c r="H1795" s="11" t="s">
        <v>3522</v>
      </c>
      <c r="I1795" s="11" t="s">
        <v>3521</v>
      </c>
      <c r="J1795" s="11"/>
      <c r="K1795" s="11" t="s">
        <v>1878</v>
      </c>
      <c r="L1795" s="11"/>
      <c r="M1795" s="12"/>
      <c r="N1795" s="11"/>
      <c r="O1795" s="11" t="s">
        <v>1877</v>
      </c>
    </row>
    <row r="1796" spans="1:15" ht="19.5" customHeight="1" x14ac:dyDescent="0.25">
      <c r="A1796" s="13" t="s">
        <v>795</v>
      </c>
      <c r="B1796" s="13"/>
      <c r="C1796" s="13" t="s">
        <v>3525</v>
      </c>
      <c r="D1796" s="13" t="s">
        <v>1883</v>
      </c>
      <c r="E1796" s="13" t="s">
        <v>3523</v>
      </c>
      <c r="F1796" s="13"/>
      <c r="G1796" s="13" t="s">
        <v>795</v>
      </c>
      <c r="H1796" s="13" t="s">
        <v>3522</v>
      </c>
      <c r="I1796" s="13" t="s">
        <v>3521</v>
      </c>
      <c r="J1796" s="13"/>
      <c r="K1796" s="13" t="s">
        <v>1878</v>
      </c>
      <c r="L1796" s="13"/>
      <c r="M1796" s="14"/>
      <c r="N1796" s="13"/>
      <c r="O1796" s="13" t="s">
        <v>1877</v>
      </c>
    </row>
    <row r="1797" spans="1:15" ht="19.5" customHeight="1" x14ac:dyDescent="0.25">
      <c r="A1797" s="11" t="s">
        <v>795</v>
      </c>
      <c r="B1797" s="11"/>
      <c r="C1797" s="11" t="s">
        <v>3524</v>
      </c>
      <c r="D1797" s="11" t="s">
        <v>1883</v>
      </c>
      <c r="E1797" s="11" t="s">
        <v>3523</v>
      </c>
      <c r="F1797" s="11"/>
      <c r="G1797" s="11" t="s">
        <v>795</v>
      </c>
      <c r="H1797" s="11" t="s">
        <v>3522</v>
      </c>
      <c r="I1797" s="11" t="s">
        <v>3521</v>
      </c>
      <c r="J1797" s="11"/>
      <c r="K1797" s="11" t="s">
        <v>1878</v>
      </c>
      <c r="L1797" s="11"/>
      <c r="M1797" s="12"/>
      <c r="N1797" s="11"/>
      <c r="O1797" s="11" t="s">
        <v>1877</v>
      </c>
    </row>
    <row r="1798" spans="1:15" ht="19.5" customHeight="1" x14ac:dyDescent="0.25">
      <c r="A1798" s="13" t="s">
        <v>3518</v>
      </c>
      <c r="B1798" s="13"/>
      <c r="C1798" s="13" t="s">
        <v>3520</v>
      </c>
      <c r="D1798" s="13" t="s">
        <v>1883</v>
      </c>
      <c r="E1798" s="13" t="s">
        <v>3519</v>
      </c>
      <c r="F1798" s="13"/>
      <c r="G1798" s="13" t="s">
        <v>3518</v>
      </c>
      <c r="H1798" s="13"/>
      <c r="I1798" s="13"/>
      <c r="J1798" s="13"/>
      <c r="K1798" s="13"/>
      <c r="L1798" s="13"/>
      <c r="M1798" s="14"/>
      <c r="N1798" s="13"/>
      <c r="O1798" s="13" t="s">
        <v>1916</v>
      </c>
    </row>
    <row r="1799" spans="1:15" ht="19.5" customHeight="1" x14ac:dyDescent="0.25">
      <c r="A1799" s="11" t="s">
        <v>3515</v>
      </c>
      <c r="B1799" s="11"/>
      <c r="C1799" s="11" t="s">
        <v>3517</v>
      </c>
      <c r="D1799" s="11" t="s">
        <v>1883</v>
      </c>
      <c r="E1799" s="11" t="s">
        <v>3516</v>
      </c>
      <c r="F1799" s="11"/>
      <c r="G1799" s="11" t="s">
        <v>3515</v>
      </c>
      <c r="H1799" s="11"/>
      <c r="I1799" s="11" t="s">
        <v>3514</v>
      </c>
      <c r="J1799" s="11" t="s">
        <v>3513</v>
      </c>
      <c r="K1799" s="11" t="s">
        <v>1878</v>
      </c>
      <c r="L1799" s="11"/>
      <c r="M1799" s="12"/>
      <c r="N1799" s="11"/>
      <c r="O1799" s="11" t="s">
        <v>1877</v>
      </c>
    </row>
    <row r="1800" spans="1:15" ht="19.5" customHeight="1" x14ac:dyDescent="0.25">
      <c r="A1800" s="13" t="s">
        <v>797</v>
      </c>
      <c r="B1800" s="13"/>
      <c r="C1800" s="13" t="s">
        <v>3512</v>
      </c>
      <c r="D1800" s="13" t="s">
        <v>1883</v>
      </c>
      <c r="E1800" s="13" t="s">
        <v>3511</v>
      </c>
      <c r="F1800" s="13"/>
      <c r="G1800" s="13" t="s">
        <v>797</v>
      </c>
      <c r="H1800" s="13"/>
      <c r="I1800" s="13" t="s">
        <v>3510</v>
      </c>
      <c r="J1800" s="13" t="s">
        <v>3509</v>
      </c>
      <c r="K1800" s="13" t="s">
        <v>1878</v>
      </c>
      <c r="L1800" s="13"/>
      <c r="M1800" s="14"/>
      <c r="N1800" s="13"/>
      <c r="O1800" s="13" t="s">
        <v>1877</v>
      </c>
    </row>
    <row r="1801" spans="1:15" ht="19.5" customHeight="1" x14ac:dyDescent="0.25">
      <c r="A1801" s="11" t="s">
        <v>799</v>
      </c>
      <c r="B1801" s="11"/>
      <c r="C1801" s="11" t="s">
        <v>3508</v>
      </c>
      <c r="D1801" s="11" t="s">
        <v>1883</v>
      </c>
      <c r="E1801" s="11" t="s">
        <v>3505</v>
      </c>
      <c r="F1801" s="11"/>
      <c r="G1801" s="11" t="s">
        <v>799</v>
      </c>
      <c r="H1801" s="11" t="s">
        <v>3504</v>
      </c>
      <c r="I1801" s="11" t="s">
        <v>3503</v>
      </c>
      <c r="J1801" s="11" t="s">
        <v>3502</v>
      </c>
      <c r="K1801" s="11" t="s">
        <v>2635</v>
      </c>
      <c r="L1801" s="11"/>
      <c r="M1801" s="12"/>
      <c r="N1801" s="11"/>
      <c r="O1801" s="11" t="s">
        <v>1877</v>
      </c>
    </row>
    <row r="1802" spans="1:15" ht="19.5" customHeight="1" x14ac:dyDescent="0.25">
      <c r="A1802" s="13" t="s">
        <v>799</v>
      </c>
      <c r="B1802" s="13"/>
      <c r="C1802" s="13" t="s">
        <v>3507</v>
      </c>
      <c r="D1802" s="13" t="s">
        <v>1883</v>
      </c>
      <c r="E1802" s="13" t="s">
        <v>3505</v>
      </c>
      <c r="F1802" s="13"/>
      <c r="G1802" s="13" t="s">
        <v>799</v>
      </c>
      <c r="H1802" s="13" t="s">
        <v>3504</v>
      </c>
      <c r="I1802" s="13" t="s">
        <v>3503</v>
      </c>
      <c r="J1802" s="13" t="s">
        <v>3502</v>
      </c>
      <c r="K1802" s="13" t="s">
        <v>2635</v>
      </c>
      <c r="L1802" s="13"/>
      <c r="M1802" s="14"/>
      <c r="N1802" s="13"/>
      <c r="O1802" s="13" t="s">
        <v>1877</v>
      </c>
    </row>
    <row r="1803" spans="1:15" ht="19.5" customHeight="1" x14ac:dyDescent="0.25">
      <c r="A1803" s="11" t="s">
        <v>799</v>
      </c>
      <c r="B1803" s="11"/>
      <c r="C1803" s="11" t="s">
        <v>3506</v>
      </c>
      <c r="D1803" s="11" t="s">
        <v>1883</v>
      </c>
      <c r="E1803" s="11" t="s">
        <v>3505</v>
      </c>
      <c r="F1803" s="11"/>
      <c r="G1803" s="11" t="s">
        <v>799</v>
      </c>
      <c r="H1803" s="11" t="s">
        <v>3504</v>
      </c>
      <c r="I1803" s="11" t="s">
        <v>3503</v>
      </c>
      <c r="J1803" s="11" t="s">
        <v>3502</v>
      </c>
      <c r="K1803" s="11" t="s">
        <v>2635</v>
      </c>
      <c r="L1803" s="11"/>
      <c r="M1803" s="12"/>
      <c r="N1803" s="11"/>
      <c r="O1803" s="11" t="s">
        <v>1877</v>
      </c>
    </row>
    <row r="1804" spans="1:15" ht="19.5" customHeight="1" x14ac:dyDescent="0.25">
      <c r="A1804" s="13" t="s">
        <v>801</v>
      </c>
      <c r="B1804" s="13"/>
      <c r="C1804" s="13" t="s">
        <v>3501</v>
      </c>
      <c r="D1804" s="13" t="s">
        <v>1883</v>
      </c>
      <c r="E1804" s="13" t="s">
        <v>3498</v>
      </c>
      <c r="F1804" s="13"/>
      <c r="G1804" s="13" t="s">
        <v>801</v>
      </c>
      <c r="H1804" s="13"/>
      <c r="I1804" s="13" t="s">
        <v>3497</v>
      </c>
      <c r="J1804" s="13" t="s">
        <v>3496</v>
      </c>
      <c r="K1804" s="13" t="s">
        <v>3495</v>
      </c>
      <c r="L1804" s="13"/>
      <c r="M1804" s="14"/>
      <c r="N1804" s="13"/>
      <c r="O1804" s="13" t="s">
        <v>1877</v>
      </c>
    </row>
    <row r="1805" spans="1:15" ht="19.5" customHeight="1" x14ac:dyDescent="0.25">
      <c r="A1805" s="11" t="s">
        <v>801</v>
      </c>
      <c r="B1805" s="11"/>
      <c r="C1805" s="11" t="s">
        <v>3500</v>
      </c>
      <c r="D1805" s="11" t="s">
        <v>1883</v>
      </c>
      <c r="E1805" s="11" t="s">
        <v>3498</v>
      </c>
      <c r="F1805" s="11"/>
      <c r="G1805" s="11" t="s">
        <v>801</v>
      </c>
      <c r="H1805" s="11"/>
      <c r="I1805" s="11" t="s">
        <v>3497</v>
      </c>
      <c r="J1805" s="11" t="s">
        <v>3496</v>
      </c>
      <c r="K1805" s="11" t="s">
        <v>3495</v>
      </c>
      <c r="L1805" s="11"/>
      <c r="M1805" s="12"/>
      <c r="N1805" s="11"/>
      <c r="O1805" s="11" t="s">
        <v>1877</v>
      </c>
    </row>
    <row r="1806" spans="1:15" ht="19.5" customHeight="1" x14ac:dyDescent="0.25">
      <c r="A1806" s="13" t="s">
        <v>801</v>
      </c>
      <c r="B1806" s="13"/>
      <c r="C1806" s="13" t="s">
        <v>3499</v>
      </c>
      <c r="D1806" s="13" t="s">
        <v>1883</v>
      </c>
      <c r="E1806" s="13" t="s">
        <v>3498</v>
      </c>
      <c r="F1806" s="13"/>
      <c r="G1806" s="13" t="s">
        <v>801</v>
      </c>
      <c r="H1806" s="13"/>
      <c r="I1806" s="13" t="s">
        <v>3497</v>
      </c>
      <c r="J1806" s="13" t="s">
        <v>3496</v>
      </c>
      <c r="K1806" s="13" t="s">
        <v>3495</v>
      </c>
      <c r="L1806" s="13"/>
      <c r="M1806" s="14"/>
      <c r="N1806" s="13"/>
      <c r="O1806" s="13" t="s">
        <v>1877</v>
      </c>
    </row>
    <row r="1807" spans="1:15" ht="19.5" customHeight="1" x14ac:dyDescent="0.25">
      <c r="A1807" s="11" t="s">
        <v>3493</v>
      </c>
      <c r="B1807" s="11"/>
      <c r="C1807" s="11" t="s">
        <v>3494</v>
      </c>
      <c r="D1807" s="11" t="s">
        <v>1950</v>
      </c>
      <c r="E1807" s="11"/>
      <c r="F1807" s="11"/>
      <c r="G1807" s="11" t="s">
        <v>3493</v>
      </c>
      <c r="H1807" s="11"/>
      <c r="I1807" s="11"/>
      <c r="J1807" s="11"/>
      <c r="K1807" s="11"/>
      <c r="L1807" s="11"/>
      <c r="M1807" s="12"/>
      <c r="N1807" s="11"/>
      <c r="O1807" s="11" t="s">
        <v>1945</v>
      </c>
    </row>
    <row r="1808" spans="1:15" ht="19.5" customHeight="1" x14ac:dyDescent="0.25">
      <c r="A1808" s="13" t="s">
        <v>803</v>
      </c>
      <c r="B1808" s="13" t="s">
        <v>3489</v>
      </c>
      <c r="C1808" s="13" t="s">
        <v>3492</v>
      </c>
      <c r="D1808" s="13" t="s">
        <v>1883</v>
      </c>
      <c r="E1808" s="13" t="s">
        <v>3491</v>
      </c>
      <c r="F1808" s="13"/>
      <c r="G1808" s="13" t="s">
        <v>3486</v>
      </c>
      <c r="H1808" s="13" t="s">
        <v>3485</v>
      </c>
      <c r="I1808" s="13" t="s">
        <v>3484</v>
      </c>
      <c r="J1808" s="13" t="s">
        <v>3483</v>
      </c>
      <c r="K1808" s="13" t="s">
        <v>2093</v>
      </c>
      <c r="L1808" s="13"/>
      <c r="M1808" s="14"/>
      <c r="N1808" s="13"/>
      <c r="O1808" s="13" t="s">
        <v>1877</v>
      </c>
    </row>
    <row r="1809" spans="1:15" ht="19.5" customHeight="1" x14ac:dyDescent="0.25">
      <c r="A1809" s="11" t="s">
        <v>803</v>
      </c>
      <c r="B1809" s="11" t="s">
        <v>3489</v>
      </c>
      <c r="C1809" s="11" t="s">
        <v>3490</v>
      </c>
      <c r="D1809" s="11" t="s">
        <v>1883</v>
      </c>
      <c r="E1809" s="11" t="s">
        <v>3487</v>
      </c>
      <c r="F1809" s="11"/>
      <c r="G1809" s="11" t="s">
        <v>3486</v>
      </c>
      <c r="H1809" s="11" t="s">
        <v>3485</v>
      </c>
      <c r="I1809" s="11" t="s">
        <v>3484</v>
      </c>
      <c r="J1809" s="11" t="s">
        <v>3483</v>
      </c>
      <c r="K1809" s="11" t="s">
        <v>2093</v>
      </c>
      <c r="L1809" s="11"/>
      <c r="M1809" s="12"/>
      <c r="N1809" s="11"/>
      <c r="O1809" s="11" t="s">
        <v>1877</v>
      </c>
    </row>
    <row r="1810" spans="1:15" ht="19.5" customHeight="1" x14ac:dyDescent="0.25">
      <c r="A1810" s="13" t="s">
        <v>803</v>
      </c>
      <c r="B1810" s="13" t="s">
        <v>3489</v>
      </c>
      <c r="C1810" s="13" t="s">
        <v>3488</v>
      </c>
      <c r="D1810" s="13" t="s">
        <v>1883</v>
      </c>
      <c r="E1810" s="13" t="s">
        <v>3487</v>
      </c>
      <c r="F1810" s="13"/>
      <c r="G1810" s="13" t="s">
        <v>3486</v>
      </c>
      <c r="H1810" s="13" t="s">
        <v>3485</v>
      </c>
      <c r="I1810" s="13" t="s">
        <v>3484</v>
      </c>
      <c r="J1810" s="13" t="s">
        <v>3483</v>
      </c>
      <c r="K1810" s="13" t="s">
        <v>2093</v>
      </c>
      <c r="L1810" s="13"/>
      <c r="M1810" s="14"/>
      <c r="N1810" s="13"/>
      <c r="O1810" s="13" t="s">
        <v>1877</v>
      </c>
    </row>
    <row r="1811" spans="1:15" ht="19.5" customHeight="1" x14ac:dyDescent="0.25">
      <c r="A1811" s="11" t="s">
        <v>3481</v>
      </c>
      <c r="B1811" s="11"/>
      <c r="C1811" s="11" t="s">
        <v>3482</v>
      </c>
      <c r="D1811" s="11" t="s">
        <v>1883</v>
      </c>
      <c r="E1811" s="11"/>
      <c r="F1811" s="11"/>
      <c r="G1811" s="11" t="s">
        <v>3481</v>
      </c>
      <c r="H1811" s="11"/>
      <c r="I1811" s="11"/>
      <c r="J1811" s="11"/>
      <c r="K1811" s="11"/>
      <c r="L1811" s="11"/>
      <c r="M1811" s="12"/>
      <c r="N1811" s="11"/>
      <c r="O1811" s="11"/>
    </row>
    <row r="1812" spans="1:15" ht="19.5" customHeight="1" x14ac:dyDescent="0.25">
      <c r="A1812" s="13" t="s">
        <v>3479</v>
      </c>
      <c r="B1812" s="13"/>
      <c r="C1812" s="13" t="s">
        <v>3480</v>
      </c>
      <c r="D1812" s="13" t="s">
        <v>1883</v>
      </c>
      <c r="E1812" s="13"/>
      <c r="F1812" s="13"/>
      <c r="G1812" s="13" t="s">
        <v>3479</v>
      </c>
      <c r="H1812" s="13"/>
      <c r="I1812" s="13"/>
      <c r="J1812" s="13"/>
      <c r="K1812" s="13"/>
      <c r="L1812" s="13"/>
      <c r="M1812" s="14"/>
      <c r="N1812" s="13"/>
      <c r="O1812" s="13"/>
    </row>
    <row r="1813" spans="1:15" ht="19.5" customHeight="1" x14ac:dyDescent="0.25">
      <c r="A1813" s="11" t="s">
        <v>3477</v>
      </c>
      <c r="B1813" s="11"/>
      <c r="C1813" s="11" t="s">
        <v>3478</v>
      </c>
      <c r="D1813" s="11" t="s">
        <v>1883</v>
      </c>
      <c r="E1813" s="11"/>
      <c r="F1813" s="11"/>
      <c r="G1813" s="11" t="s">
        <v>3477</v>
      </c>
      <c r="H1813" s="11"/>
      <c r="I1813" s="11"/>
      <c r="J1813" s="11"/>
      <c r="K1813" s="11"/>
      <c r="L1813" s="11"/>
      <c r="M1813" s="12"/>
      <c r="N1813" s="11"/>
      <c r="O1813" s="11"/>
    </row>
    <row r="1814" spans="1:15" ht="19.5" customHeight="1" x14ac:dyDescent="0.25">
      <c r="A1814" s="13" t="s">
        <v>807</v>
      </c>
      <c r="B1814" s="13"/>
      <c r="C1814" s="13" t="s">
        <v>3476</v>
      </c>
      <c r="D1814" s="13" t="s">
        <v>1883</v>
      </c>
      <c r="E1814" s="13" t="s">
        <v>3473</v>
      </c>
      <c r="F1814" s="13"/>
      <c r="G1814" s="13" t="s">
        <v>807</v>
      </c>
      <c r="H1814" s="13" t="s">
        <v>3472</v>
      </c>
      <c r="I1814" s="13" t="s">
        <v>3471</v>
      </c>
      <c r="J1814" s="13" t="s">
        <v>3470</v>
      </c>
      <c r="K1814" s="13" t="s">
        <v>1878</v>
      </c>
      <c r="L1814" s="13"/>
      <c r="M1814" s="14"/>
      <c r="N1814" s="13"/>
      <c r="O1814" s="13" t="s">
        <v>1877</v>
      </c>
    </row>
    <row r="1815" spans="1:15" ht="19.5" customHeight="1" x14ac:dyDescent="0.25">
      <c r="A1815" s="11" t="s">
        <v>807</v>
      </c>
      <c r="B1815" s="11"/>
      <c r="C1815" s="11" t="s">
        <v>3475</v>
      </c>
      <c r="D1815" s="11" t="s">
        <v>1883</v>
      </c>
      <c r="E1815" s="11" t="s">
        <v>3473</v>
      </c>
      <c r="F1815" s="11"/>
      <c r="G1815" s="11" t="s">
        <v>807</v>
      </c>
      <c r="H1815" s="11" t="s">
        <v>3472</v>
      </c>
      <c r="I1815" s="11" t="s">
        <v>3471</v>
      </c>
      <c r="J1815" s="11" t="s">
        <v>3470</v>
      </c>
      <c r="K1815" s="11" t="s">
        <v>1878</v>
      </c>
      <c r="L1815" s="11"/>
      <c r="M1815" s="12"/>
      <c r="N1815" s="11"/>
      <c r="O1815" s="11" t="s">
        <v>1877</v>
      </c>
    </row>
    <row r="1816" spans="1:15" ht="19.5" customHeight="1" x14ac:dyDescent="0.25">
      <c r="A1816" s="13" t="s">
        <v>807</v>
      </c>
      <c r="B1816" s="13"/>
      <c r="C1816" s="13" t="s">
        <v>3474</v>
      </c>
      <c r="D1816" s="13" t="s">
        <v>1883</v>
      </c>
      <c r="E1816" s="13" t="s">
        <v>3473</v>
      </c>
      <c r="F1816" s="13"/>
      <c r="G1816" s="13" t="s">
        <v>807</v>
      </c>
      <c r="H1816" s="13" t="s">
        <v>3472</v>
      </c>
      <c r="I1816" s="13" t="s">
        <v>3471</v>
      </c>
      <c r="J1816" s="13" t="s">
        <v>3470</v>
      </c>
      <c r="K1816" s="13" t="s">
        <v>1878</v>
      </c>
      <c r="L1816" s="13"/>
      <c r="M1816" s="14"/>
      <c r="N1816" s="13"/>
      <c r="O1816" s="13" t="s">
        <v>1877</v>
      </c>
    </row>
    <row r="1817" spans="1:15" ht="19.5" customHeight="1" x14ac:dyDescent="0.25">
      <c r="A1817" s="11" t="s">
        <v>1689</v>
      </c>
      <c r="B1817" s="11"/>
      <c r="C1817" s="11" t="s">
        <v>3469</v>
      </c>
      <c r="D1817" s="11" t="s">
        <v>1883</v>
      </c>
      <c r="E1817" s="11" t="s">
        <v>3468</v>
      </c>
      <c r="F1817" s="11"/>
      <c r="G1817" s="11" t="s">
        <v>1689</v>
      </c>
      <c r="H1817" s="11"/>
      <c r="I1817" s="11" t="s">
        <v>3467</v>
      </c>
      <c r="J1817" s="11" t="s">
        <v>3466</v>
      </c>
      <c r="K1817" s="11" t="s">
        <v>3465</v>
      </c>
      <c r="L1817" s="11"/>
      <c r="M1817" s="12"/>
      <c r="N1817" s="11"/>
      <c r="O1817" s="11" t="s">
        <v>1877</v>
      </c>
    </row>
    <row r="1818" spans="1:15" ht="19.5" customHeight="1" x14ac:dyDescent="0.25">
      <c r="A1818" s="13" t="s">
        <v>3461</v>
      </c>
      <c r="B1818" s="13"/>
      <c r="C1818" s="13" t="s">
        <v>3464</v>
      </c>
      <c r="D1818" s="13" t="s">
        <v>1883</v>
      </c>
      <c r="E1818" s="13" t="s">
        <v>3463</v>
      </c>
      <c r="F1818" s="13" t="s">
        <v>3462</v>
      </c>
      <c r="G1818" s="13" t="s">
        <v>3461</v>
      </c>
      <c r="H1818" s="13"/>
      <c r="I1818" s="13" t="s">
        <v>3460</v>
      </c>
      <c r="J1818" s="13" t="s">
        <v>3072</v>
      </c>
      <c r="K1818" s="13" t="s">
        <v>1952</v>
      </c>
      <c r="L1818" s="13"/>
      <c r="M1818" s="14"/>
      <c r="N1818" s="13"/>
      <c r="O1818" s="13" t="s">
        <v>1945</v>
      </c>
    </row>
    <row r="1819" spans="1:15" ht="19.5" customHeight="1" x14ac:dyDescent="0.25">
      <c r="A1819" s="11" t="s">
        <v>1403</v>
      </c>
      <c r="B1819" s="11"/>
      <c r="C1819" s="11" t="s">
        <v>3459</v>
      </c>
      <c r="D1819" s="11" t="s">
        <v>1883</v>
      </c>
      <c r="E1819" s="11" t="s">
        <v>3458</v>
      </c>
      <c r="F1819" s="11"/>
      <c r="G1819" s="11" t="s">
        <v>1403</v>
      </c>
      <c r="H1819" s="11"/>
      <c r="I1819" s="11" t="s">
        <v>3457</v>
      </c>
      <c r="J1819" s="11" t="s">
        <v>3452</v>
      </c>
      <c r="K1819" s="11" t="s">
        <v>3039</v>
      </c>
      <c r="L1819" s="11"/>
      <c r="M1819" s="12"/>
      <c r="N1819" s="11"/>
      <c r="O1819" s="11" t="s">
        <v>1877</v>
      </c>
    </row>
    <row r="1820" spans="1:15" ht="19.5" customHeight="1" x14ac:dyDescent="0.25">
      <c r="A1820" s="13" t="s">
        <v>3454</v>
      </c>
      <c r="B1820" s="13"/>
      <c r="C1820" s="13" t="s">
        <v>3456</v>
      </c>
      <c r="D1820" s="13" t="s">
        <v>1883</v>
      </c>
      <c r="E1820" s="13" t="s">
        <v>3455</v>
      </c>
      <c r="F1820" s="13"/>
      <c r="G1820" s="13" t="s">
        <v>3454</v>
      </c>
      <c r="H1820" s="13"/>
      <c r="I1820" s="13" t="s">
        <v>3453</v>
      </c>
      <c r="J1820" s="13" t="s">
        <v>3452</v>
      </c>
      <c r="K1820" s="13" t="s">
        <v>3451</v>
      </c>
      <c r="L1820" s="13"/>
      <c r="M1820" s="14"/>
      <c r="N1820" s="13"/>
      <c r="O1820" s="13" t="s">
        <v>1877</v>
      </c>
    </row>
    <row r="1821" spans="1:15" ht="19.5" customHeight="1" x14ac:dyDescent="0.25">
      <c r="A1821" s="11" t="s">
        <v>809</v>
      </c>
      <c r="B1821" s="11"/>
      <c r="C1821" s="11" t="s">
        <v>3450</v>
      </c>
      <c r="D1821" s="11" t="s">
        <v>1883</v>
      </c>
      <c r="E1821" s="11" t="s">
        <v>3446</v>
      </c>
      <c r="F1821" s="11"/>
      <c r="G1821" s="11" t="s">
        <v>809</v>
      </c>
      <c r="H1821" s="11"/>
      <c r="I1821" s="11" t="s">
        <v>3449</v>
      </c>
      <c r="J1821" s="11" t="s">
        <v>3443</v>
      </c>
      <c r="K1821" s="11" t="s">
        <v>3448</v>
      </c>
      <c r="L1821" s="11"/>
      <c r="M1821" s="12"/>
      <c r="N1821" s="11"/>
      <c r="O1821" s="11" t="s">
        <v>1877</v>
      </c>
    </row>
    <row r="1822" spans="1:15" ht="19.5" customHeight="1" x14ac:dyDescent="0.25">
      <c r="A1822" s="13" t="s">
        <v>809</v>
      </c>
      <c r="B1822" s="13"/>
      <c r="C1822" s="13" t="s">
        <v>3447</v>
      </c>
      <c r="D1822" s="13" t="s">
        <v>1883</v>
      </c>
      <c r="E1822" s="13" t="s">
        <v>3446</v>
      </c>
      <c r="F1822" s="13"/>
      <c r="G1822" s="13" t="s">
        <v>809</v>
      </c>
      <c r="H1822" s="13" t="s">
        <v>3445</v>
      </c>
      <c r="I1822" s="13" t="s">
        <v>3444</v>
      </c>
      <c r="J1822" s="13" t="s">
        <v>3443</v>
      </c>
      <c r="K1822" s="13" t="s">
        <v>1878</v>
      </c>
      <c r="L1822" s="13"/>
      <c r="M1822" s="14"/>
      <c r="N1822" s="13"/>
      <c r="O1822" s="13" t="s">
        <v>1877</v>
      </c>
    </row>
    <row r="1823" spans="1:15" ht="19.5" customHeight="1" x14ac:dyDescent="0.25">
      <c r="A1823" s="11" t="s">
        <v>811</v>
      </c>
      <c r="B1823" s="11"/>
      <c r="C1823" s="11" t="s">
        <v>3442</v>
      </c>
      <c r="D1823" s="11" t="s">
        <v>1883</v>
      </c>
      <c r="E1823" s="11" t="s">
        <v>3439</v>
      </c>
      <c r="F1823" s="11"/>
      <c r="G1823" s="11" t="s">
        <v>811</v>
      </c>
      <c r="H1823" s="11"/>
      <c r="I1823" s="11" t="s">
        <v>3438</v>
      </c>
      <c r="J1823" s="11" t="s">
        <v>3437</v>
      </c>
      <c r="K1823" s="11" t="s">
        <v>1878</v>
      </c>
      <c r="L1823" s="11"/>
      <c r="M1823" s="12"/>
      <c r="N1823" s="11"/>
      <c r="O1823" s="11" t="s">
        <v>1877</v>
      </c>
    </row>
    <row r="1824" spans="1:15" ht="19.5" customHeight="1" x14ac:dyDescent="0.25">
      <c r="A1824" s="13" t="s">
        <v>811</v>
      </c>
      <c r="B1824" s="13"/>
      <c r="C1824" s="13" t="s">
        <v>3441</v>
      </c>
      <c r="D1824" s="13" t="s">
        <v>1883</v>
      </c>
      <c r="E1824" s="13" t="s">
        <v>3439</v>
      </c>
      <c r="F1824" s="13"/>
      <c r="G1824" s="13" t="s">
        <v>811</v>
      </c>
      <c r="H1824" s="13"/>
      <c r="I1824" s="13" t="s">
        <v>3438</v>
      </c>
      <c r="J1824" s="13" t="s">
        <v>3437</v>
      </c>
      <c r="K1824" s="13" t="s">
        <v>1878</v>
      </c>
      <c r="L1824" s="13"/>
      <c r="M1824" s="14"/>
      <c r="N1824" s="13"/>
      <c r="O1824" s="13" t="s">
        <v>1877</v>
      </c>
    </row>
    <row r="1825" spans="1:15" ht="19.5" customHeight="1" x14ac:dyDescent="0.25">
      <c r="A1825" s="11" t="s">
        <v>811</v>
      </c>
      <c r="B1825" s="11"/>
      <c r="C1825" s="11" t="s">
        <v>3440</v>
      </c>
      <c r="D1825" s="11" t="s">
        <v>1883</v>
      </c>
      <c r="E1825" s="11" t="s">
        <v>3439</v>
      </c>
      <c r="F1825" s="11"/>
      <c r="G1825" s="11" t="s">
        <v>811</v>
      </c>
      <c r="H1825" s="11"/>
      <c r="I1825" s="11" t="s">
        <v>3438</v>
      </c>
      <c r="J1825" s="11" t="s">
        <v>3437</v>
      </c>
      <c r="K1825" s="11" t="s">
        <v>1878</v>
      </c>
      <c r="L1825" s="11"/>
      <c r="M1825" s="12"/>
      <c r="N1825" s="11"/>
      <c r="O1825" s="11" t="s">
        <v>1877</v>
      </c>
    </row>
    <row r="1826" spans="1:15" ht="19.5" customHeight="1" x14ac:dyDescent="0.25">
      <c r="A1826" s="13" t="s">
        <v>813</v>
      </c>
      <c r="B1826" s="13"/>
      <c r="C1826" s="13" t="s">
        <v>812</v>
      </c>
      <c r="D1826" s="13" t="s">
        <v>1950</v>
      </c>
      <c r="E1826" s="13"/>
      <c r="F1826" s="13"/>
      <c r="G1826" s="13" t="s">
        <v>813</v>
      </c>
      <c r="H1826" s="13"/>
      <c r="I1826" s="13" t="s">
        <v>1997</v>
      </c>
      <c r="J1826" s="13" t="s">
        <v>3436</v>
      </c>
      <c r="K1826" s="13" t="s">
        <v>1952</v>
      </c>
      <c r="L1826" s="13"/>
      <c r="M1826" s="14"/>
      <c r="N1826" s="13"/>
      <c r="O1826" s="13" t="s">
        <v>2808</v>
      </c>
    </row>
    <row r="1827" spans="1:15" ht="19.5" customHeight="1" x14ac:dyDescent="0.25">
      <c r="A1827" s="11" t="s">
        <v>813</v>
      </c>
      <c r="B1827" s="11"/>
      <c r="C1827" s="11" t="s">
        <v>3435</v>
      </c>
      <c r="D1827" s="11" t="s">
        <v>1950</v>
      </c>
      <c r="E1827" s="11" t="s">
        <v>3021</v>
      </c>
      <c r="F1827" s="11"/>
      <c r="G1827" s="11" t="s">
        <v>813</v>
      </c>
      <c r="H1827" s="11"/>
      <c r="I1827" s="11" t="s">
        <v>3434</v>
      </c>
      <c r="J1827" s="11" t="s">
        <v>3433</v>
      </c>
      <c r="K1827" s="11" t="s">
        <v>3021</v>
      </c>
      <c r="L1827" s="11"/>
      <c r="M1827" s="12"/>
      <c r="N1827" s="11"/>
      <c r="O1827" s="11" t="s">
        <v>2808</v>
      </c>
    </row>
    <row r="1828" spans="1:15" ht="19.5" customHeight="1" x14ac:dyDescent="0.25">
      <c r="A1828" s="13" t="s">
        <v>3428</v>
      </c>
      <c r="B1828" s="13"/>
      <c r="C1828" s="13" t="s">
        <v>3432</v>
      </c>
      <c r="D1828" s="13" t="s">
        <v>1883</v>
      </c>
      <c r="E1828" s="13"/>
      <c r="F1828" s="13"/>
      <c r="G1828" s="13" t="s">
        <v>3428</v>
      </c>
      <c r="H1828" s="13"/>
      <c r="I1828" s="13"/>
      <c r="J1828" s="13"/>
      <c r="K1828" s="13"/>
      <c r="L1828" s="13"/>
      <c r="M1828" s="14"/>
      <c r="N1828" s="13"/>
      <c r="O1828" s="13"/>
    </row>
    <row r="1829" spans="1:15" ht="19.5" customHeight="1" x14ac:dyDescent="0.25">
      <c r="A1829" s="11" t="s">
        <v>3428</v>
      </c>
      <c r="B1829" s="11"/>
      <c r="C1829" s="11" t="s">
        <v>3431</v>
      </c>
      <c r="D1829" s="11" t="s">
        <v>1883</v>
      </c>
      <c r="E1829" s="11"/>
      <c r="F1829" s="11"/>
      <c r="G1829" s="11" t="s">
        <v>3428</v>
      </c>
      <c r="H1829" s="11"/>
      <c r="I1829" s="11"/>
      <c r="J1829" s="11"/>
      <c r="K1829" s="11"/>
      <c r="L1829" s="11"/>
      <c r="M1829" s="12"/>
      <c r="N1829" s="11"/>
      <c r="O1829" s="11"/>
    </row>
    <row r="1830" spans="1:15" ht="19.5" customHeight="1" x14ac:dyDescent="0.25">
      <c r="A1830" s="13" t="s">
        <v>3428</v>
      </c>
      <c r="B1830" s="13"/>
      <c r="C1830" s="13" t="s">
        <v>3430</v>
      </c>
      <c r="D1830" s="13" t="s">
        <v>1883</v>
      </c>
      <c r="E1830" s="13"/>
      <c r="F1830" s="13"/>
      <c r="G1830" s="13" t="s">
        <v>3428</v>
      </c>
      <c r="H1830" s="13"/>
      <c r="I1830" s="13"/>
      <c r="J1830" s="13"/>
      <c r="K1830" s="13"/>
      <c r="L1830" s="13"/>
      <c r="M1830" s="14"/>
      <c r="N1830" s="13"/>
      <c r="O1830" s="13"/>
    </row>
    <row r="1831" spans="1:15" ht="19.5" customHeight="1" x14ac:dyDescent="0.25">
      <c r="A1831" s="11" t="s">
        <v>3428</v>
      </c>
      <c r="B1831" s="11"/>
      <c r="C1831" s="11" t="s">
        <v>3429</v>
      </c>
      <c r="D1831" s="11" t="s">
        <v>1883</v>
      </c>
      <c r="E1831" s="11"/>
      <c r="F1831" s="11"/>
      <c r="G1831" s="11" t="s">
        <v>3428</v>
      </c>
      <c r="H1831" s="11"/>
      <c r="I1831" s="11"/>
      <c r="J1831" s="11"/>
      <c r="K1831" s="11"/>
      <c r="L1831" s="11"/>
      <c r="M1831" s="12"/>
      <c r="N1831" s="11"/>
      <c r="O1831" s="11"/>
    </row>
    <row r="1832" spans="1:15" ht="19.5" customHeight="1" x14ac:dyDescent="0.25">
      <c r="A1832" s="13" t="s">
        <v>815</v>
      </c>
      <c r="B1832" s="13"/>
      <c r="C1832" s="13" t="s">
        <v>3427</v>
      </c>
      <c r="D1832" s="13" t="s">
        <v>1883</v>
      </c>
      <c r="E1832" s="13" t="s">
        <v>3424</v>
      </c>
      <c r="F1832" s="13"/>
      <c r="G1832" s="13" t="s">
        <v>815</v>
      </c>
      <c r="H1832" s="13" t="s">
        <v>3423</v>
      </c>
      <c r="I1832" s="13" t="s">
        <v>3422</v>
      </c>
      <c r="J1832" s="13" t="s">
        <v>3421</v>
      </c>
      <c r="K1832" s="13" t="s">
        <v>1887</v>
      </c>
      <c r="L1832" s="13"/>
      <c r="M1832" s="14"/>
      <c r="N1832" s="13"/>
      <c r="O1832" s="13" t="s">
        <v>1877</v>
      </c>
    </row>
    <row r="1833" spans="1:15" ht="19.5" customHeight="1" x14ac:dyDescent="0.25">
      <c r="A1833" s="11" t="s">
        <v>815</v>
      </c>
      <c r="B1833" s="11"/>
      <c r="C1833" s="11" t="s">
        <v>3426</v>
      </c>
      <c r="D1833" s="11" t="s">
        <v>1883</v>
      </c>
      <c r="E1833" s="11" t="s">
        <v>3424</v>
      </c>
      <c r="F1833" s="11"/>
      <c r="G1833" s="11" t="s">
        <v>815</v>
      </c>
      <c r="H1833" s="11" t="s">
        <v>3423</v>
      </c>
      <c r="I1833" s="11" t="s">
        <v>3422</v>
      </c>
      <c r="J1833" s="11" t="s">
        <v>3421</v>
      </c>
      <c r="K1833" s="11" t="s">
        <v>1887</v>
      </c>
      <c r="L1833" s="11"/>
      <c r="M1833" s="12"/>
      <c r="N1833" s="11"/>
      <c r="O1833" s="11" t="s">
        <v>1877</v>
      </c>
    </row>
    <row r="1834" spans="1:15" ht="19.5" customHeight="1" x14ac:dyDescent="0.25">
      <c r="A1834" s="13" t="s">
        <v>815</v>
      </c>
      <c r="B1834" s="13"/>
      <c r="C1834" s="13" t="s">
        <v>3425</v>
      </c>
      <c r="D1834" s="13" t="s">
        <v>1883</v>
      </c>
      <c r="E1834" s="13" t="s">
        <v>3424</v>
      </c>
      <c r="F1834" s="13"/>
      <c r="G1834" s="13" t="s">
        <v>815</v>
      </c>
      <c r="H1834" s="13" t="s">
        <v>3423</v>
      </c>
      <c r="I1834" s="13" t="s">
        <v>3422</v>
      </c>
      <c r="J1834" s="13" t="s">
        <v>3421</v>
      </c>
      <c r="K1834" s="13" t="s">
        <v>1887</v>
      </c>
      <c r="L1834" s="13"/>
      <c r="M1834" s="14"/>
      <c r="N1834" s="13"/>
      <c r="O1834" s="13" t="s">
        <v>1877</v>
      </c>
    </row>
    <row r="1835" spans="1:15" ht="19.5" customHeight="1" x14ac:dyDescent="0.25">
      <c r="A1835" s="11" t="s">
        <v>1718</v>
      </c>
      <c r="B1835" s="11"/>
      <c r="C1835" s="11" t="s">
        <v>3420</v>
      </c>
      <c r="D1835" s="11" t="s">
        <v>1883</v>
      </c>
      <c r="E1835" s="11" t="s">
        <v>3419</v>
      </c>
      <c r="F1835" s="11"/>
      <c r="G1835" s="11" t="s">
        <v>3418</v>
      </c>
      <c r="H1835" s="11" t="s">
        <v>3417</v>
      </c>
      <c r="I1835" s="11" t="s">
        <v>3416</v>
      </c>
      <c r="J1835" s="11" t="s">
        <v>3415</v>
      </c>
      <c r="K1835" s="11" t="s">
        <v>1887</v>
      </c>
      <c r="L1835" s="11"/>
      <c r="M1835" s="12"/>
      <c r="N1835" s="11"/>
      <c r="O1835" s="11" t="s">
        <v>1877</v>
      </c>
    </row>
    <row r="1836" spans="1:15" ht="19.5" customHeight="1" x14ac:dyDescent="0.25">
      <c r="A1836" s="13" t="s">
        <v>817</v>
      </c>
      <c r="B1836" s="13"/>
      <c r="C1836" s="13" t="s">
        <v>3414</v>
      </c>
      <c r="D1836" s="13" t="s">
        <v>1883</v>
      </c>
      <c r="E1836" s="13" t="s">
        <v>3411</v>
      </c>
      <c r="F1836" s="13"/>
      <c r="G1836" s="13" t="s">
        <v>3410</v>
      </c>
      <c r="H1836" s="13" t="s">
        <v>3409</v>
      </c>
      <c r="I1836" s="13" t="s">
        <v>3408</v>
      </c>
      <c r="J1836" s="13" t="s">
        <v>3407</v>
      </c>
      <c r="K1836" s="13" t="s">
        <v>1878</v>
      </c>
      <c r="L1836" s="13"/>
      <c r="M1836" s="14"/>
      <c r="N1836" s="13"/>
      <c r="O1836" s="13" t="s">
        <v>1877</v>
      </c>
    </row>
    <row r="1837" spans="1:15" ht="19.5" customHeight="1" x14ac:dyDescent="0.25">
      <c r="A1837" s="11" t="s">
        <v>817</v>
      </c>
      <c r="B1837" s="11"/>
      <c r="C1837" s="11" t="s">
        <v>3413</v>
      </c>
      <c r="D1837" s="11" t="s">
        <v>1883</v>
      </c>
      <c r="E1837" s="11" t="s">
        <v>3411</v>
      </c>
      <c r="F1837" s="11"/>
      <c r="G1837" s="11" t="s">
        <v>3410</v>
      </c>
      <c r="H1837" s="11" t="s">
        <v>3409</v>
      </c>
      <c r="I1837" s="11" t="s">
        <v>3408</v>
      </c>
      <c r="J1837" s="11" t="s">
        <v>3407</v>
      </c>
      <c r="K1837" s="11" t="s">
        <v>1878</v>
      </c>
      <c r="L1837" s="11"/>
      <c r="M1837" s="12"/>
      <c r="N1837" s="11"/>
      <c r="O1837" s="11" t="s">
        <v>1877</v>
      </c>
    </row>
    <row r="1838" spans="1:15" ht="19.5" customHeight="1" x14ac:dyDescent="0.25">
      <c r="A1838" s="13" t="s">
        <v>817</v>
      </c>
      <c r="B1838" s="13"/>
      <c r="C1838" s="13" t="s">
        <v>3412</v>
      </c>
      <c r="D1838" s="13" t="s">
        <v>1883</v>
      </c>
      <c r="E1838" s="13" t="s">
        <v>3411</v>
      </c>
      <c r="F1838" s="13"/>
      <c r="G1838" s="13" t="s">
        <v>3410</v>
      </c>
      <c r="H1838" s="13" t="s">
        <v>3409</v>
      </c>
      <c r="I1838" s="13" t="s">
        <v>3408</v>
      </c>
      <c r="J1838" s="13" t="s">
        <v>3407</v>
      </c>
      <c r="K1838" s="13" t="s">
        <v>1878</v>
      </c>
      <c r="L1838" s="13"/>
      <c r="M1838" s="14"/>
      <c r="N1838" s="13"/>
      <c r="O1838" s="13" t="s">
        <v>1877</v>
      </c>
    </row>
    <row r="1839" spans="1:15" ht="19.5" customHeight="1" x14ac:dyDescent="0.25">
      <c r="A1839" s="11" t="s">
        <v>819</v>
      </c>
      <c r="B1839" s="11"/>
      <c r="C1839" s="11" t="s">
        <v>3406</v>
      </c>
      <c r="D1839" s="11" t="s">
        <v>1883</v>
      </c>
      <c r="E1839" s="11" t="s">
        <v>3403</v>
      </c>
      <c r="F1839" s="11"/>
      <c r="G1839" s="11" t="s">
        <v>3402</v>
      </c>
      <c r="H1839" s="11"/>
      <c r="I1839" s="11" t="s">
        <v>3401</v>
      </c>
      <c r="J1839" s="11" t="s">
        <v>3400</v>
      </c>
      <c r="K1839" s="11" t="s">
        <v>2313</v>
      </c>
      <c r="L1839" s="11"/>
      <c r="M1839" s="12"/>
      <c r="N1839" s="11"/>
      <c r="O1839" s="11" t="s">
        <v>1877</v>
      </c>
    </row>
    <row r="1840" spans="1:15" ht="19.5" customHeight="1" x14ac:dyDescent="0.25">
      <c r="A1840" s="13" t="s">
        <v>819</v>
      </c>
      <c r="B1840" s="13"/>
      <c r="C1840" s="13" t="s">
        <v>3405</v>
      </c>
      <c r="D1840" s="13" t="s">
        <v>1883</v>
      </c>
      <c r="E1840" s="13" t="s">
        <v>3403</v>
      </c>
      <c r="F1840" s="13"/>
      <c r="G1840" s="13" t="s">
        <v>3402</v>
      </c>
      <c r="H1840" s="13"/>
      <c r="I1840" s="13" t="s">
        <v>3401</v>
      </c>
      <c r="J1840" s="13" t="s">
        <v>3400</v>
      </c>
      <c r="K1840" s="13" t="s">
        <v>2313</v>
      </c>
      <c r="L1840" s="13"/>
      <c r="M1840" s="14"/>
      <c r="N1840" s="13"/>
      <c r="O1840" s="13" t="s">
        <v>1877</v>
      </c>
    </row>
    <row r="1841" spans="1:15" ht="19.5" customHeight="1" x14ac:dyDescent="0.25">
      <c r="A1841" s="11" t="s">
        <v>819</v>
      </c>
      <c r="B1841" s="11"/>
      <c r="C1841" s="11" t="s">
        <v>3404</v>
      </c>
      <c r="D1841" s="11" t="s">
        <v>1883</v>
      </c>
      <c r="E1841" s="11" t="s">
        <v>3403</v>
      </c>
      <c r="F1841" s="11"/>
      <c r="G1841" s="11" t="s">
        <v>3402</v>
      </c>
      <c r="H1841" s="11"/>
      <c r="I1841" s="11" t="s">
        <v>3401</v>
      </c>
      <c r="J1841" s="11" t="s">
        <v>3400</v>
      </c>
      <c r="K1841" s="11" t="s">
        <v>2313</v>
      </c>
      <c r="L1841" s="11"/>
      <c r="M1841" s="12"/>
      <c r="N1841" s="11"/>
      <c r="O1841" s="11" t="s">
        <v>1877</v>
      </c>
    </row>
    <row r="1842" spans="1:15" ht="19.5" customHeight="1" x14ac:dyDescent="0.25">
      <c r="A1842" s="13" t="s">
        <v>3399</v>
      </c>
      <c r="B1842" s="13"/>
      <c r="C1842" s="13" t="s">
        <v>3398</v>
      </c>
      <c r="D1842" s="13" t="s">
        <v>1883</v>
      </c>
      <c r="E1842" s="13" t="s">
        <v>3397</v>
      </c>
      <c r="F1842" s="13"/>
      <c r="G1842" s="13" t="s">
        <v>3396</v>
      </c>
      <c r="H1842" s="13"/>
      <c r="I1842" s="13" t="s">
        <v>3395</v>
      </c>
      <c r="J1842" s="13" t="s">
        <v>3394</v>
      </c>
      <c r="K1842" s="13" t="s">
        <v>2342</v>
      </c>
      <c r="L1842" s="13"/>
      <c r="M1842" s="14"/>
      <c r="N1842" s="13"/>
      <c r="O1842" s="13" t="s">
        <v>1877</v>
      </c>
    </row>
    <row r="1843" spans="1:15" ht="19.5" customHeight="1" x14ac:dyDescent="0.25">
      <c r="A1843" s="11" t="s">
        <v>821</v>
      </c>
      <c r="B1843" s="11"/>
      <c r="C1843" s="11" t="s">
        <v>3393</v>
      </c>
      <c r="D1843" s="11" t="s">
        <v>1883</v>
      </c>
      <c r="E1843" s="11" t="s">
        <v>3390</v>
      </c>
      <c r="F1843" s="11"/>
      <c r="G1843" s="11" t="s">
        <v>821</v>
      </c>
      <c r="H1843" s="11"/>
      <c r="I1843" s="11" t="s">
        <v>2361</v>
      </c>
      <c r="J1843" s="11" t="s">
        <v>3389</v>
      </c>
      <c r="K1843" s="11" t="s">
        <v>2093</v>
      </c>
      <c r="L1843" s="11"/>
      <c r="M1843" s="12"/>
      <c r="N1843" s="11"/>
      <c r="O1843" s="11" t="s">
        <v>1877</v>
      </c>
    </row>
    <row r="1844" spans="1:15" ht="19.5" customHeight="1" x14ac:dyDescent="0.25">
      <c r="A1844" s="13" t="s">
        <v>821</v>
      </c>
      <c r="B1844" s="13"/>
      <c r="C1844" s="13" t="s">
        <v>3392</v>
      </c>
      <c r="D1844" s="13" t="s">
        <v>1883</v>
      </c>
      <c r="E1844" s="13" t="s">
        <v>3390</v>
      </c>
      <c r="F1844" s="13"/>
      <c r="G1844" s="13" t="s">
        <v>821</v>
      </c>
      <c r="H1844" s="13"/>
      <c r="I1844" s="13" t="s">
        <v>2361</v>
      </c>
      <c r="J1844" s="13" t="s">
        <v>3389</v>
      </c>
      <c r="K1844" s="13" t="s">
        <v>2093</v>
      </c>
      <c r="L1844" s="13"/>
      <c r="M1844" s="14"/>
      <c r="N1844" s="13"/>
      <c r="O1844" s="13" t="s">
        <v>1877</v>
      </c>
    </row>
    <row r="1845" spans="1:15" ht="19.5" customHeight="1" x14ac:dyDescent="0.25">
      <c r="A1845" s="11" t="s">
        <v>821</v>
      </c>
      <c r="B1845" s="11"/>
      <c r="C1845" s="11" t="s">
        <v>3391</v>
      </c>
      <c r="D1845" s="11" t="s">
        <v>1883</v>
      </c>
      <c r="E1845" s="11" t="s">
        <v>3390</v>
      </c>
      <c r="F1845" s="11"/>
      <c r="G1845" s="11" t="s">
        <v>821</v>
      </c>
      <c r="H1845" s="11"/>
      <c r="I1845" s="11" t="s">
        <v>2361</v>
      </c>
      <c r="J1845" s="11" t="s">
        <v>3389</v>
      </c>
      <c r="K1845" s="11" t="s">
        <v>2093</v>
      </c>
      <c r="L1845" s="11"/>
      <c r="M1845" s="12"/>
      <c r="N1845" s="11"/>
      <c r="O1845" s="11" t="s">
        <v>1877</v>
      </c>
    </row>
    <row r="1846" spans="1:15" ht="19.5" customHeight="1" x14ac:dyDescent="0.25">
      <c r="A1846" s="13" t="s">
        <v>3387</v>
      </c>
      <c r="B1846" s="13"/>
      <c r="C1846" s="13" t="s">
        <v>3388</v>
      </c>
      <c r="D1846" s="13" t="s">
        <v>1883</v>
      </c>
      <c r="E1846" s="13"/>
      <c r="F1846" s="13"/>
      <c r="G1846" s="13" t="s">
        <v>3387</v>
      </c>
      <c r="H1846" s="13"/>
      <c r="I1846" s="13"/>
      <c r="J1846" s="13"/>
      <c r="K1846" s="13"/>
      <c r="L1846" s="13"/>
      <c r="M1846" s="14"/>
      <c r="N1846" s="13"/>
      <c r="O1846" s="13" t="s">
        <v>1916</v>
      </c>
    </row>
    <row r="1847" spans="1:15" ht="19.5" customHeight="1" x14ac:dyDescent="0.25">
      <c r="A1847" s="11" t="s">
        <v>1574</v>
      </c>
      <c r="B1847" s="11"/>
      <c r="C1847" s="11" t="s">
        <v>3386</v>
      </c>
      <c r="D1847" s="11" t="s">
        <v>1883</v>
      </c>
      <c r="E1847" s="11" t="s">
        <v>3385</v>
      </c>
      <c r="F1847" s="11"/>
      <c r="G1847" s="11" t="s">
        <v>3384</v>
      </c>
      <c r="H1847" s="11"/>
      <c r="I1847" s="11" t="s">
        <v>3379</v>
      </c>
      <c r="J1847" s="11" t="s">
        <v>3383</v>
      </c>
      <c r="K1847" s="11" t="s">
        <v>2033</v>
      </c>
      <c r="L1847" s="11"/>
      <c r="M1847" s="12"/>
      <c r="N1847" s="11"/>
      <c r="O1847" s="11" t="s">
        <v>2028</v>
      </c>
    </row>
    <row r="1848" spans="1:15" ht="19.5" customHeight="1" x14ac:dyDescent="0.25">
      <c r="A1848" s="13" t="s">
        <v>1558</v>
      </c>
      <c r="B1848" s="13"/>
      <c r="C1848" s="13" t="s">
        <v>3382</v>
      </c>
      <c r="D1848" s="13" t="s">
        <v>1883</v>
      </c>
      <c r="E1848" s="13" t="s">
        <v>3381</v>
      </c>
      <c r="F1848" s="13"/>
      <c r="G1848" s="13" t="s">
        <v>3380</v>
      </c>
      <c r="H1848" s="13"/>
      <c r="I1848" s="13" t="s">
        <v>3379</v>
      </c>
      <c r="J1848" s="13" t="s">
        <v>3378</v>
      </c>
      <c r="K1848" s="13" t="s">
        <v>2033</v>
      </c>
      <c r="L1848" s="13"/>
      <c r="M1848" s="14"/>
      <c r="N1848" s="13"/>
      <c r="O1848" s="13" t="s">
        <v>2028</v>
      </c>
    </row>
    <row r="1849" spans="1:15" ht="19.5" customHeight="1" x14ac:dyDescent="0.25">
      <c r="A1849" s="11" t="s">
        <v>3376</v>
      </c>
      <c r="B1849" s="11"/>
      <c r="C1849" s="11" t="s">
        <v>3377</v>
      </c>
      <c r="D1849" s="11" t="s">
        <v>1883</v>
      </c>
      <c r="E1849" s="11"/>
      <c r="F1849" s="11"/>
      <c r="G1849" s="11" t="s">
        <v>3376</v>
      </c>
      <c r="H1849" s="11"/>
      <c r="I1849" s="11"/>
      <c r="J1849" s="11"/>
      <c r="K1849" s="11"/>
      <c r="L1849" s="11"/>
      <c r="M1849" s="12"/>
      <c r="N1849" s="11"/>
      <c r="O1849" s="11"/>
    </row>
    <row r="1850" spans="1:15" ht="19.5" customHeight="1" x14ac:dyDescent="0.25">
      <c r="A1850" s="13" t="s">
        <v>3374</v>
      </c>
      <c r="B1850" s="13"/>
      <c r="C1850" s="13" t="s">
        <v>3375</v>
      </c>
      <c r="D1850" s="13" t="s">
        <v>1883</v>
      </c>
      <c r="E1850" s="13"/>
      <c r="F1850" s="13"/>
      <c r="G1850" s="13" t="s">
        <v>3374</v>
      </c>
      <c r="H1850" s="13"/>
      <c r="I1850" s="13"/>
      <c r="J1850" s="13"/>
      <c r="K1850" s="13"/>
      <c r="L1850" s="13"/>
      <c r="M1850" s="14"/>
      <c r="N1850" s="13"/>
      <c r="O1850" s="13"/>
    </row>
    <row r="1851" spans="1:15" ht="19.5" customHeight="1" x14ac:dyDescent="0.25">
      <c r="A1851" s="11" t="s">
        <v>823</v>
      </c>
      <c r="B1851" s="11"/>
      <c r="C1851" s="11" t="s">
        <v>3373</v>
      </c>
      <c r="D1851" s="11" t="s">
        <v>1883</v>
      </c>
      <c r="E1851" s="11" t="s">
        <v>3369</v>
      </c>
      <c r="F1851" s="11"/>
      <c r="G1851" s="11" t="s">
        <v>823</v>
      </c>
      <c r="H1851" s="11"/>
      <c r="I1851" s="11" t="s">
        <v>2801</v>
      </c>
      <c r="J1851" s="11" t="s">
        <v>3367</v>
      </c>
      <c r="K1851" s="11" t="s">
        <v>3366</v>
      </c>
      <c r="L1851" s="11"/>
      <c r="M1851" s="12"/>
      <c r="N1851" s="11"/>
      <c r="O1851" s="11" t="s">
        <v>1916</v>
      </c>
    </row>
    <row r="1852" spans="1:15" ht="19.5" customHeight="1" x14ac:dyDescent="0.25">
      <c r="A1852" s="13" t="s">
        <v>823</v>
      </c>
      <c r="B1852" s="13"/>
      <c r="C1852" s="13" t="s">
        <v>3372</v>
      </c>
      <c r="D1852" s="13" t="s">
        <v>1883</v>
      </c>
      <c r="E1852" s="13" t="s">
        <v>3369</v>
      </c>
      <c r="F1852" s="13"/>
      <c r="G1852" s="13" t="s">
        <v>823</v>
      </c>
      <c r="H1852" s="13" t="s">
        <v>3368</v>
      </c>
      <c r="I1852" s="13" t="s">
        <v>2801</v>
      </c>
      <c r="J1852" s="13" t="s">
        <v>3367</v>
      </c>
      <c r="K1852" s="13" t="s">
        <v>3366</v>
      </c>
      <c r="L1852" s="13"/>
      <c r="M1852" s="14"/>
      <c r="N1852" s="13"/>
      <c r="O1852" s="13" t="s">
        <v>1877</v>
      </c>
    </row>
    <row r="1853" spans="1:15" ht="19.5" customHeight="1" x14ac:dyDescent="0.25">
      <c r="A1853" s="11" t="s">
        <v>823</v>
      </c>
      <c r="B1853" s="11"/>
      <c r="C1853" s="11" t="s">
        <v>3371</v>
      </c>
      <c r="D1853" s="11" t="s">
        <v>1883</v>
      </c>
      <c r="E1853" s="11" t="s">
        <v>3369</v>
      </c>
      <c r="F1853" s="11"/>
      <c r="G1853" s="11" t="s">
        <v>823</v>
      </c>
      <c r="H1853" s="11" t="s">
        <v>3368</v>
      </c>
      <c r="I1853" s="11" t="s">
        <v>2801</v>
      </c>
      <c r="J1853" s="11" t="s">
        <v>3367</v>
      </c>
      <c r="K1853" s="11" t="s">
        <v>3366</v>
      </c>
      <c r="L1853" s="11"/>
      <c r="M1853" s="12"/>
      <c r="N1853" s="11"/>
      <c r="O1853" s="11" t="s">
        <v>1877</v>
      </c>
    </row>
    <row r="1854" spans="1:15" ht="19.5" customHeight="1" x14ac:dyDescent="0.25">
      <c r="A1854" s="13" t="s">
        <v>823</v>
      </c>
      <c r="B1854" s="13"/>
      <c r="C1854" s="13" t="s">
        <v>3370</v>
      </c>
      <c r="D1854" s="13" t="s">
        <v>1883</v>
      </c>
      <c r="E1854" s="13" t="s">
        <v>3369</v>
      </c>
      <c r="F1854" s="13"/>
      <c r="G1854" s="13" t="s">
        <v>823</v>
      </c>
      <c r="H1854" s="13" t="s">
        <v>3368</v>
      </c>
      <c r="I1854" s="13" t="s">
        <v>2801</v>
      </c>
      <c r="J1854" s="13" t="s">
        <v>3367</v>
      </c>
      <c r="K1854" s="13" t="s">
        <v>3366</v>
      </c>
      <c r="L1854" s="13"/>
      <c r="M1854" s="14"/>
      <c r="N1854" s="13"/>
      <c r="O1854" s="13" t="s">
        <v>1877</v>
      </c>
    </row>
    <row r="1855" spans="1:15" ht="19.5" customHeight="1" x14ac:dyDescent="0.25">
      <c r="A1855" s="11" t="s">
        <v>3364</v>
      </c>
      <c r="B1855" s="11"/>
      <c r="C1855" s="11" t="s">
        <v>3365</v>
      </c>
      <c r="D1855" s="11" t="s">
        <v>1883</v>
      </c>
      <c r="E1855" s="11"/>
      <c r="F1855" s="11"/>
      <c r="G1855" s="11" t="s">
        <v>3364</v>
      </c>
      <c r="H1855" s="11"/>
      <c r="I1855" s="11"/>
      <c r="J1855" s="11"/>
      <c r="K1855" s="11"/>
      <c r="L1855" s="11"/>
      <c r="M1855" s="12"/>
      <c r="N1855" s="11"/>
      <c r="O1855" s="11"/>
    </row>
    <row r="1856" spans="1:15" ht="19.5" customHeight="1" x14ac:dyDescent="0.25">
      <c r="A1856" s="13" t="s">
        <v>3358</v>
      </c>
      <c r="B1856" s="13"/>
      <c r="C1856" s="13" t="s">
        <v>3363</v>
      </c>
      <c r="D1856" s="13" t="s">
        <v>1883</v>
      </c>
      <c r="E1856" s="13" t="s">
        <v>3362</v>
      </c>
      <c r="F1856" s="13"/>
      <c r="G1856" s="13" t="s">
        <v>3358</v>
      </c>
      <c r="H1856" s="13"/>
      <c r="I1856" s="13" t="s">
        <v>3361</v>
      </c>
      <c r="J1856" s="13" t="s">
        <v>3356</v>
      </c>
      <c r="K1856" s="13" t="s">
        <v>1878</v>
      </c>
      <c r="L1856" s="13"/>
      <c r="M1856" s="14"/>
      <c r="N1856" s="13"/>
      <c r="O1856" s="13" t="s">
        <v>1877</v>
      </c>
    </row>
    <row r="1857" spans="1:15" ht="19.5" customHeight="1" x14ac:dyDescent="0.25">
      <c r="A1857" s="11" t="s">
        <v>825</v>
      </c>
      <c r="B1857" s="11"/>
      <c r="C1857" s="11" t="s">
        <v>3360</v>
      </c>
      <c r="D1857" s="11" t="s">
        <v>1883</v>
      </c>
      <c r="E1857" s="11" t="s">
        <v>3359</v>
      </c>
      <c r="F1857" s="11"/>
      <c r="G1857" s="11" t="s">
        <v>3358</v>
      </c>
      <c r="H1857" s="11"/>
      <c r="I1857" s="11" t="s">
        <v>3357</v>
      </c>
      <c r="J1857" s="11" t="s">
        <v>3356</v>
      </c>
      <c r="K1857" s="11" t="s">
        <v>1878</v>
      </c>
      <c r="L1857" s="11"/>
      <c r="M1857" s="12"/>
      <c r="N1857" s="11"/>
      <c r="O1857" s="11" t="s">
        <v>1877</v>
      </c>
    </row>
    <row r="1858" spans="1:15" ht="19.5" customHeight="1" x14ac:dyDescent="0.25">
      <c r="A1858" s="13" t="s">
        <v>1385</v>
      </c>
      <c r="B1858" s="13"/>
      <c r="C1858" s="13" t="s">
        <v>3355</v>
      </c>
      <c r="D1858" s="13" t="s">
        <v>1883</v>
      </c>
      <c r="E1858" s="13" t="s">
        <v>3354</v>
      </c>
      <c r="F1858" s="13"/>
      <c r="G1858" s="13" t="s">
        <v>3353</v>
      </c>
      <c r="H1858" s="13"/>
      <c r="I1858" s="13" t="s">
        <v>3352</v>
      </c>
      <c r="J1858" s="13" t="s">
        <v>3351</v>
      </c>
      <c r="K1858" s="13" t="s">
        <v>1878</v>
      </c>
      <c r="L1858" s="13"/>
      <c r="M1858" s="14"/>
      <c r="N1858" s="13"/>
      <c r="O1858" s="13" t="s">
        <v>1877</v>
      </c>
    </row>
    <row r="1859" spans="1:15" ht="19.5" customHeight="1" x14ac:dyDescent="0.25">
      <c r="A1859" s="11" t="s">
        <v>827</v>
      </c>
      <c r="B1859" s="11"/>
      <c r="C1859" s="11" t="s">
        <v>3350</v>
      </c>
      <c r="D1859" s="11" t="s">
        <v>1883</v>
      </c>
      <c r="E1859" s="11" t="s">
        <v>3347</v>
      </c>
      <c r="F1859" s="11"/>
      <c r="G1859" s="11" t="s">
        <v>827</v>
      </c>
      <c r="H1859" s="11" t="s">
        <v>3346</v>
      </c>
      <c r="I1859" s="11" t="s">
        <v>3345</v>
      </c>
      <c r="J1859" s="11" t="s">
        <v>3344</v>
      </c>
      <c r="K1859" s="11" t="s">
        <v>2453</v>
      </c>
      <c r="L1859" s="11"/>
      <c r="M1859" s="12"/>
      <c r="N1859" s="11"/>
      <c r="O1859" s="11" t="s">
        <v>1877</v>
      </c>
    </row>
    <row r="1860" spans="1:15" ht="19.5" customHeight="1" x14ac:dyDescent="0.25">
      <c r="A1860" s="13" t="s">
        <v>827</v>
      </c>
      <c r="B1860" s="13"/>
      <c r="C1860" s="13" t="s">
        <v>3349</v>
      </c>
      <c r="D1860" s="13" t="s">
        <v>1883</v>
      </c>
      <c r="E1860" s="13" t="s">
        <v>3347</v>
      </c>
      <c r="F1860" s="13"/>
      <c r="G1860" s="13" t="s">
        <v>827</v>
      </c>
      <c r="H1860" s="13" t="s">
        <v>3346</v>
      </c>
      <c r="I1860" s="13" t="s">
        <v>3345</v>
      </c>
      <c r="J1860" s="13" t="s">
        <v>3344</v>
      </c>
      <c r="K1860" s="13" t="s">
        <v>2453</v>
      </c>
      <c r="L1860" s="13"/>
      <c r="M1860" s="14"/>
      <c r="N1860" s="13"/>
      <c r="O1860" s="13" t="s">
        <v>1877</v>
      </c>
    </row>
    <row r="1861" spans="1:15" ht="19.5" customHeight="1" x14ac:dyDescent="0.25">
      <c r="A1861" s="11" t="s">
        <v>827</v>
      </c>
      <c r="B1861" s="11"/>
      <c r="C1861" s="11" t="s">
        <v>3348</v>
      </c>
      <c r="D1861" s="11" t="s">
        <v>1883</v>
      </c>
      <c r="E1861" s="11" t="s">
        <v>3347</v>
      </c>
      <c r="F1861" s="11"/>
      <c r="G1861" s="11" t="s">
        <v>827</v>
      </c>
      <c r="H1861" s="11" t="s">
        <v>3346</v>
      </c>
      <c r="I1861" s="11" t="s">
        <v>3345</v>
      </c>
      <c r="J1861" s="11" t="s">
        <v>3344</v>
      </c>
      <c r="K1861" s="11" t="s">
        <v>2453</v>
      </c>
      <c r="L1861" s="11"/>
      <c r="M1861" s="12"/>
      <c r="N1861" s="11"/>
      <c r="O1861" s="11" t="s">
        <v>1877</v>
      </c>
    </row>
    <row r="1862" spans="1:15" ht="19.5" customHeight="1" x14ac:dyDescent="0.25">
      <c r="A1862" s="13" t="s">
        <v>1282</v>
      </c>
      <c r="B1862" s="13"/>
      <c r="C1862" s="13" t="s">
        <v>3343</v>
      </c>
      <c r="D1862" s="13" t="s">
        <v>1883</v>
      </c>
      <c r="E1862" s="13" t="s">
        <v>3342</v>
      </c>
      <c r="F1862" s="13"/>
      <c r="G1862" s="13" t="s">
        <v>1282</v>
      </c>
      <c r="H1862" s="13"/>
      <c r="I1862" s="13" t="s">
        <v>3341</v>
      </c>
      <c r="J1862" s="13" t="s">
        <v>3340</v>
      </c>
      <c r="K1862" s="13" t="s">
        <v>3339</v>
      </c>
      <c r="L1862" s="13"/>
      <c r="M1862" s="14"/>
      <c r="N1862" s="13"/>
      <c r="O1862" s="13" t="s">
        <v>1877</v>
      </c>
    </row>
    <row r="1863" spans="1:15" ht="19.5" customHeight="1" x14ac:dyDescent="0.25">
      <c r="A1863" s="11" t="s">
        <v>3335</v>
      </c>
      <c r="B1863" s="11"/>
      <c r="C1863" s="11" t="s">
        <v>3338</v>
      </c>
      <c r="D1863" s="11" t="s">
        <v>1883</v>
      </c>
      <c r="E1863" s="11"/>
      <c r="F1863" s="11"/>
      <c r="G1863" s="11" t="s">
        <v>3335</v>
      </c>
      <c r="H1863" s="11"/>
      <c r="I1863" s="11"/>
      <c r="J1863" s="11"/>
      <c r="K1863" s="11"/>
      <c r="L1863" s="11"/>
      <c r="M1863" s="12"/>
      <c r="N1863" s="11"/>
      <c r="O1863" s="11"/>
    </row>
    <row r="1864" spans="1:15" ht="19.5" customHeight="1" x14ac:dyDescent="0.25">
      <c r="A1864" s="13" t="s">
        <v>3335</v>
      </c>
      <c r="B1864" s="13"/>
      <c r="C1864" s="13" t="s">
        <v>3337</v>
      </c>
      <c r="D1864" s="13" t="s">
        <v>1883</v>
      </c>
      <c r="E1864" s="13"/>
      <c r="F1864" s="13"/>
      <c r="G1864" s="13" t="s">
        <v>3335</v>
      </c>
      <c r="H1864" s="13"/>
      <c r="I1864" s="13"/>
      <c r="J1864" s="13"/>
      <c r="K1864" s="13"/>
      <c r="L1864" s="13"/>
      <c r="M1864" s="14"/>
      <c r="N1864" s="13"/>
      <c r="O1864" s="13"/>
    </row>
    <row r="1865" spans="1:15" ht="19.5" customHeight="1" x14ac:dyDescent="0.25">
      <c r="A1865" s="11" t="s">
        <v>3335</v>
      </c>
      <c r="B1865" s="11"/>
      <c r="C1865" s="11" t="s">
        <v>3336</v>
      </c>
      <c r="D1865" s="11" t="s">
        <v>1883</v>
      </c>
      <c r="E1865" s="11"/>
      <c r="F1865" s="11"/>
      <c r="G1865" s="11" t="s">
        <v>3335</v>
      </c>
      <c r="H1865" s="11"/>
      <c r="I1865" s="11"/>
      <c r="J1865" s="11"/>
      <c r="K1865" s="11"/>
      <c r="L1865" s="11"/>
      <c r="M1865" s="12"/>
      <c r="N1865" s="11"/>
      <c r="O1865" s="11"/>
    </row>
    <row r="1866" spans="1:15" ht="19.5" customHeight="1" x14ac:dyDescent="0.25">
      <c r="A1866" s="13" t="s">
        <v>2460</v>
      </c>
      <c r="B1866" s="13"/>
      <c r="C1866" s="13" t="s">
        <v>3334</v>
      </c>
      <c r="D1866" s="13" t="s">
        <v>1883</v>
      </c>
      <c r="E1866" s="13"/>
      <c r="F1866" s="13"/>
      <c r="G1866" s="13" t="s">
        <v>2460</v>
      </c>
      <c r="H1866" s="13"/>
      <c r="I1866" s="13"/>
      <c r="J1866" s="13"/>
      <c r="K1866" s="13"/>
      <c r="L1866" s="13"/>
      <c r="M1866" s="14"/>
      <c r="N1866" s="13"/>
      <c r="O1866" s="13"/>
    </row>
    <row r="1867" spans="1:15" ht="19.5" customHeight="1" x14ac:dyDescent="0.25">
      <c r="A1867" s="11" t="s">
        <v>829</v>
      </c>
      <c r="B1867" s="11"/>
      <c r="C1867" s="11" t="s">
        <v>3333</v>
      </c>
      <c r="D1867" s="11" t="s">
        <v>1883</v>
      </c>
      <c r="E1867" s="11" t="s">
        <v>3332</v>
      </c>
      <c r="F1867" s="11"/>
      <c r="G1867" s="11" t="s">
        <v>829</v>
      </c>
      <c r="H1867" s="11"/>
      <c r="I1867" s="11" t="s">
        <v>3331</v>
      </c>
      <c r="J1867" s="11" t="s">
        <v>3330</v>
      </c>
      <c r="K1867" s="11" t="s">
        <v>3021</v>
      </c>
      <c r="L1867" s="11"/>
      <c r="M1867" s="12"/>
      <c r="N1867" s="11"/>
      <c r="O1867" s="11" t="s">
        <v>1877</v>
      </c>
    </row>
    <row r="1868" spans="1:15" ht="19.5" customHeight="1" x14ac:dyDescent="0.25">
      <c r="A1868" s="13" t="s">
        <v>831</v>
      </c>
      <c r="B1868" s="13"/>
      <c r="C1868" s="13" t="s">
        <v>3329</v>
      </c>
      <c r="D1868" s="13" t="s">
        <v>1883</v>
      </c>
      <c r="E1868" s="13" t="s">
        <v>3324</v>
      </c>
      <c r="F1868" s="13"/>
      <c r="G1868" s="13" t="s">
        <v>831</v>
      </c>
      <c r="H1868" s="13"/>
      <c r="I1868" s="13"/>
      <c r="J1868" s="13"/>
      <c r="K1868" s="13" t="s">
        <v>2953</v>
      </c>
      <c r="L1868" s="13"/>
      <c r="M1868" s="14"/>
      <c r="N1868" s="13"/>
      <c r="O1868" s="13" t="s">
        <v>1916</v>
      </c>
    </row>
    <row r="1869" spans="1:15" ht="19.5" customHeight="1" x14ac:dyDescent="0.25">
      <c r="A1869" s="11" t="s">
        <v>831</v>
      </c>
      <c r="B1869" s="11"/>
      <c r="C1869" s="11" t="s">
        <v>3328</v>
      </c>
      <c r="D1869" s="11" t="s">
        <v>1883</v>
      </c>
      <c r="E1869" s="11" t="s">
        <v>3324</v>
      </c>
      <c r="F1869" s="11" t="s">
        <v>3327</v>
      </c>
      <c r="G1869" s="11" t="s">
        <v>831</v>
      </c>
      <c r="H1869" s="11" t="s">
        <v>3322</v>
      </c>
      <c r="I1869" s="11" t="s">
        <v>3321</v>
      </c>
      <c r="J1869" s="11" t="s">
        <v>3320</v>
      </c>
      <c r="K1869" s="11" t="s">
        <v>2953</v>
      </c>
      <c r="L1869" s="11"/>
      <c r="M1869" s="12"/>
      <c r="N1869" s="11"/>
      <c r="O1869" s="11" t="s">
        <v>1877</v>
      </c>
    </row>
    <row r="1870" spans="1:15" ht="19.5" customHeight="1" x14ac:dyDescent="0.25">
      <c r="A1870" s="13" t="s">
        <v>831</v>
      </c>
      <c r="B1870" s="13"/>
      <c r="C1870" s="13" t="s">
        <v>3326</v>
      </c>
      <c r="D1870" s="13" t="s">
        <v>1883</v>
      </c>
      <c r="E1870" s="13" t="s">
        <v>3324</v>
      </c>
      <c r="F1870" s="13" t="s">
        <v>3323</v>
      </c>
      <c r="G1870" s="13" t="s">
        <v>831</v>
      </c>
      <c r="H1870" s="13" t="s">
        <v>3322</v>
      </c>
      <c r="I1870" s="13" t="s">
        <v>3321</v>
      </c>
      <c r="J1870" s="13" t="s">
        <v>3320</v>
      </c>
      <c r="K1870" s="13" t="s">
        <v>2953</v>
      </c>
      <c r="L1870" s="13"/>
      <c r="M1870" s="14"/>
      <c r="N1870" s="13"/>
      <c r="O1870" s="13" t="s">
        <v>1877</v>
      </c>
    </row>
    <row r="1871" spans="1:15" ht="19.5" customHeight="1" x14ac:dyDescent="0.25">
      <c r="A1871" s="11" t="s">
        <v>831</v>
      </c>
      <c r="B1871" s="11"/>
      <c r="C1871" s="11" t="s">
        <v>3325</v>
      </c>
      <c r="D1871" s="11" t="s">
        <v>1883</v>
      </c>
      <c r="E1871" s="11" t="s">
        <v>3324</v>
      </c>
      <c r="F1871" s="11" t="s">
        <v>3323</v>
      </c>
      <c r="G1871" s="11" t="s">
        <v>831</v>
      </c>
      <c r="H1871" s="11" t="s">
        <v>3322</v>
      </c>
      <c r="I1871" s="11" t="s">
        <v>3321</v>
      </c>
      <c r="J1871" s="11" t="s">
        <v>3320</v>
      </c>
      <c r="K1871" s="11" t="s">
        <v>2953</v>
      </c>
      <c r="L1871" s="11"/>
      <c r="M1871" s="12"/>
      <c r="N1871" s="11"/>
      <c r="O1871" s="11" t="s">
        <v>1877</v>
      </c>
    </row>
    <row r="1872" spans="1:15" ht="19.5" customHeight="1" x14ac:dyDescent="0.25">
      <c r="A1872" s="13" t="s">
        <v>3316</v>
      </c>
      <c r="B1872" s="13"/>
      <c r="C1872" s="13" t="s">
        <v>3319</v>
      </c>
      <c r="D1872" s="13" t="s">
        <v>1883</v>
      </c>
      <c r="E1872" s="13"/>
      <c r="F1872" s="13"/>
      <c r="G1872" s="13" t="s">
        <v>3316</v>
      </c>
      <c r="H1872" s="13"/>
      <c r="I1872" s="13"/>
      <c r="J1872" s="13"/>
      <c r="K1872" s="13"/>
      <c r="L1872" s="13"/>
      <c r="M1872" s="14"/>
      <c r="N1872" s="13"/>
      <c r="O1872" s="13" t="s">
        <v>1877</v>
      </c>
    </row>
    <row r="1873" spans="1:15" ht="19.5" customHeight="1" x14ac:dyDescent="0.25">
      <c r="A1873" s="11" t="s">
        <v>3316</v>
      </c>
      <c r="B1873" s="11"/>
      <c r="C1873" s="11" t="s">
        <v>3318</v>
      </c>
      <c r="D1873" s="11" t="s">
        <v>1883</v>
      </c>
      <c r="E1873" s="11"/>
      <c r="F1873" s="11"/>
      <c r="G1873" s="11" t="s">
        <v>3316</v>
      </c>
      <c r="H1873" s="11"/>
      <c r="I1873" s="11"/>
      <c r="J1873" s="11"/>
      <c r="K1873" s="11"/>
      <c r="L1873" s="11"/>
      <c r="M1873" s="12"/>
      <c r="N1873" s="11"/>
      <c r="O1873" s="11" t="s">
        <v>1877</v>
      </c>
    </row>
    <row r="1874" spans="1:15" ht="19.5" customHeight="1" x14ac:dyDescent="0.25">
      <c r="A1874" s="13" t="s">
        <v>3316</v>
      </c>
      <c r="B1874" s="13"/>
      <c r="C1874" s="13" t="s">
        <v>3317</v>
      </c>
      <c r="D1874" s="13" t="s">
        <v>1883</v>
      </c>
      <c r="E1874" s="13"/>
      <c r="F1874" s="13"/>
      <c r="G1874" s="13" t="s">
        <v>3316</v>
      </c>
      <c r="H1874" s="13"/>
      <c r="I1874" s="13"/>
      <c r="J1874" s="13"/>
      <c r="K1874" s="13"/>
      <c r="L1874" s="13"/>
      <c r="M1874" s="14"/>
      <c r="N1874" s="13"/>
      <c r="O1874" s="13" t="s">
        <v>1877</v>
      </c>
    </row>
    <row r="1875" spans="1:15" ht="19.5" customHeight="1" x14ac:dyDescent="0.25">
      <c r="A1875" s="11" t="s">
        <v>3313</v>
      </c>
      <c r="B1875" s="11"/>
      <c r="C1875" s="11" t="s">
        <v>3315</v>
      </c>
      <c r="D1875" s="11" t="s">
        <v>1950</v>
      </c>
      <c r="E1875" s="11" t="s">
        <v>3314</v>
      </c>
      <c r="F1875" s="11"/>
      <c r="G1875" s="11" t="s">
        <v>3313</v>
      </c>
      <c r="H1875" s="11" t="s">
        <v>3312</v>
      </c>
      <c r="I1875" s="11" t="s">
        <v>3311</v>
      </c>
      <c r="J1875" s="11" t="s">
        <v>3310</v>
      </c>
      <c r="K1875" s="11" t="s">
        <v>3309</v>
      </c>
      <c r="L1875" s="11"/>
      <c r="M1875" s="12"/>
      <c r="N1875" s="11"/>
      <c r="O1875" s="11" t="s">
        <v>1877</v>
      </c>
    </row>
    <row r="1876" spans="1:15" ht="19.5" customHeight="1" x14ac:dyDescent="0.25">
      <c r="A1876" s="13" t="s">
        <v>1777</v>
      </c>
      <c r="B1876" s="13"/>
      <c r="C1876" s="13" t="s">
        <v>3308</v>
      </c>
      <c r="D1876" s="13" t="s">
        <v>1883</v>
      </c>
      <c r="E1876" s="13" t="s">
        <v>3307</v>
      </c>
      <c r="F1876" s="13"/>
      <c r="G1876" s="13" t="s">
        <v>1777</v>
      </c>
      <c r="H1876" s="13"/>
      <c r="I1876" s="13" t="s">
        <v>3306</v>
      </c>
      <c r="J1876" s="13" t="s">
        <v>3305</v>
      </c>
      <c r="K1876" s="13" t="s">
        <v>1878</v>
      </c>
      <c r="L1876" s="13"/>
      <c r="M1876" s="14"/>
      <c r="N1876" s="13"/>
      <c r="O1876" s="13" t="s">
        <v>1877</v>
      </c>
    </row>
    <row r="1877" spans="1:15" ht="19.5" customHeight="1" x14ac:dyDescent="0.25">
      <c r="A1877" s="11" t="s">
        <v>834</v>
      </c>
      <c r="B1877" s="11"/>
      <c r="C1877" s="11" t="s">
        <v>3304</v>
      </c>
      <c r="D1877" s="11" t="s">
        <v>1883</v>
      </c>
      <c r="E1877" s="11" t="s">
        <v>3301</v>
      </c>
      <c r="F1877" s="11"/>
      <c r="G1877" s="11" t="s">
        <v>834</v>
      </c>
      <c r="H1877" s="11"/>
      <c r="I1877" s="11" t="s">
        <v>3300</v>
      </c>
      <c r="J1877" s="11" t="s">
        <v>3299</v>
      </c>
      <c r="K1877" s="11" t="s">
        <v>3298</v>
      </c>
      <c r="L1877" s="11"/>
      <c r="M1877" s="12"/>
      <c r="N1877" s="11"/>
      <c r="O1877" s="11" t="s">
        <v>1877</v>
      </c>
    </row>
    <row r="1878" spans="1:15" ht="19.5" customHeight="1" x14ac:dyDescent="0.25">
      <c r="A1878" s="13" t="s">
        <v>834</v>
      </c>
      <c r="B1878" s="13"/>
      <c r="C1878" s="13" t="s">
        <v>3303</v>
      </c>
      <c r="D1878" s="13" t="s">
        <v>1883</v>
      </c>
      <c r="E1878" s="13" t="s">
        <v>3301</v>
      </c>
      <c r="F1878" s="13"/>
      <c r="G1878" s="13" t="s">
        <v>834</v>
      </c>
      <c r="H1878" s="13"/>
      <c r="I1878" s="13" t="s">
        <v>3300</v>
      </c>
      <c r="J1878" s="13" t="s">
        <v>3299</v>
      </c>
      <c r="K1878" s="13" t="s">
        <v>3298</v>
      </c>
      <c r="L1878" s="13"/>
      <c r="M1878" s="14"/>
      <c r="N1878" s="13"/>
      <c r="O1878" s="13" t="s">
        <v>1877</v>
      </c>
    </row>
    <row r="1879" spans="1:15" ht="19.5" customHeight="1" x14ac:dyDescent="0.25">
      <c r="A1879" s="11" t="s">
        <v>834</v>
      </c>
      <c r="B1879" s="11"/>
      <c r="C1879" s="11" t="s">
        <v>3302</v>
      </c>
      <c r="D1879" s="11" t="s">
        <v>1883</v>
      </c>
      <c r="E1879" s="11" t="s">
        <v>3301</v>
      </c>
      <c r="F1879" s="11"/>
      <c r="G1879" s="11" t="s">
        <v>834</v>
      </c>
      <c r="H1879" s="11"/>
      <c r="I1879" s="11" t="s">
        <v>3300</v>
      </c>
      <c r="J1879" s="11" t="s">
        <v>3299</v>
      </c>
      <c r="K1879" s="11" t="s">
        <v>3298</v>
      </c>
      <c r="L1879" s="11"/>
      <c r="M1879" s="12"/>
      <c r="N1879" s="11"/>
      <c r="O1879" s="11" t="s">
        <v>1877</v>
      </c>
    </row>
    <row r="1880" spans="1:15" ht="19.5" customHeight="1" x14ac:dyDescent="0.25">
      <c r="A1880" s="13" t="s">
        <v>836</v>
      </c>
      <c r="B1880" s="13"/>
      <c r="C1880" s="13" t="s">
        <v>835</v>
      </c>
      <c r="D1880" s="13" t="s">
        <v>1950</v>
      </c>
      <c r="E1880" s="13" t="s">
        <v>3297</v>
      </c>
      <c r="F1880" s="13"/>
      <c r="G1880" s="13" t="s">
        <v>836</v>
      </c>
      <c r="H1880" s="13"/>
      <c r="I1880" s="13" t="s">
        <v>1997</v>
      </c>
      <c r="J1880" s="13" t="s">
        <v>3296</v>
      </c>
      <c r="K1880" s="13" t="s">
        <v>1952</v>
      </c>
      <c r="L1880" s="13"/>
      <c r="M1880" s="14"/>
      <c r="N1880" s="13"/>
      <c r="O1880" s="13" t="s">
        <v>1945</v>
      </c>
    </row>
    <row r="1881" spans="1:15" ht="19.5" customHeight="1" x14ac:dyDescent="0.25">
      <c r="A1881" s="11" t="s">
        <v>1851</v>
      </c>
      <c r="B1881" s="11"/>
      <c r="C1881" s="11" t="s">
        <v>1850</v>
      </c>
      <c r="D1881" s="11" t="s">
        <v>1883</v>
      </c>
      <c r="E1881" s="11" t="s">
        <v>3295</v>
      </c>
      <c r="F1881" s="11"/>
      <c r="G1881" s="11" t="s">
        <v>1851</v>
      </c>
      <c r="H1881" s="11"/>
      <c r="I1881" s="11" t="s">
        <v>3294</v>
      </c>
      <c r="J1881" s="11" t="s">
        <v>3293</v>
      </c>
      <c r="K1881" s="11" t="s">
        <v>3292</v>
      </c>
      <c r="L1881" s="11"/>
      <c r="M1881" s="12"/>
      <c r="N1881" s="11"/>
      <c r="O1881" s="11" t="s">
        <v>1877</v>
      </c>
    </row>
    <row r="1882" spans="1:15" ht="19.5" customHeight="1" x14ac:dyDescent="0.25">
      <c r="A1882" s="13" t="s">
        <v>838</v>
      </c>
      <c r="B1882" s="13"/>
      <c r="C1882" s="13" t="s">
        <v>3291</v>
      </c>
      <c r="D1882" s="13" t="s">
        <v>1883</v>
      </c>
      <c r="E1882" s="13" t="s">
        <v>3282</v>
      </c>
      <c r="F1882" s="13"/>
      <c r="G1882" s="13" t="s">
        <v>838</v>
      </c>
      <c r="H1882" s="13"/>
      <c r="I1882" s="13" t="s">
        <v>3288</v>
      </c>
      <c r="J1882" s="13" t="s">
        <v>3287</v>
      </c>
      <c r="K1882" s="13" t="s">
        <v>2093</v>
      </c>
      <c r="L1882" s="13"/>
      <c r="M1882" s="14"/>
      <c r="N1882" s="13"/>
      <c r="O1882" s="13" t="s">
        <v>1877</v>
      </c>
    </row>
    <row r="1883" spans="1:15" ht="19.5" customHeight="1" x14ac:dyDescent="0.25">
      <c r="A1883" s="11" t="s">
        <v>838</v>
      </c>
      <c r="B1883" s="11"/>
      <c r="C1883" s="11" t="s">
        <v>3290</v>
      </c>
      <c r="D1883" s="11" t="s">
        <v>1883</v>
      </c>
      <c r="E1883" s="11" t="s">
        <v>3282</v>
      </c>
      <c r="F1883" s="11"/>
      <c r="G1883" s="11" t="s">
        <v>838</v>
      </c>
      <c r="H1883" s="11"/>
      <c r="I1883" s="11" t="s">
        <v>3288</v>
      </c>
      <c r="J1883" s="11" t="s">
        <v>3287</v>
      </c>
      <c r="K1883" s="11" t="s">
        <v>2093</v>
      </c>
      <c r="L1883" s="11"/>
      <c r="M1883" s="12"/>
      <c r="N1883" s="11"/>
      <c r="O1883" s="11" t="s">
        <v>1877</v>
      </c>
    </row>
    <row r="1884" spans="1:15" ht="19.5" customHeight="1" x14ac:dyDescent="0.25">
      <c r="A1884" s="13" t="s">
        <v>838</v>
      </c>
      <c r="B1884" s="13"/>
      <c r="C1884" s="13" t="s">
        <v>3289</v>
      </c>
      <c r="D1884" s="13" t="s">
        <v>1883</v>
      </c>
      <c r="E1884" s="13" t="s">
        <v>3282</v>
      </c>
      <c r="F1884" s="13"/>
      <c r="G1884" s="13" t="s">
        <v>838</v>
      </c>
      <c r="H1884" s="13"/>
      <c r="I1884" s="13" t="s">
        <v>3288</v>
      </c>
      <c r="J1884" s="13" t="s">
        <v>3287</v>
      </c>
      <c r="K1884" s="13" t="s">
        <v>2093</v>
      </c>
      <c r="L1884" s="13"/>
      <c r="M1884" s="14"/>
      <c r="N1884" s="13"/>
      <c r="O1884" s="13" t="s">
        <v>1877</v>
      </c>
    </row>
    <row r="1885" spans="1:15" ht="19.5" customHeight="1" x14ac:dyDescent="0.25">
      <c r="A1885" s="11" t="s">
        <v>840</v>
      </c>
      <c r="B1885" s="11"/>
      <c r="C1885" s="11" t="s">
        <v>3286</v>
      </c>
      <c r="D1885" s="11" t="s">
        <v>1883</v>
      </c>
      <c r="E1885" s="11" t="s">
        <v>3282</v>
      </c>
      <c r="F1885" s="11"/>
      <c r="G1885" s="11" t="s">
        <v>840</v>
      </c>
      <c r="H1885" s="11"/>
      <c r="I1885" s="11" t="s">
        <v>3281</v>
      </c>
      <c r="J1885" s="11" t="s">
        <v>3280</v>
      </c>
      <c r="K1885" s="11" t="s">
        <v>3279</v>
      </c>
      <c r="L1885" s="11"/>
      <c r="M1885" s="12"/>
      <c r="N1885" s="11"/>
      <c r="O1885" s="11" t="s">
        <v>1877</v>
      </c>
    </row>
    <row r="1886" spans="1:15" ht="19.5" customHeight="1" x14ac:dyDescent="0.25">
      <c r="A1886" s="13" t="s">
        <v>840</v>
      </c>
      <c r="B1886" s="13"/>
      <c r="C1886" s="13" t="s">
        <v>3285</v>
      </c>
      <c r="D1886" s="13" t="s">
        <v>1883</v>
      </c>
      <c r="E1886" s="13" t="s">
        <v>3282</v>
      </c>
      <c r="F1886" s="13"/>
      <c r="G1886" s="13" t="s">
        <v>840</v>
      </c>
      <c r="H1886" s="13"/>
      <c r="I1886" s="13" t="s">
        <v>3281</v>
      </c>
      <c r="J1886" s="13" t="s">
        <v>3280</v>
      </c>
      <c r="K1886" s="13" t="s">
        <v>3279</v>
      </c>
      <c r="L1886" s="13"/>
      <c r="M1886" s="14"/>
      <c r="N1886" s="13"/>
      <c r="O1886" s="13" t="s">
        <v>1877</v>
      </c>
    </row>
    <row r="1887" spans="1:15" ht="19.5" customHeight="1" x14ac:dyDescent="0.25">
      <c r="A1887" s="11" t="s">
        <v>840</v>
      </c>
      <c r="B1887" s="11"/>
      <c r="C1887" s="11" t="s">
        <v>3284</v>
      </c>
      <c r="D1887" s="11" t="s">
        <v>1883</v>
      </c>
      <c r="E1887" s="11" t="s">
        <v>3282</v>
      </c>
      <c r="F1887" s="11"/>
      <c r="G1887" s="11" t="s">
        <v>840</v>
      </c>
      <c r="H1887" s="11"/>
      <c r="I1887" s="11" t="s">
        <v>3281</v>
      </c>
      <c r="J1887" s="11" t="s">
        <v>3280</v>
      </c>
      <c r="K1887" s="11" t="s">
        <v>3279</v>
      </c>
      <c r="L1887" s="11"/>
      <c r="M1887" s="12"/>
      <c r="N1887" s="11"/>
      <c r="O1887" s="11" t="s">
        <v>1877</v>
      </c>
    </row>
    <row r="1888" spans="1:15" ht="19.5" customHeight="1" x14ac:dyDescent="0.25">
      <c r="A1888" s="13" t="s">
        <v>840</v>
      </c>
      <c r="B1888" s="13"/>
      <c r="C1888" s="13" t="s">
        <v>3283</v>
      </c>
      <c r="D1888" s="13" t="s">
        <v>1883</v>
      </c>
      <c r="E1888" s="13" t="s">
        <v>3282</v>
      </c>
      <c r="F1888" s="13"/>
      <c r="G1888" s="13" t="s">
        <v>840</v>
      </c>
      <c r="H1888" s="13"/>
      <c r="I1888" s="13" t="s">
        <v>3281</v>
      </c>
      <c r="J1888" s="13" t="s">
        <v>3280</v>
      </c>
      <c r="K1888" s="13" t="s">
        <v>3279</v>
      </c>
      <c r="L1888" s="13"/>
      <c r="M1888" s="14"/>
      <c r="N1888" s="13"/>
      <c r="O1888" s="13" t="s">
        <v>1916</v>
      </c>
    </row>
    <row r="1889" spans="1:15" ht="19.5" customHeight="1" x14ac:dyDescent="0.25">
      <c r="A1889" s="11" t="s">
        <v>8850</v>
      </c>
      <c r="B1889" s="11"/>
      <c r="C1889" s="11" t="s">
        <v>8849</v>
      </c>
      <c r="D1889" s="11" t="s">
        <v>1883</v>
      </c>
      <c r="E1889" s="11" t="s">
        <v>8863</v>
      </c>
      <c r="F1889" s="11"/>
      <c r="G1889" s="11" t="s">
        <v>8850</v>
      </c>
      <c r="H1889" s="11"/>
      <c r="I1889" s="11" t="s">
        <v>8864</v>
      </c>
      <c r="J1889" s="11" t="s">
        <v>8865</v>
      </c>
      <c r="K1889" s="11" t="s">
        <v>8866</v>
      </c>
      <c r="L1889" s="11"/>
      <c r="M1889" s="12"/>
      <c r="N1889" s="11"/>
      <c r="O1889" s="11" t="s">
        <v>1877</v>
      </c>
    </row>
    <row r="1890" spans="1:15" ht="19.5" customHeight="1" x14ac:dyDescent="0.25">
      <c r="A1890" s="13" t="s">
        <v>842</v>
      </c>
      <c r="B1890" s="13"/>
      <c r="C1890" s="13" t="s">
        <v>841</v>
      </c>
      <c r="D1890" s="13" t="s">
        <v>1950</v>
      </c>
      <c r="E1890" s="13"/>
      <c r="F1890" s="13"/>
      <c r="G1890" s="13" t="s">
        <v>842</v>
      </c>
      <c r="H1890" s="13"/>
      <c r="I1890" s="13" t="s">
        <v>1997</v>
      </c>
      <c r="J1890" s="13" t="s">
        <v>3278</v>
      </c>
      <c r="K1890" s="13" t="s">
        <v>1952</v>
      </c>
      <c r="L1890" s="13"/>
      <c r="M1890" s="14"/>
      <c r="N1890" s="13"/>
      <c r="O1890" s="13" t="s">
        <v>1945</v>
      </c>
    </row>
    <row r="1891" spans="1:15" ht="19.5" customHeight="1" x14ac:dyDescent="0.25">
      <c r="A1891" s="11" t="s">
        <v>844</v>
      </c>
      <c r="B1891" s="11"/>
      <c r="C1891" s="11" t="s">
        <v>3277</v>
      </c>
      <c r="D1891" s="11" t="s">
        <v>1883</v>
      </c>
      <c r="E1891" s="11" t="s">
        <v>3274</v>
      </c>
      <c r="F1891" s="11"/>
      <c r="G1891" s="11" t="s">
        <v>844</v>
      </c>
      <c r="H1891" s="11" t="s">
        <v>3273</v>
      </c>
      <c r="I1891" s="11" t="s">
        <v>3272</v>
      </c>
      <c r="J1891" s="11" t="s">
        <v>3271</v>
      </c>
      <c r="K1891" s="11" t="s">
        <v>3021</v>
      </c>
      <c r="L1891" s="11"/>
      <c r="M1891" s="12"/>
      <c r="N1891" s="11"/>
      <c r="O1891" s="11" t="s">
        <v>1877</v>
      </c>
    </row>
    <row r="1892" spans="1:15" ht="19.5" customHeight="1" x14ac:dyDescent="0.25">
      <c r="A1892" s="13" t="s">
        <v>844</v>
      </c>
      <c r="B1892" s="13"/>
      <c r="C1892" s="13" t="s">
        <v>3276</v>
      </c>
      <c r="D1892" s="13" t="s">
        <v>1883</v>
      </c>
      <c r="E1892" s="13" t="s">
        <v>3274</v>
      </c>
      <c r="F1892" s="13"/>
      <c r="G1892" s="13" t="s">
        <v>844</v>
      </c>
      <c r="H1892" s="13" t="s">
        <v>3273</v>
      </c>
      <c r="I1892" s="13" t="s">
        <v>3272</v>
      </c>
      <c r="J1892" s="13" t="s">
        <v>3271</v>
      </c>
      <c r="K1892" s="13" t="s">
        <v>3021</v>
      </c>
      <c r="L1892" s="13"/>
      <c r="M1892" s="14"/>
      <c r="N1892" s="13"/>
      <c r="O1892" s="13" t="s">
        <v>1877</v>
      </c>
    </row>
    <row r="1893" spans="1:15" ht="19.5" customHeight="1" x14ac:dyDescent="0.25">
      <c r="A1893" s="11" t="s">
        <v>844</v>
      </c>
      <c r="B1893" s="11"/>
      <c r="C1893" s="11" t="s">
        <v>3275</v>
      </c>
      <c r="D1893" s="11" t="s">
        <v>1883</v>
      </c>
      <c r="E1893" s="11" t="s">
        <v>3274</v>
      </c>
      <c r="F1893" s="11"/>
      <c r="G1893" s="11" t="s">
        <v>844</v>
      </c>
      <c r="H1893" s="11" t="s">
        <v>3273</v>
      </c>
      <c r="I1893" s="11" t="s">
        <v>3272</v>
      </c>
      <c r="J1893" s="11" t="s">
        <v>3271</v>
      </c>
      <c r="K1893" s="11" t="s">
        <v>3021</v>
      </c>
      <c r="L1893" s="11"/>
      <c r="M1893" s="12"/>
      <c r="N1893" s="11"/>
      <c r="O1893" s="11" t="s">
        <v>1877</v>
      </c>
    </row>
    <row r="1894" spans="1:15" ht="19.5" customHeight="1" x14ac:dyDescent="0.25">
      <c r="A1894" s="13" t="s">
        <v>846</v>
      </c>
      <c r="B1894" s="13"/>
      <c r="C1894" s="13" t="s">
        <v>3270</v>
      </c>
      <c r="D1894" s="13" t="s">
        <v>1883</v>
      </c>
      <c r="E1894" s="13" t="s">
        <v>3266</v>
      </c>
      <c r="F1894" s="13"/>
      <c r="G1894" s="13" t="s">
        <v>846</v>
      </c>
      <c r="H1894" s="13"/>
      <c r="I1894" s="13" t="s">
        <v>3264</v>
      </c>
      <c r="J1894" s="13" t="s">
        <v>3263</v>
      </c>
      <c r="K1894" s="13" t="s">
        <v>2953</v>
      </c>
      <c r="L1894" s="13"/>
      <c r="M1894" s="14"/>
      <c r="N1894" s="13"/>
      <c r="O1894" s="13" t="s">
        <v>1916</v>
      </c>
    </row>
    <row r="1895" spans="1:15" ht="19.5" customHeight="1" x14ac:dyDescent="0.25">
      <c r="A1895" s="11" t="s">
        <v>846</v>
      </c>
      <c r="B1895" s="11"/>
      <c r="C1895" s="11" t="s">
        <v>3269</v>
      </c>
      <c r="D1895" s="11" t="s">
        <v>1883</v>
      </c>
      <c r="E1895" s="11" t="s">
        <v>3266</v>
      </c>
      <c r="F1895" s="11"/>
      <c r="G1895" s="11" t="s">
        <v>846</v>
      </c>
      <c r="H1895" s="11" t="s">
        <v>3265</v>
      </c>
      <c r="I1895" s="11" t="s">
        <v>3264</v>
      </c>
      <c r="J1895" s="11" t="s">
        <v>3263</v>
      </c>
      <c r="K1895" s="11" t="s">
        <v>2953</v>
      </c>
      <c r="L1895" s="11"/>
      <c r="M1895" s="12"/>
      <c r="N1895" s="11"/>
      <c r="O1895" s="11" t="s">
        <v>1877</v>
      </c>
    </row>
    <row r="1896" spans="1:15" ht="19.5" customHeight="1" x14ac:dyDescent="0.25">
      <c r="A1896" s="13" t="s">
        <v>846</v>
      </c>
      <c r="B1896" s="13"/>
      <c r="C1896" s="13" t="s">
        <v>3268</v>
      </c>
      <c r="D1896" s="13" t="s">
        <v>1883</v>
      </c>
      <c r="E1896" s="13" t="s">
        <v>3266</v>
      </c>
      <c r="F1896" s="13"/>
      <c r="G1896" s="13" t="s">
        <v>846</v>
      </c>
      <c r="H1896" s="13" t="s">
        <v>3265</v>
      </c>
      <c r="I1896" s="13" t="s">
        <v>3264</v>
      </c>
      <c r="J1896" s="13" t="s">
        <v>3263</v>
      </c>
      <c r="K1896" s="13" t="s">
        <v>2953</v>
      </c>
      <c r="L1896" s="13"/>
      <c r="M1896" s="14"/>
      <c r="N1896" s="13"/>
      <c r="O1896" s="13" t="s">
        <v>1877</v>
      </c>
    </row>
    <row r="1897" spans="1:15" ht="19.5" customHeight="1" x14ac:dyDescent="0.25">
      <c r="A1897" s="11" t="s">
        <v>846</v>
      </c>
      <c r="B1897" s="11"/>
      <c r="C1897" s="11" t="s">
        <v>3267</v>
      </c>
      <c r="D1897" s="11" t="s">
        <v>1883</v>
      </c>
      <c r="E1897" s="11" t="s">
        <v>3266</v>
      </c>
      <c r="F1897" s="11"/>
      <c r="G1897" s="11" t="s">
        <v>846</v>
      </c>
      <c r="H1897" s="11" t="s">
        <v>3265</v>
      </c>
      <c r="I1897" s="11" t="s">
        <v>3264</v>
      </c>
      <c r="J1897" s="11" t="s">
        <v>3263</v>
      </c>
      <c r="K1897" s="11" t="s">
        <v>2953</v>
      </c>
      <c r="L1897" s="11"/>
      <c r="M1897" s="12"/>
      <c r="N1897" s="11"/>
      <c r="O1897" s="11" t="s">
        <v>1877</v>
      </c>
    </row>
    <row r="1898" spans="1:15" ht="19.5" customHeight="1" x14ac:dyDescent="0.25">
      <c r="A1898" s="13" t="s">
        <v>3259</v>
      </c>
      <c r="B1898" s="13"/>
      <c r="C1898" s="13" t="s">
        <v>3262</v>
      </c>
      <c r="D1898" s="13" t="s">
        <v>1883</v>
      </c>
      <c r="E1898" s="13"/>
      <c r="F1898" s="13"/>
      <c r="G1898" s="13" t="s">
        <v>3259</v>
      </c>
      <c r="H1898" s="13"/>
      <c r="I1898" s="13"/>
      <c r="J1898" s="13"/>
      <c r="K1898" s="13"/>
      <c r="L1898" s="13"/>
      <c r="M1898" s="14"/>
      <c r="N1898" s="13"/>
      <c r="O1898" s="13"/>
    </row>
    <row r="1899" spans="1:15" ht="19.5" customHeight="1" x14ac:dyDescent="0.25">
      <c r="A1899" s="11" t="s">
        <v>3259</v>
      </c>
      <c r="B1899" s="11"/>
      <c r="C1899" s="11" t="s">
        <v>3261</v>
      </c>
      <c r="D1899" s="11" t="s">
        <v>1883</v>
      </c>
      <c r="E1899" s="11"/>
      <c r="F1899" s="11"/>
      <c r="G1899" s="11" t="s">
        <v>3259</v>
      </c>
      <c r="H1899" s="11"/>
      <c r="I1899" s="11"/>
      <c r="J1899" s="11"/>
      <c r="K1899" s="11"/>
      <c r="L1899" s="11"/>
      <c r="M1899" s="12"/>
      <c r="N1899" s="11"/>
      <c r="O1899" s="11"/>
    </row>
    <row r="1900" spans="1:15" ht="19.5" customHeight="1" x14ac:dyDescent="0.25">
      <c r="A1900" s="13" t="s">
        <v>3259</v>
      </c>
      <c r="B1900" s="13"/>
      <c r="C1900" s="13" t="s">
        <v>3260</v>
      </c>
      <c r="D1900" s="13" t="s">
        <v>1883</v>
      </c>
      <c r="E1900" s="13"/>
      <c r="F1900" s="13"/>
      <c r="G1900" s="13" t="s">
        <v>3259</v>
      </c>
      <c r="H1900" s="13"/>
      <c r="I1900" s="13"/>
      <c r="J1900" s="13"/>
      <c r="K1900" s="13"/>
      <c r="L1900" s="13"/>
      <c r="M1900" s="14"/>
      <c r="N1900" s="13"/>
      <c r="O1900" s="13"/>
    </row>
    <row r="1901" spans="1:15" ht="19.5" customHeight="1" x14ac:dyDescent="0.25">
      <c r="A1901" s="11" t="s">
        <v>848</v>
      </c>
      <c r="B1901" s="11"/>
      <c r="C1901" s="11" t="s">
        <v>3258</v>
      </c>
      <c r="D1901" s="11" t="s">
        <v>1883</v>
      </c>
      <c r="E1901" s="11" t="s">
        <v>3257</v>
      </c>
      <c r="F1901" s="11"/>
      <c r="G1901" s="11" t="s">
        <v>848</v>
      </c>
      <c r="H1901" s="11"/>
      <c r="I1901" s="11" t="s">
        <v>3256</v>
      </c>
      <c r="J1901" s="11" t="s">
        <v>3255</v>
      </c>
      <c r="K1901" s="11" t="s">
        <v>3254</v>
      </c>
      <c r="L1901" s="11"/>
      <c r="M1901" s="12"/>
      <c r="N1901" s="11"/>
      <c r="O1901" s="11" t="s">
        <v>1877</v>
      </c>
    </row>
    <row r="1902" spans="1:15" ht="19.5" customHeight="1" x14ac:dyDescent="0.25">
      <c r="A1902" s="13" t="s">
        <v>850</v>
      </c>
      <c r="B1902" s="13"/>
      <c r="C1902" s="13" t="s">
        <v>3253</v>
      </c>
      <c r="D1902" s="13" t="s">
        <v>1883</v>
      </c>
      <c r="E1902" s="13" t="s">
        <v>3250</v>
      </c>
      <c r="F1902" s="13"/>
      <c r="G1902" s="13" t="s">
        <v>850</v>
      </c>
      <c r="H1902" s="13" t="s">
        <v>3249</v>
      </c>
      <c r="I1902" s="13" t="s">
        <v>2986</v>
      </c>
      <c r="J1902" s="13" t="s">
        <v>3248</v>
      </c>
      <c r="K1902" s="13" t="s">
        <v>2093</v>
      </c>
      <c r="L1902" s="13"/>
      <c r="M1902" s="14"/>
      <c r="N1902" s="13"/>
      <c r="O1902" s="13" t="s">
        <v>1877</v>
      </c>
    </row>
    <row r="1903" spans="1:15" ht="19.5" customHeight="1" x14ac:dyDescent="0.25">
      <c r="A1903" s="11" t="s">
        <v>850</v>
      </c>
      <c r="B1903" s="11"/>
      <c r="C1903" s="11" t="s">
        <v>3252</v>
      </c>
      <c r="D1903" s="11" t="s">
        <v>1883</v>
      </c>
      <c r="E1903" s="11" t="s">
        <v>3250</v>
      </c>
      <c r="F1903" s="11"/>
      <c r="G1903" s="11" t="s">
        <v>850</v>
      </c>
      <c r="H1903" s="11" t="s">
        <v>3249</v>
      </c>
      <c r="I1903" s="11" t="s">
        <v>2986</v>
      </c>
      <c r="J1903" s="11" t="s">
        <v>3248</v>
      </c>
      <c r="K1903" s="11" t="s">
        <v>2093</v>
      </c>
      <c r="L1903" s="11"/>
      <c r="M1903" s="12"/>
      <c r="N1903" s="11"/>
      <c r="O1903" s="11" t="s">
        <v>1877</v>
      </c>
    </row>
    <row r="1904" spans="1:15" ht="19.5" customHeight="1" x14ac:dyDescent="0.25">
      <c r="A1904" s="13" t="s">
        <v>850</v>
      </c>
      <c r="B1904" s="13"/>
      <c r="C1904" s="13" t="s">
        <v>3251</v>
      </c>
      <c r="D1904" s="13" t="s">
        <v>1883</v>
      </c>
      <c r="E1904" s="13" t="s">
        <v>3250</v>
      </c>
      <c r="F1904" s="13"/>
      <c r="G1904" s="13" t="s">
        <v>850</v>
      </c>
      <c r="H1904" s="13" t="s">
        <v>3249</v>
      </c>
      <c r="I1904" s="13" t="s">
        <v>2986</v>
      </c>
      <c r="J1904" s="13" t="s">
        <v>3248</v>
      </c>
      <c r="K1904" s="13" t="s">
        <v>2093</v>
      </c>
      <c r="L1904" s="13"/>
      <c r="M1904" s="14"/>
      <c r="N1904" s="13"/>
      <c r="O1904" s="13" t="s">
        <v>1877</v>
      </c>
    </row>
    <row r="1905" spans="1:15" ht="19.5" customHeight="1" x14ac:dyDescent="0.25">
      <c r="A1905" s="11" t="s">
        <v>852</v>
      </c>
      <c r="B1905" s="11"/>
      <c r="C1905" s="11" t="s">
        <v>3247</v>
      </c>
      <c r="D1905" s="11" t="s">
        <v>1883</v>
      </c>
      <c r="E1905" s="11" t="s">
        <v>3244</v>
      </c>
      <c r="F1905" s="11"/>
      <c r="G1905" s="11" t="s">
        <v>852</v>
      </c>
      <c r="H1905" s="11"/>
      <c r="I1905" s="11" t="s">
        <v>3243</v>
      </c>
      <c r="J1905" s="11" t="s">
        <v>3242</v>
      </c>
      <c r="K1905" s="11" t="s">
        <v>3241</v>
      </c>
      <c r="L1905" s="11"/>
      <c r="M1905" s="12"/>
      <c r="N1905" s="11"/>
      <c r="O1905" s="11" t="s">
        <v>1877</v>
      </c>
    </row>
    <row r="1906" spans="1:15" ht="19.5" customHeight="1" x14ac:dyDescent="0.25">
      <c r="A1906" s="13" t="s">
        <v>852</v>
      </c>
      <c r="B1906" s="13"/>
      <c r="C1906" s="13" t="s">
        <v>3246</v>
      </c>
      <c r="D1906" s="13" t="s">
        <v>1883</v>
      </c>
      <c r="E1906" s="13" t="s">
        <v>3244</v>
      </c>
      <c r="F1906" s="13"/>
      <c r="G1906" s="13" t="s">
        <v>852</v>
      </c>
      <c r="H1906" s="13"/>
      <c r="I1906" s="13" t="s">
        <v>3243</v>
      </c>
      <c r="J1906" s="13" t="s">
        <v>3242</v>
      </c>
      <c r="K1906" s="13" t="s">
        <v>3241</v>
      </c>
      <c r="L1906" s="13"/>
      <c r="M1906" s="14"/>
      <c r="N1906" s="13"/>
      <c r="O1906" s="13" t="s">
        <v>1877</v>
      </c>
    </row>
    <row r="1907" spans="1:15" ht="19.5" customHeight="1" x14ac:dyDescent="0.25">
      <c r="A1907" s="11" t="s">
        <v>852</v>
      </c>
      <c r="B1907" s="11"/>
      <c r="C1907" s="11" t="s">
        <v>3245</v>
      </c>
      <c r="D1907" s="11" t="s">
        <v>1883</v>
      </c>
      <c r="E1907" s="11" t="s">
        <v>3244</v>
      </c>
      <c r="F1907" s="11"/>
      <c r="G1907" s="11" t="s">
        <v>852</v>
      </c>
      <c r="H1907" s="11"/>
      <c r="I1907" s="11" t="s">
        <v>3243</v>
      </c>
      <c r="J1907" s="11" t="s">
        <v>3242</v>
      </c>
      <c r="K1907" s="11" t="s">
        <v>3241</v>
      </c>
      <c r="L1907" s="11"/>
      <c r="M1907" s="12"/>
      <c r="N1907" s="11"/>
      <c r="O1907" s="11" t="s">
        <v>1877</v>
      </c>
    </row>
    <row r="1908" spans="1:15" ht="19.5" customHeight="1" x14ac:dyDescent="0.25">
      <c r="A1908" s="13" t="s">
        <v>1486</v>
      </c>
      <c r="B1908" s="13"/>
      <c r="C1908" s="13" t="s">
        <v>3240</v>
      </c>
      <c r="D1908" s="13" t="s">
        <v>1950</v>
      </c>
      <c r="E1908" s="13" t="s">
        <v>2806</v>
      </c>
      <c r="F1908" s="13"/>
      <c r="G1908" s="13" t="s">
        <v>1486</v>
      </c>
      <c r="H1908" s="13"/>
      <c r="I1908" s="13"/>
      <c r="J1908" s="13"/>
      <c r="K1908" s="13"/>
      <c r="L1908" s="13"/>
      <c r="M1908" s="14"/>
      <c r="N1908" s="13"/>
      <c r="O1908" s="13" t="s">
        <v>2805</v>
      </c>
    </row>
    <row r="1909" spans="1:15" ht="19.5" customHeight="1" x14ac:dyDescent="0.25">
      <c r="A1909" s="11" t="s">
        <v>1486</v>
      </c>
      <c r="B1909" s="11"/>
      <c r="C1909" s="11" t="s">
        <v>1485</v>
      </c>
      <c r="D1909" s="11" t="s">
        <v>1950</v>
      </c>
      <c r="E1909" s="11" t="s">
        <v>2806</v>
      </c>
      <c r="F1909" s="11"/>
      <c r="G1909" s="11" t="s">
        <v>1486</v>
      </c>
      <c r="H1909" s="11"/>
      <c r="I1909" s="11"/>
      <c r="J1909" s="11"/>
      <c r="K1909" s="11"/>
      <c r="L1909" s="11"/>
      <c r="M1909" s="12"/>
      <c r="N1909" s="11"/>
      <c r="O1909" s="11" t="s">
        <v>2808</v>
      </c>
    </row>
    <row r="1910" spans="1:15" ht="19.5" customHeight="1" x14ac:dyDescent="0.25">
      <c r="A1910" s="13" t="s">
        <v>1825</v>
      </c>
      <c r="B1910" s="13"/>
      <c r="C1910" s="13" t="s">
        <v>1824</v>
      </c>
      <c r="D1910" s="13" t="s">
        <v>1883</v>
      </c>
      <c r="E1910" s="13" t="s">
        <v>3239</v>
      </c>
      <c r="F1910" s="13"/>
      <c r="G1910" s="13" t="s">
        <v>1825</v>
      </c>
      <c r="H1910" s="13"/>
      <c r="I1910" s="13" t="s">
        <v>3238</v>
      </c>
      <c r="J1910" s="13" t="s">
        <v>3237</v>
      </c>
      <c r="K1910" s="13" t="s">
        <v>3236</v>
      </c>
      <c r="L1910" s="13"/>
      <c r="M1910" s="14"/>
      <c r="N1910" s="13"/>
      <c r="O1910" s="13" t="s">
        <v>1877</v>
      </c>
    </row>
    <row r="1911" spans="1:15" ht="19.5" customHeight="1" x14ac:dyDescent="0.25">
      <c r="A1911" s="11" t="s">
        <v>854</v>
      </c>
      <c r="B1911" s="11"/>
      <c r="C1911" s="11" t="s">
        <v>3235</v>
      </c>
      <c r="D1911" s="11" t="s">
        <v>1883</v>
      </c>
      <c r="E1911" s="11" t="s">
        <v>3232</v>
      </c>
      <c r="F1911" s="11"/>
      <c r="G1911" s="11" t="s">
        <v>854</v>
      </c>
      <c r="H1911" s="11" t="s">
        <v>3231</v>
      </c>
      <c r="I1911" s="11" t="s">
        <v>3230</v>
      </c>
      <c r="J1911" s="11" t="s">
        <v>3229</v>
      </c>
      <c r="K1911" s="11" t="s">
        <v>3021</v>
      </c>
      <c r="L1911" s="11"/>
      <c r="M1911" s="12"/>
      <c r="N1911" s="11"/>
      <c r="O1911" s="11" t="s">
        <v>1877</v>
      </c>
    </row>
    <row r="1912" spans="1:15" ht="19.5" customHeight="1" x14ac:dyDescent="0.25">
      <c r="A1912" s="13" t="s">
        <v>854</v>
      </c>
      <c r="B1912" s="13"/>
      <c r="C1912" s="13" t="s">
        <v>3234</v>
      </c>
      <c r="D1912" s="13" t="s">
        <v>1883</v>
      </c>
      <c r="E1912" s="13" t="s">
        <v>3232</v>
      </c>
      <c r="F1912" s="13"/>
      <c r="G1912" s="13" t="s">
        <v>854</v>
      </c>
      <c r="H1912" s="13" t="s">
        <v>3231</v>
      </c>
      <c r="I1912" s="13" t="s">
        <v>3230</v>
      </c>
      <c r="J1912" s="13" t="s">
        <v>3229</v>
      </c>
      <c r="K1912" s="13" t="s">
        <v>3021</v>
      </c>
      <c r="L1912" s="13"/>
      <c r="M1912" s="14"/>
      <c r="N1912" s="13"/>
      <c r="O1912" s="13" t="s">
        <v>1877</v>
      </c>
    </row>
    <row r="1913" spans="1:15" ht="19.5" customHeight="1" x14ac:dyDescent="0.25">
      <c r="A1913" s="11" t="s">
        <v>854</v>
      </c>
      <c r="B1913" s="11"/>
      <c r="C1913" s="11" t="s">
        <v>3233</v>
      </c>
      <c r="D1913" s="11" t="s">
        <v>1883</v>
      </c>
      <c r="E1913" s="11" t="s">
        <v>3232</v>
      </c>
      <c r="F1913" s="11"/>
      <c r="G1913" s="11" t="s">
        <v>854</v>
      </c>
      <c r="H1913" s="11" t="s">
        <v>3231</v>
      </c>
      <c r="I1913" s="11" t="s">
        <v>3230</v>
      </c>
      <c r="J1913" s="11" t="s">
        <v>3229</v>
      </c>
      <c r="K1913" s="11" t="s">
        <v>3021</v>
      </c>
      <c r="L1913" s="11"/>
      <c r="M1913" s="12"/>
      <c r="N1913" s="11"/>
      <c r="O1913" s="11" t="s">
        <v>1877</v>
      </c>
    </row>
    <row r="1914" spans="1:15" ht="19.5" customHeight="1" x14ac:dyDescent="0.25">
      <c r="A1914" s="13" t="s">
        <v>3226</v>
      </c>
      <c r="B1914" s="13"/>
      <c r="C1914" s="13" t="s">
        <v>3228</v>
      </c>
      <c r="D1914" s="13" t="s">
        <v>1883</v>
      </c>
      <c r="E1914" s="13" t="s">
        <v>3227</v>
      </c>
      <c r="F1914" s="13"/>
      <c r="G1914" s="13" t="s">
        <v>3226</v>
      </c>
      <c r="H1914" s="13"/>
      <c r="I1914" s="13"/>
      <c r="J1914" s="13"/>
      <c r="K1914" s="13"/>
      <c r="L1914" s="13"/>
      <c r="M1914" s="14"/>
      <c r="N1914" s="13"/>
      <c r="O1914" s="13"/>
    </row>
    <row r="1915" spans="1:15" ht="19.5" customHeight="1" x14ac:dyDescent="0.25">
      <c r="A1915" s="11" t="s">
        <v>3223</v>
      </c>
      <c r="B1915" s="11"/>
      <c r="C1915" s="11" t="s">
        <v>3225</v>
      </c>
      <c r="D1915" s="11" t="s">
        <v>1950</v>
      </c>
      <c r="E1915" s="11" t="s">
        <v>3224</v>
      </c>
      <c r="F1915" s="11"/>
      <c r="G1915" s="11" t="s">
        <v>3223</v>
      </c>
      <c r="H1915" s="11"/>
      <c r="I1915" s="11" t="s">
        <v>3222</v>
      </c>
      <c r="J1915" s="11" t="s">
        <v>3221</v>
      </c>
      <c r="K1915" s="11" t="s">
        <v>1878</v>
      </c>
      <c r="L1915" s="11"/>
      <c r="M1915" s="12"/>
      <c r="N1915" s="11"/>
      <c r="O1915" s="11" t="s">
        <v>2808</v>
      </c>
    </row>
    <row r="1916" spans="1:15" ht="19.5" customHeight="1" x14ac:dyDescent="0.25">
      <c r="A1916" s="13" t="s">
        <v>856</v>
      </c>
      <c r="B1916" s="13"/>
      <c r="C1916" s="13" t="s">
        <v>3220</v>
      </c>
      <c r="D1916" s="13" t="s">
        <v>1883</v>
      </c>
      <c r="E1916" s="13"/>
      <c r="F1916" s="13"/>
      <c r="G1916" s="13" t="s">
        <v>856</v>
      </c>
      <c r="H1916" s="13"/>
      <c r="I1916" s="13"/>
      <c r="J1916" s="13"/>
      <c r="K1916" s="13"/>
      <c r="L1916" s="13"/>
      <c r="M1916" s="14"/>
      <c r="N1916" s="13"/>
      <c r="O1916" s="13" t="s">
        <v>2028</v>
      </c>
    </row>
    <row r="1917" spans="1:15" ht="19.5" customHeight="1" x14ac:dyDescent="0.25">
      <c r="A1917" s="11" t="s">
        <v>856</v>
      </c>
      <c r="B1917" s="11"/>
      <c r="C1917" s="11" t="s">
        <v>3219</v>
      </c>
      <c r="D1917" s="11" t="s">
        <v>1883</v>
      </c>
      <c r="E1917" s="11"/>
      <c r="F1917" s="11"/>
      <c r="G1917" s="11" t="s">
        <v>856</v>
      </c>
      <c r="H1917" s="11"/>
      <c r="I1917" s="11"/>
      <c r="J1917" s="11"/>
      <c r="K1917" s="11"/>
      <c r="L1917" s="11"/>
      <c r="M1917" s="12"/>
      <c r="N1917" s="11"/>
      <c r="O1917" s="11" t="s">
        <v>2028</v>
      </c>
    </row>
    <row r="1918" spans="1:15" ht="19.5" customHeight="1" x14ac:dyDescent="0.25">
      <c r="A1918" s="13" t="s">
        <v>856</v>
      </c>
      <c r="B1918" s="13"/>
      <c r="C1918" s="13" t="s">
        <v>3218</v>
      </c>
      <c r="D1918" s="13" t="s">
        <v>1883</v>
      </c>
      <c r="E1918" s="13"/>
      <c r="F1918" s="13"/>
      <c r="G1918" s="13" t="s">
        <v>856</v>
      </c>
      <c r="H1918" s="13"/>
      <c r="I1918" s="13"/>
      <c r="J1918" s="13"/>
      <c r="K1918" s="13"/>
      <c r="L1918" s="13"/>
      <c r="M1918" s="14"/>
      <c r="N1918" s="13"/>
      <c r="O1918" s="13" t="s">
        <v>2028</v>
      </c>
    </row>
    <row r="1919" spans="1:15" ht="19.5" customHeight="1" x14ac:dyDescent="0.25">
      <c r="A1919" s="11" t="s">
        <v>858</v>
      </c>
      <c r="B1919" s="11"/>
      <c r="C1919" s="11" t="s">
        <v>3217</v>
      </c>
      <c r="D1919" s="11" t="s">
        <v>1883</v>
      </c>
      <c r="E1919" s="11" t="s">
        <v>3214</v>
      </c>
      <c r="F1919" s="11"/>
      <c r="G1919" s="11" t="s">
        <v>858</v>
      </c>
      <c r="H1919" s="11" t="s">
        <v>3213</v>
      </c>
      <c r="I1919" s="11" t="s">
        <v>3212</v>
      </c>
      <c r="J1919" s="11" t="s">
        <v>3211</v>
      </c>
      <c r="K1919" s="11" t="s">
        <v>3210</v>
      </c>
      <c r="L1919" s="11"/>
      <c r="M1919" s="12"/>
      <c r="N1919" s="11"/>
      <c r="O1919" s="11" t="s">
        <v>1877</v>
      </c>
    </row>
    <row r="1920" spans="1:15" ht="19.5" customHeight="1" x14ac:dyDescent="0.25">
      <c r="A1920" s="13" t="s">
        <v>858</v>
      </c>
      <c r="B1920" s="13"/>
      <c r="C1920" s="13" t="s">
        <v>3216</v>
      </c>
      <c r="D1920" s="13" t="s">
        <v>1883</v>
      </c>
      <c r="E1920" s="13" t="s">
        <v>3214</v>
      </c>
      <c r="F1920" s="13"/>
      <c r="G1920" s="13" t="s">
        <v>858</v>
      </c>
      <c r="H1920" s="13" t="s">
        <v>3213</v>
      </c>
      <c r="I1920" s="13" t="s">
        <v>3212</v>
      </c>
      <c r="J1920" s="13" t="s">
        <v>3211</v>
      </c>
      <c r="K1920" s="13" t="s">
        <v>3210</v>
      </c>
      <c r="L1920" s="13"/>
      <c r="M1920" s="14"/>
      <c r="N1920" s="13"/>
      <c r="O1920" s="13" t="s">
        <v>1877</v>
      </c>
    </row>
    <row r="1921" spans="1:15" ht="19.5" customHeight="1" x14ac:dyDescent="0.25">
      <c r="A1921" s="11" t="s">
        <v>858</v>
      </c>
      <c r="B1921" s="11"/>
      <c r="C1921" s="11" t="s">
        <v>3215</v>
      </c>
      <c r="D1921" s="11" t="s">
        <v>1883</v>
      </c>
      <c r="E1921" s="11" t="s">
        <v>3214</v>
      </c>
      <c r="F1921" s="11"/>
      <c r="G1921" s="11" t="s">
        <v>858</v>
      </c>
      <c r="H1921" s="11" t="s">
        <v>3213</v>
      </c>
      <c r="I1921" s="11" t="s">
        <v>3212</v>
      </c>
      <c r="J1921" s="11" t="s">
        <v>3211</v>
      </c>
      <c r="K1921" s="11" t="s">
        <v>3210</v>
      </c>
      <c r="L1921" s="11"/>
      <c r="M1921" s="12"/>
      <c r="N1921" s="11"/>
      <c r="O1921" s="11" t="s">
        <v>1877</v>
      </c>
    </row>
    <row r="1922" spans="1:15" ht="19.5" customHeight="1" x14ac:dyDescent="0.25">
      <c r="A1922" s="13" t="s">
        <v>860</v>
      </c>
      <c r="B1922" s="13"/>
      <c r="C1922" s="13" t="s">
        <v>3209</v>
      </c>
      <c r="D1922" s="13" t="s">
        <v>1883</v>
      </c>
      <c r="E1922" s="13" t="s">
        <v>3208</v>
      </c>
      <c r="F1922" s="13"/>
      <c r="G1922" s="13" t="s">
        <v>860</v>
      </c>
      <c r="H1922" s="13"/>
      <c r="I1922" s="13" t="s">
        <v>3207</v>
      </c>
      <c r="J1922" s="13" t="s">
        <v>3206</v>
      </c>
      <c r="K1922" s="13" t="s">
        <v>3205</v>
      </c>
      <c r="L1922" s="13"/>
      <c r="M1922" s="14"/>
      <c r="N1922" s="13"/>
      <c r="O1922" s="13" t="s">
        <v>1877</v>
      </c>
    </row>
    <row r="1923" spans="1:15" ht="19.5" customHeight="1" x14ac:dyDescent="0.25">
      <c r="A1923" s="11" t="s">
        <v>3203</v>
      </c>
      <c r="B1923" s="11"/>
      <c r="C1923" s="11" t="s">
        <v>3204</v>
      </c>
      <c r="D1923" s="11" t="s">
        <v>1883</v>
      </c>
      <c r="E1923" s="11"/>
      <c r="F1923" s="11"/>
      <c r="G1923" s="11" t="s">
        <v>3203</v>
      </c>
      <c r="H1923" s="11"/>
      <c r="I1923" s="11"/>
      <c r="J1923" s="11"/>
      <c r="K1923" s="11"/>
      <c r="L1923" s="11"/>
      <c r="M1923" s="12"/>
      <c r="N1923" s="11"/>
      <c r="O1923" s="11"/>
    </row>
    <row r="1924" spans="1:15" ht="19.5" customHeight="1" x14ac:dyDescent="0.25">
      <c r="A1924" s="13" t="s">
        <v>3201</v>
      </c>
      <c r="B1924" s="13"/>
      <c r="C1924" s="13" t="s">
        <v>3202</v>
      </c>
      <c r="D1924" s="13" t="s">
        <v>1883</v>
      </c>
      <c r="E1924" s="13"/>
      <c r="F1924" s="13"/>
      <c r="G1924" s="13" t="s">
        <v>3201</v>
      </c>
      <c r="H1924" s="13"/>
      <c r="I1924" s="13"/>
      <c r="J1924" s="13"/>
      <c r="K1924" s="13"/>
      <c r="L1924" s="13"/>
      <c r="M1924" s="14"/>
      <c r="N1924" s="13"/>
      <c r="O1924" s="13"/>
    </row>
    <row r="1925" spans="1:15" ht="19.5" customHeight="1" x14ac:dyDescent="0.25">
      <c r="A1925" s="11" t="s">
        <v>3198</v>
      </c>
      <c r="B1925" s="11"/>
      <c r="C1925" s="11" t="s">
        <v>3200</v>
      </c>
      <c r="D1925" s="11" t="s">
        <v>1950</v>
      </c>
      <c r="E1925" s="11" t="s">
        <v>3199</v>
      </c>
      <c r="F1925" s="11"/>
      <c r="G1925" s="11" t="s">
        <v>3198</v>
      </c>
      <c r="H1925" s="11" t="s">
        <v>3197</v>
      </c>
      <c r="I1925" s="11" t="s">
        <v>3196</v>
      </c>
      <c r="J1925" s="11" t="s">
        <v>3195</v>
      </c>
      <c r="K1925" s="11" t="s">
        <v>1878</v>
      </c>
      <c r="L1925" s="11"/>
      <c r="M1925" s="12"/>
      <c r="N1925" s="11"/>
      <c r="O1925" s="11" t="s">
        <v>1945</v>
      </c>
    </row>
    <row r="1926" spans="1:15" ht="19.5" customHeight="1" x14ac:dyDescent="0.25">
      <c r="A1926" s="13" t="s">
        <v>1803</v>
      </c>
      <c r="B1926" s="13"/>
      <c r="C1926" s="13" t="s">
        <v>3194</v>
      </c>
      <c r="D1926" s="13" t="s">
        <v>1883</v>
      </c>
      <c r="E1926" s="13" t="s">
        <v>3193</v>
      </c>
      <c r="F1926" s="13"/>
      <c r="G1926" s="13" t="s">
        <v>1803</v>
      </c>
      <c r="H1926" s="13"/>
      <c r="I1926" s="13" t="s">
        <v>3192</v>
      </c>
      <c r="J1926" s="13" t="s">
        <v>3191</v>
      </c>
      <c r="K1926" s="13" t="s">
        <v>2721</v>
      </c>
      <c r="L1926" s="13"/>
      <c r="M1926" s="14"/>
      <c r="N1926" s="13"/>
      <c r="O1926" s="13" t="s">
        <v>1877</v>
      </c>
    </row>
    <row r="1927" spans="1:15" ht="19.5" customHeight="1" x14ac:dyDescent="0.25">
      <c r="A1927" s="11" t="s">
        <v>3181</v>
      </c>
      <c r="B1927" s="11"/>
      <c r="C1927" s="11" t="s">
        <v>3190</v>
      </c>
      <c r="D1927" s="11" t="s">
        <v>1883</v>
      </c>
      <c r="E1927" s="11"/>
      <c r="F1927" s="11"/>
      <c r="G1927" s="11" t="s">
        <v>3181</v>
      </c>
      <c r="H1927" s="11"/>
      <c r="I1927" s="11"/>
      <c r="J1927" s="11"/>
      <c r="K1927" s="11"/>
      <c r="L1927" s="11"/>
      <c r="M1927" s="12"/>
      <c r="N1927" s="11"/>
      <c r="O1927" s="11"/>
    </row>
    <row r="1928" spans="1:15" ht="19.5" customHeight="1" x14ac:dyDescent="0.25">
      <c r="A1928" s="13" t="s">
        <v>3181</v>
      </c>
      <c r="B1928" s="13"/>
      <c r="C1928" s="13" t="s">
        <v>3189</v>
      </c>
      <c r="D1928" s="13" t="s">
        <v>1883</v>
      </c>
      <c r="E1928" s="13"/>
      <c r="F1928" s="13"/>
      <c r="G1928" s="13" t="s">
        <v>3181</v>
      </c>
      <c r="H1928" s="13"/>
      <c r="I1928" s="13"/>
      <c r="J1928" s="13"/>
      <c r="K1928" s="13"/>
      <c r="L1928" s="13"/>
      <c r="M1928" s="14"/>
      <c r="N1928" s="13"/>
      <c r="O1928" s="13"/>
    </row>
    <row r="1929" spans="1:15" ht="19.5" customHeight="1" x14ac:dyDescent="0.25">
      <c r="A1929" s="11" t="s">
        <v>3181</v>
      </c>
      <c r="B1929" s="11"/>
      <c r="C1929" s="11" t="s">
        <v>3188</v>
      </c>
      <c r="D1929" s="11" t="s">
        <v>1883</v>
      </c>
      <c r="E1929" s="11"/>
      <c r="F1929" s="11"/>
      <c r="G1929" s="11" t="s">
        <v>3181</v>
      </c>
      <c r="H1929" s="11"/>
      <c r="I1929" s="11"/>
      <c r="J1929" s="11"/>
      <c r="K1929" s="11"/>
      <c r="L1929" s="11"/>
      <c r="M1929" s="12"/>
      <c r="N1929" s="11"/>
      <c r="O1929" s="11"/>
    </row>
    <row r="1930" spans="1:15" ht="19.5" customHeight="1" x14ac:dyDescent="0.25">
      <c r="A1930" s="13" t="s">
        <v>3181</v>
      </c>
      <c r="B1930" s="13"/>
      <c r="C1930" s="13" t="s">
        <v>3187</v>
      </c>
      <c r="D1930" s="13" t="s">
        <v>1883</v>
      </c>
      <c r="E1930" s="13"/>
      <c r="F1930" s="13"/>
      <c r="G1930" s="13" t="s">
        <v>3181</v>
      </c>
      <c r="H1930" s="13"/>
      <c r="I1930" s="13"/>
      <c r="J1930" s="13"/>
      <c r="K1930" s="13"/>
      <c r="L1930" s="13"/>
      <c r="M1930" s="14"/>
      <c r="N1930" s="13"/>
      <c r="O1930" s="13"/>
    </row>
    <row r="1931" spans="1:15" ht="19.5" customHeight="1" x14ac:dyDescent="0.25">
      <c r="A1931" s="11" t="s">
        <v>3181</v>
      </c>
      <c r="B1931" s="11"/>
      <c r="C1931" s="11" t="s">
        <v>3186</v>
      </c>
      <c r="D1931" s="11" t="s">
        <v>1883</v>
      </c>
      <c r="E1931" s="11"/>
      <c r="F1931" s="11"/>
      <c r="G1931" s="11" t="s">
        <v>3181</v>
      </c>
      <c r="H1931" s="11"/>
      <c r="I1931" s="11"/>
      <c r="J1931" s="11"/>
      <c r="K1931" s="11"/>
      <c r="L1931" s="11"/>
      <c r="M1931" s="12"/>
      <c r="N1931" s="11"/>
      <c r="O1931" s="11"/>
    </row>
    <row r="1932" spans="1:15" ht="19.5" customHeight="1" x14ac:dyDescent="0.25">
      <c r="A1932" s="13" t="s">
        <v>3181</v>
      </c>
      <c r="B1932" s="13"/>
      <c r="C1932" s="13" t="s">
        <v>3185</v>
      </c>
      <c r="D1932" s="13" t="s">
        <v>1883</v>
      </c>
      <c r="E1932" s="13"/>
      <c r="F1932" s="13"/>
      <c r="G1932" s="13" t="s">
        <v>3181</v>
      </c>
      <c r="H1932" s="13"/>
      <c r="I1932" s="13"/>
      <c r="J1932" s="13"/>
      <c r="K1932" s="13"/>
      <c r="L1932" s="13"/>
      <c r="M1932" s="14"/>
      <c r="N1932" s="13"/>
      <c r="O1932" s="13"/>
    </row>
    <row r="1933" spans="1:15" ht="19.5" customHeight="1" x14ac:dyDescent="0.25">
      <c r="A1933" s="11" t="s">
        <v>3181</v>
      </c>
      <c r="B1933" s="11"/>
      <c r="C1933" s="11" t="s">
        <v>3184</v>
      </c>
      <c r="D1933" s="11" t="s">
        <v>1883</v>
      </c>
      <c r="E1933" s="11"/>
      <c r="F1933" s="11"/>
      <c r="G1933" s="11" t="s">
        <v>3181</v>
      </c>
      <c r="H1933" s="11"/>
      <c r="I1933" s="11"/>
      <c r="J1933" s="11"/>
      <c r="K1933" s="11"/>
      <c r="L1933" s="11"/>
      <c r="M1933" s="12"/>
      <c r="N1933" s="11"/>
      <c r="O1933" s="11"/>
    </row>
    <row r="1934" spans="1:15" ht="19.5" customHeight="1" x14ac:dyDescent="0.25">
      <c r="A1934" s="13" t="s">
        <v>3181</v>
      </c>
      <c r="B1934" s="13"/>
      <c r="C1934" s="13" t="s">
        <v>3183</v>
      </c>
      <c r="D1934" s="13" t="s">
        <v>1883</v>
      </c>
      <c r="E1934" s="13"/>
      <c r="F1934" s="13"/>
      <c r="G1934" s="13" t="s">
        <v>3181</v>
      </c>
      <c r="H1934" s="13"/>
      <c r="I1934" s="13"/>
      <c r="J1934" s="13"/>
      <c r="K1934" s="13"/>
      <c r="L1934" s="13"/>
      <c r="M1934" s="14"/>
      <c r="N1934" s="13"/>
      <c r="O1934" s="13"/>
    </row>
    <row r="1935" spans="1:15" ht="19.5" customHeight="1" x14ac:dyDescent="0.25">
      <c r="A1935" s="11" t="s">
        <v>3181</v>
      </c>
      <c r="B1935" s="11"/>
      <c r="C1935" s="11" t="s">
        <v>3182</v>
      </c>
      <c r="D1935" s="11" t="s">
        <v>1883</v>
      </c>
      <c r="E1935" s="11"/>
      <c r="F1935" s="11"/>
      <c r="G1935" s="11" t="s">
        <v>3181</v>
      </c>
      <c r="H1935" s="11"/>
      <c r="I1935" s="11"/>
      <c r="J1935" s="11"/>
      <c r="K1935" s="11"/>
      <c r="L1935" s="11"/>
      <c r="M1935" s="12"/>
      <c r="N1935" s="11"/>
      <c r="O1935" s="11"/>
    </row>
    <row r="1936" spans="1:15" ht="19.5" customHeight="1" x14ac:dyDescent="0.25">
      <c r="A1936" s="13" t="s">
        <v>3179</v>
      </c>
      <c r="B1936" s="13"/>
      <c r="C1936" s="13" t="s">
        <v>3180</v>
      </c>
      <c r="D1936" s="13" t="s">
        <v>1883</v>
      </c>
      <c r="E1936" s="13"/>
      <c r="F1936" s="13"/>
      <c r="G1936" s="13" t="s">
        <v>3179</v>
      </c>
      <c r="H1936" s="13"/>
      <c r="I1936" s="13"/>
      <c r="J1936" s="13"/>
      <c r="K1936" s="13"/>
      <c r="L1936" s="13"/>
      <c r="M1936" s="14"/>
      <c r="N1936" s="13"/>
      <c r="O1936" s="13"/>
    </row>
    <row r="1937" spans="1:15" ht="19.5" customHeight="1" x14ac:dyDescent="0.25">
      <c r="A1937" s="11" t="s">
        <v>1568</v>
      </c>
      <c r="B1937" s="11"/>
      <c r="C1937" s="11" t="s">
        <v>3178</v>
      </c>
      <c r="D1937" s="11" t="s">
        <v>1883</v>
      </c>
      <c r="E1937" s="11" t="s">
        <v>8938</v>
      </c>
      <c r="F1937" s="11"/>
      <c r="G1937" s="11" t="s">
        <v>3176</v>
      </c>
      <c r="H1937" s="11"/>
      <c r="I1937" s="11" t="s">
        <v>3175</v>
      </c>
      <c r="J1937" s="11" t="s">
        <v>3174</v>
      </c>
      <c r="K1937" s="11" t="s">
        <v>3173</v>
      </c>
      <c r="L1937" s="11"/>
      <c r="M1937" s="12"/>
      <c r="N1937" s="11"/>
      <c r="O1937" s="11" t="s">
        <v>1877</v>
      </c>
    </row>
    <row r="1938" spans="1:15" ht="19.5" customHeight="1" x14ac:dyDescent="0.25">
      <c r="A1938" s="13" t="s">
        <v>1568</v>
      </c>
      <c r="B1938" s="13"/>
      <c r="C1938" s="13" t="s">
        <v>3177</v>
      </c>
      <c r="D1938" s="13" t="s">
        <v>1883</v>
      </c>
      <c r="E1938" s="13" t="s">
        <v>8938</v>
      </c>
      <c r="F1938" s="13"/>
      <c r="G1938" s="13" t="s">
        <v>3176</v>
      </c>
      <c r="H1938" s="13"/>
      <c r="I1938" s="13" t="s">
        <v>3175</v>
      </c>
      <c r="J1938" s="13" t="s">
        <v>3174</v>
      </c>
      <c r="K1938" s="13" t="s">
        <v>3173</v>
      </c>
      <c r="L1938" s="13"/>
      <c r="M1938" s="14"/>
      <c r="N1938" s="13"/>
      <c r="O1938" s="13" t="s">
        <v>1877</v>
      </c>
    </row>
    <row r="1939" spans="1:15" ht="19.5" customHeight="1" x14ac:dyDescent="0.25">
      <c r="A1939" s="11" t="s">
        <v>862</v>
      </c>
      <c r="B1939" s="11"/>
      <c r="C1939" s="11" t="s">
        <v>3172</v>
      </c>
      <c r="D1939" s="11" t="s">
        <v>1883</v>
      </c>
      <c r="E1939" s="11" t="s">
        <v>3170</v>
      </c>
      <c r="F1939" s="11"/>
      <c r="G1939" s="11" t="s">
        <v>862</v>
      </c>
      <c r="H1939" s="11"/>
      <c r="I1939" s="11" t="s">
        <v>3169</v>
      </c>
      <c r="J1939" s="11" t="s">
        <v>3168</v>
      </c>
      <c r="K1939" s="11" t="s">
        <v>1908</v>
      </c>
      <c r="L1939" s="11"/>
      <c r="M1939" s="12"/>
      <c r="N1939" s="11"/>
      <c r="O1939" s="11" t="s">
        <v>1877</v>
      </c>
    </row>
    <row r="1940" spans="1:15" ht="19.5" customHeight="1" x14ac:dyDescent="0.25">
      <c r="A1940" s="13" t="s">
        <v>862</v>
      </c>
      <c r="B1940" s="13"/>
      <c r="C1940" s="13" t="s">
        <v>3171</v>
      </c>
      <c r="D1940" s="13" t="s">
        <v>1883</v>
      </c>
      <c r="E1940" s="13" t="s">
        <v>3170</v>
      </c>
      <c r="F1940" s="13"/>
      <c r="G1940" s="13" t="s">
        <v>862</v>
      </c>
      <c r="H1940" s="13"/>
      <c r="I1940" s="13" t="s">
        <v>3169</v>
      </c>
      <c r="J1940" s="13" t="s">
        <v>3168</v>
      </c>
      <c r="K1940" s="13" t="s">
        <v>1908</v>
      </c>
      <c r="L1940" s="13"/>
      <c r="M1940" s="14"/>
      <c r="N1940" s="13"/>
      <c r="O1940" s="13" t="s">
        <v>1877</v>
      </c>
    </row>
    <row r="1941" spans="1:15" ht="19.5" customHeight="1" x14ac:dyDescent="0.25">
      <c r="A1941" s="11" t="s">
        <v>864</v>
      </c>
      <c r="B1941" s="11"/>
      <c r="C1941" s="11" t="s">
        <v>3167</v>
      </c>
      <c r="D1941" s="11" t="s">
        <v>1883</v>
      </c>
      <c r="E1941" s="11" t="s">
        <v>3163</v>
      </c>
      <c r="F1941" s="11"/>
      <c r="G1941" s="11" t="s">
        <v>864</v>
      </c>
      <c r="H1941" s="11" t="s">
        <v>3166</v>
      </c>
      <c r="I1941" s="11" t="s">
        <v>3161</v>
      </c>
      <c r="J1941" s="11" t="s">
        <v>3160</v>
      </c>
      <c r="K1941" s="11" t="s">
        <v>2555</v>
      </c>
      <c r="L1941" s="11"/>
      <c r="M1941" s="12"/>
      <c r="N1941" s="11"/>
      <c r="O1941" s="11" t="s">
        <v>1877</v>
      </c>
    </row>
    <row r="1942" spans="1:15" ht="19.5" customHeight="1" x14ac:dyDescent="0.25">
      <c r="A1942" s="13" t="s">
        <v>864</v>
      </c>
      <c r="B1942" s="13"/>
      <c r="C1942" s="13" t="s">
        <v>3165</v>
      </c>
      <c r="D1942" s="13" t="s">
        <v>1883</v>
      </c>
      <c r="E1942" s="13" t="s">
        <v>3163</v>
      </c>
      <c r="F1942" s="13"/>
      <c r="G1942" s="13" t="s">
        <v>864</v>
      </c>
      <c r="H1942" s="13" t="s">
        <v>3162</v>
      </c>
      <c r="I1942" s="13" t="s">
        <v>3161</v>
      </c>
      <c r="J1942" s="13" t="s">
        <v>3160</v>
      </c>
      <c r="K1942" s="13" t="s">
        <v>2555</v>
      </c>
      <c r="L1942" s="13"/>
      <c r="M1942" s="14"/>
      <c r="N1942" s="13"/>
      <c r="O1942" s="13" t="s">
        <v>1877</v>
      </c>
    </row>
    <row r="1943" spans="1:15" ht="19.5" customHeight="1" x14ac:dyDescent="0.25">
      <c r="A1943" s="11" t="s">
        <v>864</v>
      </c>
      <c r="B1943" s="11"/>
      <c r="C1943" s="11" t="s">
        <v>3164</v>
      </c>
      <c r="D1943" s="11" t="s">
        <v>1883</v>
      </c>
      <c r="E1943" s="11" t="s">
        <v>3163</v>
      </c>
      <c r="F1943" s="11"/>
      <c r="G1943" s="11" t="s">
        <v>864</v>
      </c>
      <c r="H1943" s="11" t="s">
        <v>3162</v>
      </c>
      <c r="I1943" s="11" t="s">
        <v>3161</v>
      </c>
      <c r="J1943" s="11" t="s">
        <v>3160</v>
      </c>
      <c r="K1943" s="11" t="s">
        <v>2555</v>
      </c>
      <c r="L1943" s="11"/>
      <c r="M1943" s="12"/>
      <c r="N1943" s="11"/>
      <c r="O1943" s="11" t="s">
        <v>1877</v>
      </c>
    </row>
    <row r="1944" spans="1:15" ht="19.5" customHeight="1" x14ac:dyDescent="0.25">
      <c r="A1944" s="13" t="s">
        <v>3157</v>
      </c>
      <c r="B1944" s="13"/>
      <c r="C1944" s="13" t="s">
        <v>3159</v>
      </c>
      <c r="D1944" s="13" t="s">
        <v>1883</v>
      </c>
      <c r="E1944" s="13" t="s">
        <v>3158</v>
      </c>
      <c r="F1944" s="13"/>
      <c r="G1944" s="13" t="s">
        <v>3157</v>
      </c>
      <c r="H1944" s="13"/>
      <c r="I1944" s="13"/>
      <c r="J1944" s="13"/>
      <c r="K1944" s="13"/>
      <c r="L1944" s="13"/>
      <c r="M1944" s="14"/>
      <c r="N1944" s="13"/>
      <c r="O1944" s="13" t="s">
        <v>1945</v>
      </c>
    </row>
    <row r="1945" spans="1:15" ht="19.5" customHeight="1" x14ac:dyDescent="0.25">
      <c r="A1945" s="11" t="s">
        <v>3135</v>
      </c>
      <c r="B1945" s="11"/>
      <c r="C1945" s="11" t="s">
        <v>3156</v>
      </c>
      <c r="D1945" s="11" t="s">
        <v>1883</v>
      </c>
      <c r="E1945" s="11"/>
      <c r="F1945" s="11"/>
      <c r="G1945" s="11" t="s">
        <v>3135</v>
      </c>
      <c r="H1945" s="11"/>
      <c r="I1945" s="11"/>
      <c r="J1945" s="11"/>
      <c r="K1945" s="11"/>
      <c r="L1945" s="11"/>
      <c r="M1945" s="12"/>
      <c r="N1945" s="11"/>
      <c r="O1945" s="11"/>
    </row>
    <row r="1946" spans="1:15" ht="19.5" customHeight="1" x14ac:dyDescent="0.25">
      <c r="A1946" s="13" t="s">
        <v>3135</v>
      </c>
      <c r="B1946" s="13"/>
      <c r="C1946" s="13" t="s">
        <v>3155</v>
      </c>
      <c r="D1946" s="13" t="s">
        <v>1883</v>
      </c>
      <c r="E1946" s="13"/>
      <c r="F1946" s="13"/>
      <c r="G1946" s="13" t="s">
        <v>3135</v>
      </c>
      <c r="H1946" s="13"/>
      <c r="I1946" s="13"/>
      <c r="J1946" s="13"/>
      <c r="K1946" s="13"/>
      <c r="L1946" s="13"/>
      <c r="M1946" s="14"/>
      <c r="N1946" s="13"/>
      <c r="O1946" s="13"/>
    </row>
    <row r="1947" spans="1:15" ht="19.5" customHeight="1" x14ac:dyDescent="0.25">
      <c r="A1947" s="11" t="s">
        <v>3135</v>
      </c>
      <c r="B1947" s="11"/>
      <c r="C1947" s="11" t="s">
        <v>3154</v>
      </c>
      <c r="D1947" s="11" t="s">
        <v>1883</v>
      </c>
      <c r="E1947" s="11"/>
      <c r="F1947" s="11"/>
      <c r="G1947" s="11" t="s">
        <v>3135</v>
      </c>
      <c r="H1947" s="11"/>
      <c r="I1947" s="11"/>
      <c r="J1947" s="11"/>
      <c r="K1947" s="11"/>
      <c r="L1947" s="11"/>
      <c r="M1947" s="12"/>
      <c r="N1947" s="11"/>
      <c r="O1947" s="11"/>
    </row>
    <row r="1948" spans="1:15" ht="19.5" customHeight="1" x14ac:dyDescent="0.25">
      <c r="A1948" s="13" t="s">
        <v>3135</v>
      </c>
      <c r="B1948" s="13"/>
      <c r="C1948" s="13" t="s">
        <v>3153</v>
      </c>
      <c r="D1948" s="13" t="s">
        <v>1883</v>
      </c>
      <c r="E1948" s="13"/>
      <c r="F1948" s="13"/>
      <c r="G1948" s="13" t="s">
        <v>3135</v>
      </c>
      <c r="H1948" s="13"/>
      <c r="I1948" s="13"/>
      <c r="J1948" s="13"/>
      <c r="K1948" s="13"/>
      <c r="L1948" s="13"/>
      <c r="M1948" s="14"/>
      <c r="N1948" s="13"/>
      <c r="O1948" s="13"/>
    </row>
    <row r="1949" spans="1:15" ht="19.5" customHeight="1" x14ac:dyDescent="0.25">
      <c r="A1949" s="11" t="s">
        <v>3135</v>
      </c>
      <c r="B1949" s="11"/>
      <c r="C1949" s="11" t="s">
        <v>3152</v>
      </c>
      <c r="D1949" s="11" t="s">
        <v>1883</v>
      </c>
      <c r="E1949" s="11"/>
      <c r="F1949" s="11"/>
      <c r="G1949" s="11" t="s">
        <v>3135</v>
      </c>
      <c r="H1949" s="11"/>
      <c r="I1949" s="11"/>
      <c r="J1949" s="11"/>
      <c r="K1949" s="11"/>
      <c r="L1949" s="11"/>
      <c r="M1949" s="12"/>
      <c r="N1949" s="11"/>
      <c r="O1949" s="11"/>
    </row>
    <row r="1950" spans="1:15" ht="19.5" customHeight="1" x14ac:dyDescent="0.25">
      <c r="A1950" s="13" t="s">
        <v>3135</v>
      </c>
      <c r="B1950" s="13"/>
      <c r="C1950" s="13" t="s">
        <v>3151</v>
      </c>
      <c r="D1950" s="13" t="s">
        <v>1883</v>
      </c>
      <c r="E1950" s="13"/>
      <c r="F1950" s="13"/>
      <c r="G1950" s="13" t="s">
        <v>3135</v>
      </c>
      <c r="H1950" s="13"/>
      <c r="I1950" s="13"/>
      <c r="J1950" s="13"/>
      <c r="K1950" s="13"/>
      <c r="L1950" s="13"/>
      <c r="M1950" s="14"/>
      <c r="N1950" s="13"/>
      <c r="O1950" s="13"/>
    </row>
    <row r="1951" spans="1:15" ht="19.5" customHeight="1" x14ac:dyDescent="0.25">
      <c r="A1951" s="11" t="s">
        <v>3135</v>
      </c>
      <c r="B1951" s="11"/>
      <c r="C1951" s="11" t="s">
        <v>3150</v>
      </c>
      <c r="D1951" s="11" t="s">
        <v>1883</v>
      </c>
      <c r="E1951" s="11"/>
      <c r="F1951" s="11"/>
      <c r="G1951" s="11" t="s">
        <v>3135</v>
      </c>
      <c r="H1951" s="11"/>
      <c r="I1951" s="11"/>
      <c r="J1951" s="11"/>
      <c r="K1951" s="11"/>
      <c r="L1951" s="11"/>
      <c r="M1951" s="12"/>
      <c r="N1951" s="11"/>
      <c r="O1951" s="11"/>
    </row>
    <row r="1952" spans="1:15" ht="19.5" customHeight="1" x14ac:dyDescent="0.25">
      <c r="A1952" s="13" t="s">
        <v>3135</v>
      </c>
      <c r="B1952" s="13"/>
      <c r="C1952" s="13" t="s">
        <v>3149</v>
      </c>
      <c r="D1952" s="13" t="s">
        <v>1883</v>
      </c>
      <c r="E1952" s="13"/>
      <c r="F1952" s="13"/>
      <c r="G1952" s="13" t="s">
        <v>3135</v>
      </c>
      <c r="H1952" s="13"/>
      <c r="I1952" s="13"/>
      <c r="J1952" s="13"/>
      <c r="K1952" s="13"/>
      <c r="L1952" s="13"/>
      <c r="M1952" s="14"/>
      <c r="N1952" s="13"/>
      <c r="O1952" s="13"/>
    </row>
    <row r="1953" spans="1:15" ht="19.5" customHeight="1" x14ac:dyDescent="0.25">
      <c r="A1953" s="11" t="s">
        <v>3135</v>
      </c>
      <c r="B1953" s="11"/>
      <c r="C1953" s="11" t="s">
        <v>3148</v>
      </c>
      <c r="D1953" s="11" t="s">
        <v>1883</v>
      </c>
      <c r="E1953" s="11"/>
      <c r="F1953" s="11"/>
      <c r="G1953" s="11" t="s">
        <v>3135</v>
      </c>
      <c r="H1953" s="11"/>
      <c r="I1953" s="11"/>
      <c r="J1953" s="11"/>
      <c r="K1953" s="11"/>
      <c r="L1953" s="11"/>
      <c r="M1953" s="12"/>
      <c r="N1953" s="11"/>
      <c r="O1953" s="11"/>
    </row>
    <row r="1954" spans="1:15" ht="19.5" customHeight="1" x14ac:dyDescent="0.25">
      <c r="A1954" s="13" t="s">
        <v>3135</v>
      </c>
      <c r="B1954" s="13"/>
      <c r="C1954" s="13" t="s">
        <v>3147</v>
      </c>
      <c r="D1954" s="13" t="s">
        <v>1883</v>
      </c>
      <c r="E1954" s="13"/>
      <c r="F1954" s="13"/>
      <c r="G1954" s="13" t="s">
        <v>3135</v>
      </c>
      <c r="H1954" s="13"/>
      <c r="I1954" s="13"/>
      <c r="J1954" s="13"/>
      <c r="K1954" s="13"/>
      <c r="L1954" s="13"/>
      <c r="M1954" s="14"/>
      <c r="N1954" s="13"/>
      <c r="O1954" s="13"/>
    </row>
    <row r="1955" spans="1:15" ht="19.5" customHeight="1" x14ac:dyDescent="0.25">
      <c r="A1955" s="11" t="s">
        <v>3135</v>
      </c>
      <c r="B1955" s="11"/>
      <c r="C1955" s="11" t="s">
        <v>3146</v>
      </c>
      <c r="D1955" s="11" t="s">
        <v>1883</v>
      </c>
      <c r="E1955" s="11"/>
      <c r="F1955" s="11"/>
      <c r="G1955" s="11" t="s">
        <v>3135</v>
      </c>
      <c r="H1955" s="11"/>
      <c r="I1955" s="11"/>
      <c r="J1955" s="11"/>
      <c r="K1955" s="11"/>
      <c r="L1955" s="11"/>
      <c r="M1955" s="12"/>
      <c r="N1955" s="11"/>
      <c r="O1955" s="11"/>
    </row>
    <row r="1956" spans="1:15" ht="19.5" customHeight="1" x14ac:dyDescent="0.25">
      <c r="A1956" s="13" t="s">
        <v>3135</v>
      </c>
      <c r="B1956" s="13"/>
      <c r="C1956" s="13" t="s">
        <v>3145</v>
      </c>
      <c r="D1956" s="13" t="s">
        <v>1883</v>
      </c>
      <c r="E1956" s="13"/>
      <c r="F1956" s="13"/>
      <c r="G1956" s="13" t="s">
        <v>3135</v>
      </c>
      <c r="H1956" s="13"/>
      <c r="I1956" s="13"/>
      <c r="J1956" s="13"/>
      <c r="K1956" s="13"/>
      <c r="L1956" s="13"/>
      <c r="M1956" s="14"/>
      <c r="N1956" s="13"/>
      <c r="O1956" s="13"/>
    </row>
    <row r="1957" spans="1:15" ht="19.5" customHeight="1" x14ac:dyDescent="0.25">
      <c r="A1957" s="11" t="s">
        <v>3135</v>
      </c>
      <c r="B1957" s="11"/>
      <c r="C1957" s="11" t="s">
        <v>3144</v>
      </c>
      <c r="D1957" s="11" t="s">
        <v>1883</v>
      </c>
      <c r="E1957" s="11"/>
      <c r="F1957" s="11"/>
      <c r="G1957" s="11" t="s">
        <v>3135</v>
      </c>
      <c r="H1957" s="11"/>
      <c r="I1957" s="11"/>
      <c r="J1957" s="11"/>
      <c r="K1957" s="11"/>
      <c r="L1957" s="11"/>
      <c r="M1957" s="12"/>
      <c r="N1957" s="11"/>
      <c r="O1957" s="11"/>
    </row>
    <row r="1958" spans="1:15" ht="19.5" customHeight="1" x14ac:dyDescent="0.25">
      <c r="A1958" s="13" t="s">
        <v>3135</v>
      </c>
      <c r="B1958" s="13"/>
      <c r="C1958" s="13" t="s">
        <v>3143</v>
      </c>
      <c r="D1958" s="13" t="s">
        <v>1883</v>
      </c>
      <c r="E1958" s="13"/>
      <c r="F1958" s="13"/>
      <c r="G1958" s="13" t="s">
        <v>3135</v>
      </c>
      <c r="H1958" s="13"/>
      <c r="I1958" s="13"/>
      <c r="J1958" s="13"/>
      <c r="K1958" s="13"/>
      <c r="L1958" s="13"/>
      <c r="M1958" s="14"/>
      <c r="N1958" s="13"/>
      <c r="O1958" s="13"/>
    </row>
    <row r="1959" spans="1:15" ht="19.5" customHeight="1" x14ac:dyDescent="0.25">
      <c r="A1959" s="11" t="s">
        <v>3135</v>
      </c>
      <c r="B1959" s="11"/>
      <c r="C1959" s="11" t="s">
        <v>3142</v>
      </c>
      <c r="D1959" s="11" t="s">
        <v>1883</v>
      </c>
      <c r="E1959" s="11" t="s">
        <v>3141</v>
      </c>
      <c r="F1959" s="11"/>
      <c r="G1959" s="11" t="s">
        <v>3135</v>
      </c>
      <c r="H1959" s="11"/>
      <c r="I1959" s="11"/>
      <c r="J1959" s="11"/>
      <c r="K1959" s="11"/>
      <c r="L1959" s="11"/>
      <c r="M1959" s="12"/>
      <c r="N1959" s="11"/>
      <c r="O1959" s="11"/>
    </row>
    <row r="1960" spans="1:15" ht="19.5" customHeight="1" x14ac:dyDescent="0.25">
      <c r="A1960" s="13" t="s">
        <v>3135</v>
      </c>
      <c r="B1960" s="13"/>
      <c r="C1960" s="13" t="s">
        <v>3140</v>
      </c>
      <c r="D1960" s="13" t="s">
        <v>1883</v>
      </c>
      <c r="E1960" s="13"/>
      <c r="F1960" s="13"/>
      <c r="G1960" s="13" t="s">
        <v>3135</v>
      </c>
      <c r="H1960" s="13"/>
      <c r="I1960" s="13"/>
      <c r="J1960" s="13"/>
      <c r="K1960" s="13"/>
      <c r="L1960" s="13"/>
      <c r="M1960" s="14"/>
      <c r="N1960" s="13"/>
      <c r="O1960" s="13"/>
    </row>
    <row r="1961" spans="1:15" ht="19.5" customHeight="1" x14ac:dyDescent="0.25">
      <c r="A1961" s="11" t="s">
        <v>3135</v>
      </c>
      <c r="B1961" s="11"/>
      <c r="C1961" s="11" t="s">
        <v>3139</v>
      </c>
      <c r="D1961" s="11" t="s">
        <v>1883</v>
      </c>
      <c r="E1961" s="11"/>
      <c r="F1961" s="11"/>
      <c r="G1961" s="11" t="s">
        <v>3135</v>
      </c>
      <c r="H1961" s="11"/>
      <c r="I1961" s="11"/>
      <c r="J1961" s="11"/>
      <c r="K1961" s="11"/>
      <c r="L1961" s="11"/>
      <c r="M1961" s="12"/>
      <c r="N1961" s="11"/>
      <c r="O1961" s="11"/>
    </row>
    <row r="1962" spans="1:15" ht="19.5" customHeight="1" x14ac:dyDescent="0.25">
      <c r="A1962" s="13" t="s">
        <v>3135</v>
      </c>
      <c r="B1962" s="13"/>
      <c r="C1962" s="13" t="s">
        <v>3138</v>
      </c>
      <c r="D1962" s="13" t="s">
        <v>1883</v>
      </c>
      <c r="E1962" s="13"/>
      <c r="F1962" s="13"/>
      <c r="G1962" s="13" t="s">
        <v>3135</v>
      </c>
      <c r="H1962" s="13"/>
      <c r="I1962" s="13"/>
      <c r="J1962" s="13"/>
      <c r="K1962" s="13"/>
      <c r="L1962" s="13"/>
      <c r="M1962" s="14"/>
      <c r="N1962" s="13"/>
      <c r="O1962" s="13"/>
    </row>
    <row r="1963" spans="1:15" ht="19.5" customHeight="1" x14ac:dyDescent="0.25">
      <c r="A1963" s="11" t="s">
        <v>3135</v>
      </c>
      <c r="B1963" s="11"/>
      <c r="C1963" s="11" t="s">
        <v>3137</v>
      </c>
      <c r="D1963" s="11" t="s">
        <v>1883</v>
      </c>
      <c r="E1963" s="11"/>
      <c r="F1963" s="11"/>
      <c r="G1963" s="11" t="s">
        <v>3135</v>
      </c>
      <c r="H1963" s="11"/>
      <c r="I1963" s="11"/>
      <c r="J1963" s="11"/>
      <c r="K1963" s="11"/>
      <c r="L1963" s="11"/>
      <c r="M1963" s="12"/>
      <c r="N1963" s="11"/>
      <c r="O1963" s="11"/>
    </row>
    <row r="1964" spans="1:15" ht="19.5" customHeight="1" x14ac:dyDescent="0.25">
      <c r="A1964" s="13" t="s">
        <v>3135</v>
      </c>
      <c r="B1964" s="13"/>
      <c r="C1964" s="13" t="s">
        <v>3136</v>
      </c>
      <c r="D1964" s="13" t="s">
        <v>1883</v>
      </c>
      <c r="E1964" s="13"/>
      <c r="F1964" s="13"/>
      <c r="G1964" s="13" t="s">
        <v>3135</v>
      </c>
      <c r="H1964" s="13"/>
      <c r="I1964" s="13"/>
      <c r="J1964" s="13"/>
      <c r="K1964" s="13"/>
      <c r="L1964" s="13"/>
      <c r="M1964" s="14"/>
      <c r="N1964" s="13"/>
      <c r="O1964" s="13"/>
    </row>
    <row r="1965" spans="1:15" ht="19.5" customHeight="1" x14ac:dyDescent="0.25">
      <c r="A1965" s="11" t="s">
        <v>3132</v>
      </c>
      <c r="B1965" s="11"/>
      <c r="C1965" s="11" t="s">
        <v>3134</v>
      </c>
      <c r="D1965" s="11" t="s">
        <v>1883</v>
      </c>
      <c r="E1965" s="11" t="s">
        <v>3133</v>
      </c>
      <c r="F1965" s="11"/>
      <c r="G1965" s="11" t="s">
        <v>3132</v>
      </c>
      <c r="H1965" s="11"/>
      <c r="I1965" s="11"/>
      <c r="J1965" s="11"/>
      <c r="K1965" s="11"/>
      <c r="L1965" s="11"/>
      <c r="M1965" s="12"/>
      <c r="N1965" s="11"/>
      <c r="O1965" s="11" t="s">
        <v>1916</v>
      </c>
    </row>
    <row r="1966" spans="1:15" ht="19.5" customHeight="1" x14ac:dyDescent="0.25">
      <c r="A1966" s="13" t="s">
        <v>3130</v>
      </c>
      <c r="B1966" s="13"/>
      <c r="C1966" s="13" t="s">
        <v>3131</v>
      </c>
      <c r="D1966" s="13" t="s">
        <v>1883</v>
      </c>
      <c r="E1966" s="13"/>
      <c r="F1966" s="13"/>
      <c r="G1966" s="13" t="s">
        <v>3130</v>
      </c>
      <c r="H1966" s="13"/>
      <c r="I1966" s="13"/>
      <c r="J1966" s="13"/>
      <c r="K1966" s="13"/>
      <c r="L1966" s="13"/>
      <c r="M1966" s="14"/>
      <c r="N1966" s="13"/>
      <c r="O1966" s="13"/>
    </row>
    <row r="1967" spans="1:15" ht="19.5" customHeight="1" x14ac:dyDescent="0.25">
      <c r="A1967" s="11" t="s">
        <v>3128</v>
      </c>
      <c r="B1967" s="11"/>
      <c r="C1967" s="11" t="s">
        <v>3129</v>
      </c>
      <c r="D1967" s="11" t="s">
        <v>1883</v>
      </c>
      <c r="E1967" s="11"/>
      <c r="F1967" s="11"/>
      <c r="G1967" s="11" t="s">
        <v>3128</v>
      </c>
      <c r="H1967" s="11"/>
      <c r="I1967" s="11"/>
      <c r="J1967" s="11"/>
      <c r="K1967" s="11"/>
      <c r="L1967" s="11"/>
      <c r="M1967" s="12"/>
      <c r="N1967" s="11"/>
      <c r="O1967" s="11"/>
    </row>
    <row r="1968" spans="1:15" ht="19.5" customHeight="1" x14ac:dyDescent="0.25">
      <c r="A1968" s="13" t="s">
        <v>866</v>
      </c>
      <c r="B1968" s="13"/>
      <c r="C1968" s="13" t="s">
        <v>3127</v>
      </c>
      <c r="D1968" s="13" t="s">
        <v>1883</v>
      </c>
      <c r="E1968" s="13" t="s">
        <v>3126</v>
      </c>
      <c r="F1968" s="13"/>
      <c r="G1968" s="13" t="s">
        <v>866</v>
      </c>
      <c r="H1968" s="13" t="s">
        <v>3125</v>
      </c>
      <c r="I1968" s="13"/>
      <c r="J1968" s="13"/>
      <c r="K1968" s="13"/>
      <c r="L1968" s="13"/>
      <c r="M1968" s="14"/>
      <c r="N1968" s="13"/>
      <c r="O1968" s="13" t="s">
        <v>1877</v>
      </c>
    </row>
    <row r="1969" spans="1:15" ht="19.5" customHeight="1" x14ac:dyDescent="0.25">
      <c r="A1969" s="11" t="s">
        <v>1687</v>
      </c>
      <c r="B1969" s="11"/>
      <c r="C1969" s="11" t="s">
        <v>3124</v>
      </c>
      <c r="D1969" s="11" t="s">
        <v>1883</v>
      </c>
      <c r="E1969" s="11" t="s">
        <v>3123</v>
      </c>
      <c r="F1969" s="11"/>
      <c r="G1969" s="11" t="s">
        <v>1687</v>
      </c>
      <c r="H1969" s="11"/>
      <c r="I1969" s="11" t="s">
        <v>3122</v>
      </c>
      <c r="J1969" s="11" t="s">
        <v>3121</v>
      </c>
      <c r="K1969" s="11" t="s">
        <v>2093</v>
      </c>
      <c r="L1969" s="11"/>
      <c r="M1969" s="12"/>
      <c r="N1969" s="11"/>
      <c r="O1969" s="11" t="s">
        <v>1877</v>
      </c>
    </row>
    <row r="1970" spans="1:15" ht="19.5" customHeight="1" x14ac:dyDescent="0.25">
      <c r="A1970" s="13" t="s">
        <v>868</v>
      </c>
      <c r="B1970" s="13"/>
      <c r="C1970" s="13" t="s">
        <v>3120</v>
      </c>
      <c r="D1970" s="13" t="s">
        <v>1883</v>
      </c>
      <c r="E1970" s="13" t="s">
        <v>3117</v>
      </c>
      <c r="F1970" s="13"/>
      <c r="G1970" s="13" t="s">
        <v>868</v>
      </c>
      <c r="H1970" s="13"/>
      <c r="I1970" s="13"/>
      <c r="J1970" s="13"/>
      <c r="K1970" s="13" t="s">
        <v>3116</v>
      </c>
      <c r="L1970" s="13"/>
      <c r="M1970" s="14"/>
      <c r="N1970" s="13"/>
      <c r="O1970" s="13" t="s">
        <v>1877</v>
      </c>
    </row>
    <row r="1971" spans="1:15" ht="19.5" customHeight="1" x14ac:dyDescent="0.25">
      <c r="A1971" s="11" t="s">
        <v>868</v>
      </c>
      <c r="B1971" s="11"/>
      <c r="C1971" s="11" t="s">
        <v>3119</v>
      </c>
      <c r="D1971" s="11" t="s">
        <v>1883</v>
      </c>
      <c r="E1971" s="11" t="s">
        <v>3117</v>
      </c>
      <c r="F1971" s="11"/>
      <c r="G1971" s="11" t="s">
        <v>868</v>
      </c>
      <c r="H1971" s="11"/>
      <c r="I1971" s="11"/>
      <c r="J1971" s="11"/>
      <c r="K1971" s="11" t="s">
        <v>3116</v>
      </c>
      <c r="L1971" s="11"/>
      <c r="M1971" s="12"/>
      <c r="N1971" s="11"/>
      <c r="O1971" s="11" t="s">
        <v>1877</v>
      </c>
    </row>
    <row r="1972" spans="1:15" ht="19.5" customHeight="1" x14ac:dyDescent="0.25">
      <c r="A1972" s="13" t="s">
        <v>868</v>
      </c>
      <c r="B1972" s="13"/>
      <c r="C1972" s="13" t="s">
        <v>3118</v>
      </c>
      <c r="D1972" s="13" t="s">
        <v>1883</v>
      </c>
      <c r="E1972" s="13" t="s">
        <v>3117</v>
      </c>
      <c r="F1972" s="13"/>
      <c r="G1972" s="13" t="s">
        <v>868</v>
      </c>
      <c r="H1972" s="13"/>
      <c r="I1972" s="13"/>
      <c r="J1972" s="13"/>
      <c r="K1972" s="13" t="s">
        <v>3116</v>
      </c>
      <c r="L1972" s="13"/>
      <c r="M1972" s="14"/>
      <c r="N1972" s="13"/>
      <c r="O1972" s="13" t="s">
        <v>1877</v>
      </c>
    </row>
    <row r="1973" spans="1:15" ht="19.5" customHeight="1" x14ac:dyDescent="0.25">
      <c r="A1973" s="11" t="s">
        <v>870</v>
      </c>
      <c r="B1973" s="11"/>
      <c r="C1973" s="11" t="s">
        <v>3115</v>
      </c>
      <c r="D1973" s="11" t="s">
        <v>1883</v>
      </c>
      <c r="E1973" s="11" t="s">
        <v>3112</v>
      </c>
      <c r="F1973" s="11"/>
      <c r="G1973" s="11" t="s">
        <v>3111</v>
      </c>
      <c r="H1973" s="11" t="s">
        <v>3110</v>
      </c>
      <c r="I1973" s="11" t="s">
        <v>3109</v>
      </c>
      <c r="J1973" s="11" t="s">
        <v>3108</v>
      </c>
      <c r="K1973" s="11" t="s">
        <v>3107</v>
      </c>
      <c r="L1973" s="11"/>
      <c r="M1973" s="12"/>
      <c r="N1973" s="11"/>
      <c r="O1973" s="11" t="s">
        <v>1877</v>
      </c>
    </row>
    <row r="1974" spans="1:15" ht="19.5" customHeight="1" x14ac:dyDescent="0.25">
      <c r="A1974" s="13" t="s">
        <v>870</v>
      </c>
      <c r="B1974" s="13"/>
      <c r="C1974" s="13" t="s">
        <v>3114</v>
      </c>
      <c r="D1974" s="13" t="s">
        <v>1883</v>
      </c>
      <c r="E1974" s="13" t="s">
        <v>3112</v>
      </c>
      <c r="F1974" s="13"/>
      <c r="G1974" s="13" t="s">
        <v>3111</v>
      </c>
      <c r="H1974" s="13" t="s">
        <v>3110</v>
      </c>
      <c r="I1974" s="13" t="s">
        <v>3109</v>
      </c>
      <c r="J1974" s="13" t="s">
        <v>3108</v>
      </c>
      <c r="K1974" s="13" t="s">
        <v>3107</v>
      </c>
      <c r="L1974" s="13"/>
      <c r="M1974" s="14"/>
      <c r="N1974" s="13"/>
      <c r="O1974" s="13" t="s">
        <v>1877</v>
      </c>
    </row>
    <row r="1975" spans="1:15" ht="19.5" customHeight="1" x14ac:dyDescent="0.25">
      <c r="A1975" s="11" t="s">
        <v>870</v>
      </c>
      <c r="B1975" s="11"/>
      <c r="C1975" s="11" t="s">
        <v>3113</v>
      </c>
      <c r="D1975" s="11" t="s">
        <v>1883</v>
      </c>
      <c r="E1975" s="11" t="s">
        <v>3112</v>
      </c>
      <c r="F1975" s="11"/>
      <c r="G1975" s="11" t="s">
        <v>3111</v>
      </c>
      <c r="H1975" s="11" t="s">
        <v>3110</v>
      </c>
      <c r="I1975" s="11" t="s">
        <v>3109</v>
      </c>
      <c r="J1975" s="11" t="s">
        <v>3108</v>
      </c>
      <c r="K1975" s="11" t="s">
        <v>3107</v>
      </c>
      <c r="L1975" s="11"/>
      <c r="M1975" s="12"/>
      <c r="N1975" s="11"/>
      <c r="O1975" s="11" t="s">
        <v>1877</v>
      </c>
    </row>
    <row r="1976" spans="1:15" ht="19.5" customHeight="1" x14ac:dyDescent="0.25">
      <c r="A1976" s="13" t="s">
        <v>872</v>
      </c>
      <c r="B1976" s="13"/>
      <c r="C1976" s="13" t="s">
        <v>3106</v>
      </c>
      <c r="D1976" s="13" t="s">
        <v>1883</v>
      </c>
      <c r="E1976" s="13" t="s">
        <v>3102</v>
      </c>
      <c r="F1976" s="13"/>
      <c r="G1976" s="13" t="s">
        <v>3101</v>
      </c>
      <c r="H1976" s="13"/>
      <c r="I1976" s="13" t="s">
        <v>3100</v>
      </c>
      <c r="J1976" s="13" t="s">
        <v>3099</v>
      </c>
      <c r="K1976" s="13" t="s">
        <v>3098</v>
      </c>
      <c r="L1976" s="13"/>
      <c r="M1976" s="14"/>
      <c r="N1976" s="13"/>
      <c r="O1976" s="13" t="s">
        <v>1877</v>
      </c>
    </row>
    <row r="1977" spans="1:15" ht="19.5" customHeight="1" x14ac:dyDescent="0.25">
      <c r="A1977" s="11" t="s">
        <v>872</v>
      </c>
      <c r="B1977" s="11"/>
      <c r="C1977" s="11" t="s">
        <v>3105</v>
      </c>
      <c r="D1977" s="11" t="s">
        <v>1883</v>
      </c>
      <c r="E1977" s="11" t="s">
        <v>3104</v>
      </c>
      <c r="F1977" s="11"/>
      <c r="G1977" s="11" t="s">
        <v>3101</v>
      </c>
      <c r="H1977" s="11"/>
      <c r="I1977" s="11" t="s">
        <v>3100</v>
      </c>
      <c r="J1977" s="11" t="s">
        <v>3099</v>
      </c>
      <c r="K1977" s="11" t="s">
        <v>3098</v>
      </c>
      <c r="L1977" s="11"/>
      <c r="M1977" s="12"/>
      <c r="N1977" s="11"/>
      <c r="O1977" s="11" t="s">
        <v>1877</v>
      </c>
    </row>
    <row r="1978" spans="1:15" ht="19.5" customHeight="1" x14ac:dyDescent="0.25">
      <c r="A1978" s="13" t="s">
        <v>872</v>
      </c>
      <c r="B1978" s="13"/>
      <c r="C1978" s="13" t="s">
        <v>3103</v>
      </c>
      <c r="D1978" s="13" t="s">
        <v>1883</v>
      </c>
      <c r="E1978" s="13" t="s">
        <v>3102</v>
      </c>
      <c r="F1978" s="13"/>
      <c r="G1978" s="13" t="s">
        <v>3101</v>
      </c>
      <c r="H1978" s="13"/>
      <c r="I1978" s="13" t="s">
        <v>3100</v>
      </c>
      <c r="J1978" s="13" t="s">
        <v>3099</v>
      </c>
      <c r="K1978" s="13" t="s">
        <v>3098</v>
      </c>
      <c r="L1978" s="13"/>
      <c r="M1978" s="14"/>
      <c r="N1978" s="13"/>
      <c r="O1978" s="13" t="s">
        <v>1877</v>
      </c>
    </row>
    <row r="1979" spans="1:15" ht="19.5" customHeight="1" x14ac:dyDescent="0.25">
      <c r="A1979" s="11" t="s">
        <v>1785</v>
      </c>
      <c r="B1979" s="11"/>
      <c r="C1979" s="11" t="s">
        <v>3097</v>
      </c>
      <c r="D1979" s="11" t="s">
        <v>1883</v>
      </c>
      <c r="E1979" s="11" t="s">
        <v>3095</v>
      </c>
      <c r="F1979" s="11"/>
      <c r="G1979" s="11" t="s">
        <v>1785</v>
      </c>
      <c r="H1979" s="11"/>
      <c r="I1979" s="11" t="s">
        <v>3094</v>
      </c>
      <c r="J1979" s="11" t="s">
        <v>3093</v>
      </c>
      <c r="K1979" s="11" t="s">
        <v>3092</v>
      </c>
      <c r="L1979" s="11"/>
      <c r="M1979" s="12"/>
      <c r="N1979" s="11"/>
      <c r="O1979" s="11" t="s">
        <v>1877</v>
      </c>
    </row>
    <row r="1980" spans="1:15" ht="19.5" customHeight="1" x14ac:dyDescent="0.25">
      <c r="A1980" s="13" t="s">
        <v>1785</v>
      </c>
      <c r="B1980" s="13"/>
      <c r="C1980" s="13" t="s">
        <v>3096</v>
      </c>
      <c r="D1980" s="13" t="s">
        <v>1883</v>
      </c>
      <c r="E1980" s="13" t="s">
        <v>3095</v>
      </c>
      <c r="F1980" s="13"/>
      <c r="G1980" s="13" t="s">
        <v>1785</v>
      </c>
      <c r="H1980" s="13"/>
      <c r="I1980" s="13" t="s">
        <v>3094</v>
      </c>
      <c r="J1980" s="13" t="s">
        <v>3093</v>
      </c>
      <c r="K1980" s="13" t="s">
        <v>3092</v>
      </c>
      <c r="L1980" s="13"/>
      <c r="M1980" s="14"/>
      <c r="N1980" s="13"/>
      <c r="O1980" s="13" t="s">
        <v>1877</v>
      </c>
    </row>
    <row r="1981" spans="1:15" ht="19.5" customHeight="1" x14ac:dyDescent="0.25">
      <c r="A1981" s="11" t="s">
        <v>8795</v>
      </c>
      <c r="B1981" s="11"/>
      <c r="C1981" s="11" t="s">
        <v>8796</v>
      </c>
      <c r="D1981" s="11" t="s">
        <v>1883</v>
      </c>
      <c r="E1981" s="11" t="s">
        <v>8797</v>
      </c>
      <c r="F1981" s="11"/>
      <c r="G1981" s="11" t="s">
        <v>8795</v>
      </c>
      <c r="H1981" s="11"/>
      <c r="I1981" s="11" t="s">
        <v>8798</v>
      </c>
      <c r="J1981" s="11" t="s">
        <v>8799</v>
      </c>
      <c r="K1981" s="11" t="s">
        <v>1887</v>
      </c>
      <c r="L1981" s="11"/>
      <c r="M1981" s="12"/>
      <c r="N1981" s="11"/>
      <c r="O1981" s="11" t="s">
        <v>1877</v>
      </c>
    </row>
    <row r="1982" spans="1:15" ht="19.5" customHeight="1" x14ac:dyDescent="0.25">
      <c r="A1982" s="13" t="s">
        <v>3090</v>
      </c>
      <c r="B1982" s="13"/>
      <c r="C1982" s="13" t="s">
        <v>3091</v>
      </c>
      <c r="D1982" s="13" t="s">
        <v>1883</v>
      </c>
      <c r="E1982" s="13"/>
      <c r="F1982" s="13"/>
      <c r="G1982" s="13" t="s">
        <v>3090</v>
      </c>
      <c r="H1982" s="13"/>
      <c r="I1982" s="13"/>
      <c r="J1982" s="13"/>
      <c r="K1982" s="13"/>
      <c r="L1982" s="13"/>
      <c r="M1982" s="14"/>
      <c r="N1982" s="13"/>
      <c r="O1982" s="13"/>
    </row>
    <row r="1983" spans="1:15" ht="19.5" customHeight="1" x14ac:dyDescent="0.25">
      <c r="A1983" s="11" t="s">
        <v>3088</v>
      </c>
      <c r="B1983" s="11"/>
      <c r="C1983" s="11" t="s">
        <v>3089</v>
      </c>
      <c r="D1983" s="11" t="s">
        <v>1950</v>
      </c>
      <c r="E1983" s="11"/>
      <c r="F1983" s="11"/>
      <c r="G1983" s="11" t="s">
        <v>3088</v>
      </c>
      <c r="H1983" s="11"/>
      <c r="I1983" s="11" t="s">
        <v>3087</v>
      </c>
      <c r="J1983" s="11" t="s">
        <v>3086</v>
      </c>
      <c r="K1983" s="11" t="s">
        <v>2033</v>
      </c>
      <c r="L1983" s="11"/>
      <c r="M1983" s="12"/>
      <c r="N1983" s="11"/>
      <c r="O1983" s="11" t="s">
        <v>1945</v>
      </c>
    </row>
    <row r="1984" spans="1:15" ht="19.5" customHeight="1" x14ac:dyDescent="0.25">
      <c r="A1984" s="13" t="s">
        <v>3084</v>
      </c>
      <c r="B1984" s="13"/>
      <c r="C1984" s="13" t="s">
        <v>3085</v>
      </c>
      <c r="D1984" s="13" t="s">
        <v>1883</v>
      </c>
      <c r="E1984" s="13"/>
      <c r="F1984" s="13"/>
      <c r="G1984" s="13" t="s">
        <v>3084</v>
      </c>
      <c r="H1984" s="13"/>
      <c r="I1984" s="13"/>
      <c r="J1984" s="13"/>
      <c r="K1984" s="13"/>
      <c r="L1984" s="13"/>
      <c r="M1984" s="14"/>
      <c r="N1984" s="13"/>
      <c r="O1984" s="13"/>
    </row>
    <row r="1985" spans="1:15" ht="19.5" customHeight="1" x14ac:dyDescent="0.25">
      <c r="A1985" s="11" t="s">
        <v>3082</v>
      </c>
      <c r="B1985" s="11"/>
      <c r="C1985" s="11" t="s">
        <v>3083</v>
      </c>
      <c r="D1985" s="11" t="s">
        <v>1883</v>
      </c>
      <c r="E1985" s="11"/>
      <c r="F1985" s="11"/>
      <c r="G1985" s="11" t="s">
        <v>3082</v>
      </c>
      <c r="H1985" s="11"/>
      <c r="I1985" s="11"/>
      <c r="J1985" s="11"/>
      <c r="K1985" s="11"/>
      <c r="L1985" s="11"/>
      <c r="M1985" s="12"/>
      <c r="N1985" s="11"/>
      <c r="O1985" s="11"/>
    </row>
    <row r="1986" spans="1:15" ht="19.5" customHeight="1" x14ac:dyDescent="0.25">
      <c r="A1986" s="13" t="s">
        <v>3080</v>
      </c>
      <c r="B1986" s="13"/>
      <c r="C1986" s="13" t="s">
        <v>3081</v>
      </c>
      <c r="D1986" s="13" t="s">
        <v>1883</v>
      </c>
      <c r="E1986" s="13"/>
      <c r="F1986" s="13"/>
      <c r="G1986" s="13" t="s">
        <v>3080</v>
      </c>
      <c r="H1986" s="13"/>
      <c r="I1986" s="13"/>
      <c r="J1986" s="13"/>
      <c r="K1986" s="13"/>
      <c r="L1986" s="13"/>
      <c r="M1986" s="14"/>
      <c r="N1986" s="13"/>
      <c r="O1986" s="13"/>
    </row>
    <row r="1987" spans="1:15" ht="19.5" customHeight="1" x14ac:dyDescent="0.25">
      <c r="A1987" s="11" t="s">
        <v>3076</v>
      </c>
      <c r="B1987" s="11"/>
      <c r="C1987" s="11" t="s">
        <v>3079</v>
      </c>
      <c r="D1987" s="11" t="s">
        <v>1883</v>
      </c>
      <c r="E1987" s="11" t="s">
        <v>3078</v>
      </c>
      <c r="F1987" s="11" t="s">
        <v>3077</v>
      </c>
      <c r="G1987" s="11" t="s">
        <v>3076</v>
      </c>
      <c r="H1987" s="11"/>
      <c r="I1987" s="11" t="s">
        <v>2186</v>
      </c>
      <c r="J1987" s="11" t="s">
        <v>3075</v>
      </c>
      <c r="K1987" s="11" t="s">
        <v>1952</v>
      </c>
      <c r="L1987" s="11"/>
      <c r="M1987" s="12"/>
      <c r="N1987" s="11"/>
      <c r="O1987" s="11" t="s">
        <v>1945</v>
      </c>
    </row>
    <row r="1988" spans="1:15" ht="19.5" customHeight="1" x14ac:dyDescent="0.25">
      <c r="A1988" s="13" t="s">
        <v>874</v>
      </c>
      <c r="B1988" s="13"/>
      <c r="C1988" s="13" t="s">
        <v>873</v>
      </c>
      <c r="D1988" s="13" t="s">
        <v>1950</v>
      </c>
      <c r="E1988" s="13" t="s">
        <v>3074</v>
      </c>
      <c r="F1988" s="13"/>
      <c r="G1988" s="13" t="s">
        <v>874</v>
      </c>
      <c r="H1988" s="13"/>
      <c r="I1988" s="13" t="s">
        <v>3073</v>
      </c>
      <c r="J1988" s="13" t="s">
        <v>3072</v>
      </c>
      <c r="K1988" s="13" t="s">
        <v>1952</v>
      </c>
      <c r="L1988" s="13"/>
      <c r="M1988" s="14"/>
      <c r="N1988" s="13"/>
      <c r="O1988" s="13" t="s">
        <v>1945</v>
      </c>
    </row>
    <row r="1989" spans="1:15" ht="19.5" customHeight="1" x14ac:dyDescent="0.25">
      <c r="A1989" s="11" t="s">
        <v>3069</v>
      </c>
      <c r="B1989" s="11"/>
      <c r="C1989" s="11" t="s">
        <v>3071</v>
      </c>
      <c r="D1989" s="11" t="s">
        <v>1950</v>
      </c>
      <c r="E1989" s="11" t="s">
        <v>3070</v>
      </c>
      <c r="F1989" s="11"/>
      <c r="G1989" s="11" t="s">
        <v>3069</v>
      </c>
      <c r="H1989" s="11"/>
      <c r="I1989" s="11" t="s">
        <v>1997</v>
      </c>
      <c r="J1989" s="11" t="s">
        <v>3068</v>
      </c>
      <c r="K1989" s="11" t="s">
        <v>1952</v>
      </c>
      <c r="L1989" s="11"/>
      <c r="M1989" s="12"/>
      <c r="N1989" s="11"/>
      <c r="O1989" s="11" t="s">
        <v>2028</v>
      </c>
    </row>
    <row r="1990" spans="1:15" ht="19.5" customHeight="1" x14ac:dyDescent="0.25">
      <c r="A1990" s="13" t="s">
        <v>1442</v>
      </c>
      <c r="B1990" s="13"/>
      <c r="C1990" s="13" t="s">
        <v>1441</v>
      </c>
      <c r="D1990" s="13" t="s">
        <v>1950</v>
      </c>
      <c r="E1990" s="13" t="s">
        <v>3067</v>
      </c>
      <c r="F1990" s="13"/>
      <c r="G1990" s="13" t="s">
        <v>1442</v>
      </c>
      <c r="H1990" s="13"/>
      <c r="I1990" s="13" t="s">
        <v>1948</v>
      </c>
      <c r="J1990" s="13" t="s">
        <v>3066</v>
      </c>
      <c r="K1990" s="13" t="s">
        <v>1952</v>
      </c>
      <c r="L1990" s="13"/>
      <c r="M1990" s="14"/>
      <c r="N1990" s="13"/>
      <c r="O1990" s="13" t="s">
        <v>1945</v>
      </c>
    </row>
    <row r="1991" spans="1:15" ht="19.5" customHeight="1" x14ac:dyDescent="0.25">
      <c r="A1991" s="11" t="s">
        <v>3063</v>
      </c>
      <c r="B1991" s="11"/>
      <c r="C1991" s="11" t="s">
        <v>3065</v>
      </c>
      <c r="D1991" s="11" t="s">
        <v>1950</v>
      </c>
      <c r="E1991" s="11" t="s">
        <v>3064</v>
      </c>
      <c r="F1991" s="11"/>
      <c r="G1991" s="11" t="s">
        <v>3063</v>
      </c>
      <c r="H1991" s="11"/>
      <c r="I1991" s="11" t="s">
        <v>3062</v>
      </c>
      <c r="J1991" s="11" t="s">
        <v>3061</v>
      </c>
      <c r="K1991" s="11" t="s">
        <v>1952</v>
      </c>
      <c r="L1991" s="11"/>
      <c r="M1991" s="12"/>
      <c r="N1991" s="11"/>
      <c r="O1991" s="11" t="s">
        <v>1945</v>
      </c>
    </row>
    <row r="1992" spans="1:15" ht="19.5" customHeight="1" x14ac:dyDescent="0.25">
      <c r="A1992" s="13" t="s">
        <v>1570</v>
      </c>
      <c r="B1992" s="13"/>
      <c r="C1992" s="13" t="s">
        <v>1569</v>
      </c>
      <c r="D1992" s="13" t="s">
        <v>1883</v>
      </c>
      <c r="E1992" s="13" t="s">
        <v>3060</v>
      </c>
      <c r="F1992" s="13"/>
      <c r="G1992" s="13" t="s">
        <v>1570</v>
      </c>
      <c r="H1992" s="13"/>
      <c r="I1992" s="13" t="s">
        <v>3059</v>
      </c>
      <c r="J1992" s="13" t="s">
        <v>3058</v>
      </c>
      <c r="K1992" s="13" t="s">
        <v>1952</v>
      </c>
      <c r="L1992" s="13"/>
      <c r="M1992" s="14"/>
      <c r="N1992" s="13"/>
      <c r="O1992" s="13" t="s">
        <v>1945</v>
      </c>
    </row>
    <row r="1993" spans="1:15" ht="19.5" customHeight="1" x14ac:dyDescent="0.25">
      <c r="A1993" s="11" t="s">
        <v>1492</v>
      </c>
      <c r="B1993" s="11"/>
      <c r="C1993" s="11" t="s">
        <v>1491</v>
      </c>
      <c r="D1993" s="11" t="s">
        <v>1883</v>
      </c>
      <c r="E1993" s="11" t="s">
        <v>3057</v>
      </c>
      <c r="F1993" s="11"/>
      <c r="G1993" s="11" t="s">
        <v>1492</v>
      </c>
      <c r="H1993" s="11"/>
      <c r="I1993" s="11" t="s">
        <v>3056</v>
      </c>
      <c r="J1993" s="11" t="s">
        <v>3055</v>
      </c>
      <c r="K1993" s="11" t="s">
        <v>1952</v>
      </c>
      <c r="L1993" s="11"/>
      <c r="M1993" s="12"/>
      <c r="N1993" s="11"/>
      <c r="O1993" s="11" t="s">
        <v>1945</v>
      </c>
    </row>
    <row r="1994" spans="1:15" ht="19.5" customHeight="1" x14ac:dyDescent="0.25">
      <c r="A1994" s="13" t="s">
        <v>3052</v>
      </c>
      <c r="B1994" s="13"/>
      <c r="C1994" s="13" t="s">
        <v>3054</v>
      </c>
      <c r="D1994" s="13" t="s">
        <v>1950</v>
      </c>
      <c r="E1994" s="13"/>
      <c r="F1994" s="13"/>
      <c r="G1994" s="13" t="s">
        <v>3052</v>
      </c>
      <c r="H1994" s="13"/>
      <c r="I1994" s="13" t="s">
        <v>3048</v>
      </c>
      <c r="J1994" s="15" t="s">
        <v>3051</v>
      </c>
      <c r="K1994" s="13" t="s">
        <v>2033</v>
      </c>
      <c r="L1994" s="13"/>
      <c r="M1994" s="14"/>
      <c r="N1994" s="13"/>
      <c r="O1994" s="13" t="s">
        <v>1945</v>
      </c>
    </row>
    <row r="1995" spans="1:15" ht="19.5" customHeight="1" x14ac:dyDescent="0.25">
      <c r="A1995" s="11" t="s">
        <v>3052</v>
      </c>
      <c r="B1995" s="11"/>
      <c r="C1995" s="11" t="s">
        <v>3053</v>
      </c>
      <c r="D1995" s="11" t="s">
        <v>1950</v>
      </c>
      <c r="E1995" s="11"/>
      <c r="F1995" s="11"/>
      <c r="G1995" s="11" t="s">
        <v>3052</v>
      </c>
      <c r="H1995" s="11"/>
      <c r="I1995" s="11" t="s">
        <v>3048</v>
      </c>
      <c r="J1995" s="16" t="s">
        <v>3051</v>
      </c>
      <c r="K1995" s="11" t="s">
        <v>2033</v>
      </c>
      <c r="L1995" s="11"/>
      <c r="M1995" s="12"/>
      <c r="N1995" s="11"/>
      <c r="O1995" s="11" t="s">
        <v>1945</v>
      </c>
    </row>
    <row r="1996" spans="1:15" ht="19.5" customHeight="1" x14ac:dyDescent="0.25">
      <c r="A1996" s="13" t="s">
        <v>3049</v>
      </c>
      <c r="B1996" s="13"/>
      <c r="C1996" s="13" t="s">
        <v>3050</v>
      </c>
      <c r="D1996" s="13" t="s">
        <v>1950</v>
      </c>
      <c r="E1996" s="13"/>
      <c r="F1996" s="13"/>
      <c r="G1996" s="13" t="s">
        <v>3049</v>
      </c>
      <c r="H1996" s="13"/>
      <c r="I1996" s="13" t="s">
        <v>3048</v>
      </c>
      <c r="J1996" s="13" t="s">
        <v>3047</v>
      </c>
      <c r="K1996" s="13" t="s">
        <v>2033</v>
      </c>
      <c r="L1996" s="13"/>
      <c r="M1996" s="14"/>
      <c r="N1996" s="13"/>
      <c r="O1996" s="13" t="s">
        <v>1945</v>
      </c>
    </row>
    <row r="1997" spans="1:15" ht="19.5" customHeight="1" x14ac:dyDescent="0.25">
      <c r="A1997" s="11" t="s">
        <v>876</v>
      </c>
      <c r="B1997" s="11"/>
      <c r="C1997" s="11" t="s">
        <v>3046</v>
      </c>
      <c r="D1997" s="11" t="s">
        <v>1883</v>
      </c>
      <c r="E1997" s="11" t="s">
        <v>3043</v>
      </c>
      <c r="F1997" s="11"/>
      <c r="G1997" s="11" t="s">
        <v>876</v>
      </c>
      <c r="H1997" s="11" t="s">
        <v>3042</v>
      </c>
      <c r="I1997" s="11" t="s">
        <v>3041</v>
      </c>
      <c r="J1997" s="11" t="s">
        <v>3040</v>
      </c>
      <c r="K1997" s="11" t="s">
        <v>3039</v>
      </c>
      <c r="L1997" s="11"/>
      <c r="M1997" s="12"/>
      <c r="N1997" s="11"/>
      <c r="O1997" s="11" t="s">
        <v>1877</v>
      </c>
    </row>
    <row r="1998" spans="1:15" ht="19.5" customHeight="1" x14ac:dyDescent="0.25">
      <c r="A1998" s="13" t="s">
        <v>876</v>
      </c>
      <c r="B1998" s="13"/>
      <c r="C1998" s="13" t="s">
        <v>3045</v>
      </c>
      <c r="D1998" s="13" t="s">
        <v>1883</v>
      </c>
      <c r="E1998" s="13" t="s">
        <v>3043</v>
      </c>
      <c r="F1998" s="13"/>
      <c r="G1998" s="13" t="s">
        <v>876</v>
      </c>
      <c r="H1998" s="13" t="s">
        <v>3042</v>
      </c>
      <c r="I1998" s="13" t="s">
        <v>3041</v>
      </c>
      <c r="J1998" s="13" t="s">
        <v>3040</v>
      </c>
      <c r="K1998" s="13" t="s">
        <v>3039</v>
      </c>
      <c r="L1998" s="13"/>
      <c r="M1998" s="14"/>
      <c r="N1998" s="13"/>
      <c r="O1998" s="13" t="s">
        <v>1877</v>
      </c>
    </row>
    <row r="1999" spans="1:15" ht="19.5" customHeight="1" x14ac:dyDescent="0.25">
      <c r="A1999" s="11" t="s">
        <v>876</v>
      </c>
      <c r="B1999" s="11"/>
      <c r="C1999" s="11" t="s">
        <v>3044</v>
      </c>
      <c r="D1999" s="11" t="s">
        <v>1883</v>
      </c>
      <c r="E1999" s="11" t="s">
        <v>3043</v>
      </c>
      <c r="F1999" s="11"/>
      <c r="G1999" s="11" t="s">
        <v>876</v>
      </c>
      <c r="H1999" s="11" t="s">
        <v>3042</v>
      </c>
      <c r="I1999" s="11" t="s">
        <v>3041</v>
      </c>
      <c r="J1999" s="11" t="s">
        <v>3040</v>
      </c>
      <c r="K1999" s="11" t="s">
        <v>3039</v>
      </c>
      <c r="L1999" s="11"/>
      <c r="M1999" s="12"/>
      <c r="N1999" s="11"/>
      <c r="O1999" s="11" t="s">
        <v>1877</v>
      </c>
    </row>
    <row r="2000" spans="1:15" ht="19.5" customHeight="1" x14ac:dyDescent="0.25">
      <c r="A2000" s="13" t="s">
        <v>3036</v>
      </c>
      <c r="B2000" s="13"/>
      <c r="C2000" s="13" t="s">
        <v>3038</v>
      </c>
      <c r="D2000" s="13" t="s">
        <v>1883</v>
      </c>
      <c r="E2000" s="13" t="s">
        <v>3037</v>
      </c>
      <c r="F2000" s="13"/>
      <c r="G2000" s="13" t="s">
        <v>3036</v>
      </c>
      <c r="H2000" s="13"/>
      <c r="I2000" s="13"/>
      <c r="J2000" s="13"/>
      <c r="K2000" s="13"/>
      <c r="L2000" s="13"/>
      <c r="M2000" s="14"/>
      <c r="N2000" s="13"/>
      <c r="O2000" s="13" t="s">
        <v>1916</v>
      </c>
    </row>
    <row r="2001" spans="1:15" ht="19.5" customHeight="1" x14ac:dyDescent="0.25">
      <c r="A2001" s="11" t="s">
        <v>878</v>
      </c>
      <c r="B2001" s="11"/>
      <c r="C2001" s="11" t="s">
        <v>3035</v>
      </c>
      <c r="D2001" s="11" t="s">
        <v>1883</v>
      </c>
      <c r="E2001" s="11" t="s">
        <v>3032</v>
      </c>
      <c r="F2001" s="11"/>
      <c r="G2001" s="11" t="s">
        <v>878</v>
      </c>
      <c r="H2001" s="11"/>
      <c r="I2001" s="11" t="s">
        <v>3030</v>
      </c>
      <c r="J2001" s="11" t="s">
        <v>3029</v>
      </c>
      <c r="K2001" s="11" t="s">
        <v>3034</v>
      </c>
      <c r="L2001" s="11"/>
      <c r="M2001" s="12"/>
      <c r="N2001" s="11"/>
      <c r="O2001" s="11" t="s">
        <v>1877</v>
      </c>
    </row>
    <row r="2002" spans="1:15" ht="19.5" customHeight="1" x14ac:dyDescent="0.25">
      <c r="A2002" s="13" t="s">
        <v>3031</v>
      </c>
      <c r="B2002" s="13"/>
      <c r="C2002" s="13" t="s">
        <v>3033</v>
      </c>
      <c r="D2002" s="13" t="s">
        <v>1883</v>
      </c>
      <c r="E2002" s="13" t="s">
        <v>3032</v>
      </c>
      <c r="F2002" s="13"/>
      <c r="G2002" s="13" t="s">
        <v>3031</v>
      </c>
      <c r="H2002" s="13"/>
      <c r="I2002" s="13" t="s">
        <v>3030</v>
      </c>
      <c r="J2002" s="13" t="s">
        <v>3029</v>
      </c>
      <c r="K2002" s="13" t="s">
        <v>1878</v>
      </c>
      <c r="L2002" s="13"/>
      <c r="M2002" s="14"/>
      <c r="N2002" s="13"/>
      <c r="O2002" s="13" t="s">
        <v>1877</v>
      </c>
    </row>
    <row r="2003" spans="1:15" ht="19.5" customHeight="1" x14ac:dyDescent="0.25">
      <c r="A2003" s="11" t="s">
        <v>880</v>
      </c>
      <c r="B2003" s="11"/>
      <c r="C2003" s="11" t="s">
        <v>3028</v>
      </c>
      <c r="D2003" s="11" t="s">
        <v>1883</v>
      </c>
      <c r="E2003" s="11" t="s">
        <v>3025</v>
      </c>
      <c r="F2003" s="11"/>
      <c r="G2003" s="11" t="s">
        <v>880</v>
      </c>
      <c r="H2003" s="11" t="s">
        <v>3024</v>
      </c>
      <c r="I2003" s="11" t="s">
        <v>3023</v>
      </c>
      <c r="J2003" s="11" t="s">
        <v>3022</v>
      </c>
      <c r="K2003" s="11" t="s">
        <v>3021</v>
      </c>
      <c r="L2003" s="11"/>
      <c r="M2003" s="12"/>
      <c r="N2003" s="11"/>
      <c r="O2003" s="11" t="s">
        <v>1877</v>
      </c>
    </row>
    <row r="2004" spans="1:15" ht="19.5" customHeight="1" x14ac:dyDescent="0.25">
      <c r="A2004" s="13" t="s">
        <v>880</v>
      </c>
      <c r="B2004" s="13"/>
      <c r="C2004" s="13" t="s">
        <v>3027</v>
      </c>
      <c r="D2004" s="13" t="s">
        <v>1883</v>
      </c>
      <c r="E2004" s="13" t="s">
        <v>3025</v>
      </c>
      <c r="F2004" s="13"/>
      <c r="G2004" s="13" t="s">
        <v>880</v>
      </c>
      <c r="H2004" s="13" t="s">
        <v>3024</v>
      </c>
      <c r="I2004" s="13" t="s">
        <v>3023</v>
      </c>
      <c r="J2004" s="13" t="s">
        <v>3022</v>
      </c>
      <c r="K2004" s="13" t="s">
        <v>3021</v>
      </c>
      <c r="L2004" s="13"/>
      <c r="M2004" s="14"/>
      <c r="N2004" s="13"/>
      <c r="O2004" s="13" t="s">
        <v>1877</v>
      </c>
    </row>
    <row r="2005" spans="1:15" ht="19.5" customHeight="1" x14ac:dyDescent="0.25">
      <c r="A2005" s="11" t="s">
        <v>880</v>
      </c>
      <c r="B2005" s="11"/>
      <c r="C2005" s="11" t="s">
        <v>3026</v>
      </c>
      <c r="D2005" s="11" t="s">
        <v>1883</v>
      </c>
      <c r="E2005" s="11" t="s">
        <v>3025</v>
      </c>
      <c r="F2005" s="11"/>
      <c r="G2005" s="11" t="s">
        <v>880</v>
      </c>
      <c r="H2005" s="11" t="s">
        <v>3024</v>
      </c>
      <c r="I2005" s="11" t="s">
        <v>3023</v>
      </c>
      <c r="J2005" s="11" t="s">
        <v>3022</v>
      </c>
      <c r="K2005" s="11" t="s">
        <v>3021</v>
      </c>
      <c r="L2005" s="11"/>
      <c r="M2005" s="12"/>
      <c r="N2005" s="11"/>
      <c r="O2005" s="11" t="s">
        <v>1877</v>
      </c>
    </row>
    <row r="2006" spans="1:15" ht="19.5" customHeight="1" x14ac:dyDescent="0.25">
      <c r="A2006" s="13" t="s">
        <v>1494</v>
      </c>
      <c r="B2006" s="13"/>
      <c r="C2006" s="13" t="s">
        <v>3020</v>
      </c>
      <c r="D2006" s="13" t="s">
        <v>1883</v>
      </c>
      <c r="E2006" s="13" t="s">
        <v>3019</v>
      </c>
      <c r="F2006" s="13"/>
      <c r="G2006" s="13" t="s">
        <v>1494</v>
      </c>
      <c r="H2006" s="13"/>
      <c r="I2006" s="13" t="s">
        <v>3018</v>
      </c>
      <c r="J2006" s="13" t="s">
        <v>3017</v>
      </c>
      <c r="K2006" s="13" t="s">
        <v>3016</v>
      </c>
      <c r="L2006" s="13"/>
      <c r="M2006" s="14"/>
      <c r="N2006" s="13"/>
      <c r="O2006" s="13" t="s">
        <v>1877</v>
      </c>
    </row>
    <row r="2007" spans="1:15" ht="19.5" customHeight="1" x14ac:dyDescent="0.25">
      <c r="A2007" s="11" t="s">
        <v>882</v>
      </c>
      <c r="B2007" s="11"/>
      <c r="C2007" s="11" t="s">
        <v>3015</v>
      </c>
      <c r="D2007" s="11" t="s">
        <v>1883</v>
      </c>
      <c r="E2007" s="11" t="s">
        <v>3012</v>
      </c>
      <c r="F2007" s="11"/>
      <c r="G2007" s="11" t="s">
        <v>882</v>
      </c>
      <c r="H2007" s="11" t="s">
        <v>3011</v>
      </c>
      <c r="I2007" s="11" t="s">
        <v>3010</v>
      </c>
      <c r="J2007" s="11" t="s">
        <v>3009</v>
      </c>
      <c r="K2007" s="11" t="s">
        <v>1878</v>
      </c>
      <c r="L2007" s="11"/>
      <c r="M2007" s="12"/>
      <c r="N2007" s="11"/>
      <c r="O2007" s="11" t="s">
        <v>1877</v>
      </c>
    </row>
    <row r="2008" spans="1:15" ht="19.5" customHeight="1" x14ac:dyDescent="0.25">
      <c r="A2008" s="13" t="s">
        <v>882</v>
      </c>
      <c r="B2008" s="13"/>
      <c r="C2008" s="13" t="s">
        <v>3014</v>
      </c>
      <c r="D2008" s="13" t="s">
        <v>1883</v>
      </c>
      <c r="E2008" s="13" t="s">
        <v>3012</v>
      </c>
      <c r="F2008" s="13"/>
      <c r="G2008" s="13" t="s">
        <v>882</v>
      </c>
      <c r="H2008" s="13" t="s">
        <v>3011</v>
      </c>
      <c r="I2008" s="13" t="s">
        <v>3010</v>
      </c>
      <c r="J2008" s="13" t="s">
        <v>3009</v>
      </c>
      <c r="K2008" s="13" t="s">
        <v>1878</v>
      </c>
      <c r="L2008" s="13"/>
      <c r="M2008" s="14"/>
      <c r="N2008" s="13"/>
      <c r="O2008" s="13" t="s">
        <v>1877</v>
      </c>
    </row>
    <row r="2009" spans="1:15" ht="19.5" customHeight="1" x14ac:dyDescent="0.25">
      <c r="A2009" s="11" t="s">
        <v>882</v>
      </c>
      <c r="B2009" s="11"/>
      <c r="C2009" s="11" t="s">
        <v>3013</v>
      </c>
      <c r="D2009" s="11" t="s">
        <v>1883</v>
      </c>
      <c r="E2009" s="11" t="s">
        <v>3012</v>
      </c>
      <c r="F2009" s="11"/>
      <c r="G2009" s="11" t="s">
        <v>882</v>
      </c>
      <c r="H2009" s="11" t="s">
        <v>3011</v>
      </c>
      <c r="I2009" s="11" t="s">
        <v>3010</v>
      </c>
      <c r="J2009" s="11" t="s">
        <v>3009</v>
      </c>
      <c r="K2009" s="11" t="s">
        <v>1878</v>
      </c>
      <c r="L2009" s="11"/>
      <c r="M2009" s="12"/>
      <c r="N2009" s="11"/>
      <c r="O2009" s="11" t="s">
        <v>1877</v>
      </c>
    </row>
    <row r="2010" spans="1:15" ht="19.5" customHeight="1" x14ac:dyDescent="0.25">
      <c r="A2010" s="13" t="s">
        <v>3008</v>
      </c>
      <c r="B2010" s="13"/>
      <c r="C2010" s="13" t="s">
        <v>3007</v>
      </c>
      <c r="D2010" s="13" t="s">
        <v>1883</v>
      </c>
      <c r="E2010" s="13" t="s">
        <v>3006</v>
      </c>
      <c r="F2010" s="13"/>
      <c r="G2010" s="13" t="s">
        <v>3005</v>
      </c>
      <c r="H2010" s="13"/>
      <c r="I2010" s="13" t="s">
        <v>3004</v>
      </c>
      <c r="J2010" s="13" t="s">
        <v>3003</v>
      </c>
      <c r="K2010" s="13" t="s">
        <v>3002</v>
      </c>
      <c r="L2010" s="13"/>
      <c r="M2010" s="14"/>
      <c r="N2010" s="13"/>
      <c r="O2010" s="13" t="s">
        <v>1877</v>
      </c>
    </row>
    <row r="2011" spans="1:15" ht="19.5" customHeight="1" x14ac:dyDescent="0.25">
      <c r="A2011" s="11" t="s">
        <v>3000</v>
      </c>
      <c r="B2011" s="11"/>
      <c r="C2011" s="11" t="s">
        <v>3001</v>
      </c>
      <c r="D2011" s="11" t="s">
        <v>1883</v>
      </c>
      <c r="E2011" s="11"/>
      <c r="F2011" s="11"/>
      <c r="G2011" s="11" t="s">
        <v>3000</v>
      </c>
      <c r="H2011" s="11"/>
      <c r="I2011" s="11"/>
      <c r="J2011" s="11"/>
      <c r="K2011" s="11"/>
      <c r="L2011" s="11"/>
      <c r="M2011" s="12"/>
      <c r="N2011" s="11"/>
      <c r="O2011" s="11"/>
    </row>
    <row r="2012" spans="1:15" ht="19.5" customHeight="1" x14ac:dyDescent="0.25">
      <c r="A2012" s="13" t="s">
        <v>884</v>
      </c>
      <c r="B2012" s="13"/>
      <c r="C2012" s="13" t="s">
        <v>2999</v>
      </c>
      <c r="D2012" s="13" t="s">
        <v>1883</v>
      </c>
      <c r="E2012" s="13" t="s">
        <v>2998</v>
      </c>
      <c r="F2012" s="13"/>
      <c r="G2012" s="13" t="s">
        <v>884</v>
      </c>
      <c r="H2012" s="13" t="s">
        <v>2994</v>
      </c>
      <c r="I2012" s="13" t="s">
        <v>2993</v>
      </c>
      <c r="J2012" s="13" t="s">
        <v>2992</v>
      </c>
      <c r="K2012" s="13" t="s">
        <v>1878</v>
      </c>
      <c r="L2012" s="13"/>
      <c r="M2012" s="14"/>
      <c r="N2012" s="13"/>
      <c r="O2012" s="13" t="s">
        <v>1877</v>
      </c>
    </row>
    <row r="2013" spans="1:15" ht="19.5" customHeight="1" x14ac:dyDescent="0.25">
      <c r="A2013" s="11" t="s">
        <v>884</v>
      </c>
      <c r="B2013" s="11"/>
      <c r="C2013" s="11" t="s">
        <v>2997</v>
      </c>
      <c r="D2013" s="11" t="s">
        <v>1883</v>
      </c>
      <c r="E2013" s="11" t="s">
        <v>2995</v>
      </c>
      <c r="F2013" s="11"/>
      <c r="G2013" s="11" t="s">
        <v>884</v>
      </c>
      <c r="H2013" s="11" t="s">
        <v>2994</v>
      </c>
      <c r="I2013" s="11" t="s">
        <v>2993</v>
      </c>
      <c r="J2013" s="11" t="s">
        <v>2992</v>
      </c>
      <c r="K2013" s="11" t="s">
        <v>1878</v>
      </c>
      <c r="L2013" s="11"/>
      <c r="M2013" s="12"/>
      <c r="N2013" s="11"/>
      <c r="O2013" s="11" t="s">
        <v>1877</v>
      </c>
    </row>
    <row r="2014" spans="1:15" ht="19.5" customHeight="1" x14ac:dyDescent="0.25">
      <c r="A2014" s="13" t="s">
        <v>884</v>
      </c>
      <c r="B2014" s="13"/>
      <c r="C2014" s="13" t="s">
        <v>2996</v>
      </c>
      <c r="D2014" s="13" t="s">
        <v>1883</v>
      </c>
      <c r="E2014" s="13" t="s">
        <v>2995</v>
      </c>
      <c r="F2014" s="13"/>
      <c r="G2014" s="13" t="s">
        <v>884</v>
      </c>
      <c r="H2014" s="13" t="s">
        <v>2994</v>
      </c>
      <c r="I2014" s="13" t="s">
        <v>2993</v>
      </c>
      <c r="J2014" s="13" t="s">
        <v>2992</v>
      </c>
      <c r="K2014" s="13" t="s">
        <v>1878</v>
      </c>
      <c r="L2014" s="13"/>
      <c r="M2014" s="14"/>
      <c r="N2014" s="13"/>
      <c r="O2014" s="13" t="s">
        <v>1877</v>
      </c>
    </row>
    <row r="2015" spans="1:15" ht="19.5" customHeight="1" x14ac:dyDescent="0.25">
      <c r="A2015" s="11" t="s">
        <v>886</v>
      </c>
      <c r="B2015" s="11"/>
      <c r="C2015" s="11" t="s">
        <v>2991</v>
      </c>
      <c r="D2015" s="11" t="s">
        <v>1883</v>
      </c>
      <c r="E2015" s="11" t="s">
        <v>2988</v>
      </c>
      <c r="F2015" s="11"/>
      <c r="G2015" s="11" t="s">
        <v>886</v>
      </c>
      <c r="H2015" s="11" t="s">
        <v>2987</v>
      </c>
      <c r="I2015" s="11" t="s">
        <v>2986</v>
      </c>
      <c r="J2015" s="11" t="s">
        <v>2985</v>
      </c>
      <c r="K2015" s="11" t="s">
        <v>2093</v>
      </c>
      <c r="L2015" s="11"/>
      <c r="M2015" s="12"/>
      <c r="N2015" s="11"/>
      <c r="O2015" s="11" t="s">
        <v>1877</v>
      </c>
    </row>
    <row r="2016" spans="1:15" ht="19.5" customHeight="1" x14ac:dyDescent="0.25">
      <c r="A2016" s="13" t="s">
        <v>886</v>
      </c>
      <c r="B2016" s="13"/>
      <c r="C2016" s="13" t="s">
        <v>2990</v>
      </c>
      <c r="D2016" s="13" t="s">
        <v>1883</v>
      </c>
      <c r="E2016" s="13" t="s">
        <v>2988</v>
      </c>
      <c r="F2016" s="13"/>
      <c r="G2016" s="13" t="s">
        <v>886</v>
      </c>
      <c r="H2016" s="13" t="s">
        <v>2987</v>
      </c>
      <c r="I2016" s="13" t="s">
        <v>2986</v>
      </c>
      <c r="J2016" s="13" t="s">
        <v>2985</v>
      </c>
      <c r="K2016" s="13" t="s">
        <v>2093</v>
      </c>
      <c r="L2016" s="13"/>
      <c r="M2016" s="14"/>
      <c r="N2016" s="13"/>
      <c r="O2016" s="13" t="s">
        <v>1877</v>
      </c>
    </row>
    <row r="2017" spans="1:15" ht="19.5" customHeight="1" x14ac:dyDescent="0.25">
      <c r="A2017" s="11" t="s">
        <v>886</v>
      </c>
      <c r="B2017" s="11"/>
      <c r="C2017" s="11" t="s">
        <v>2989</v>
      </c>
      <c r="D2017" s="11" t="s">
        <v>1883</v>
      </c>
      <c r="E2017" s="11" t="s">
        <v>2988</v>
      </c>
      <c r="F2017" s="11"/>
      <c r="G2017" s="11" t="s">
        <v>886</v>
      </c>
      <c r="H2017" s="11" t="s">
        <v>2987</v>
      </c>
      <c r="I2017" s="11" t="s">
        <v>2986</v>
      </c>
      <c r="J2017" s="11" t="s">
        <v>2985</v>
      </c>
      <c r="K2017" s="11" t="s">
        <v>2093</v>
      </c>
      <c r="L2017" s="11"/>
      <c r="M2017" s="12"/>
      <c r="N2017" s="11"/>
      <c r="O2017" s="11" t="s">
        <v>1877</v>
      </c>
    </row>
    <row r="2018" spans="1:15" ht="19.5" customHeight="1" x14ac:dyDescent="0.25">
      <c r="A2018" s="13" t="s">
        <v>888</v>
      </c>
      <c r="B2018" s="13"/>
      <c r="C2018" s="13" t="s">
        <v>2984</v>
      </c>
      <c r="D2018" s="13" t="s">
        <v>1883</v>
      </c>
      <c r="E2018" s="13" t="s">
        <v>2977</v>
      </c>
      <c r="F2018" s="13"/>
      <c r="G2018" s="13" t="s">
        <v>888</v>
      </c>
      <c r="H2018" s="13" t="s">
        <v>2981</v>
      </c>
      <c r="I2018" s="13" t="s">
        <v>2980</v>
      </c>
      <c r="J2018" s="13" t="s">
        <v>2979</v>
      </c>
      <c r="K2018" s="13" t="s">
        <v>2976</v>
      </c>
      <c r="L2018" s="13"/>
      <c r="M2018" s="14"/>
      <c r="N2018" s="13"/>
      <c r="O2018" s="13" t="s">
        <v>1877</v>
      </c>
    </row>
    <row r="2019" spans="1:15" ht="19.5" customHeight="1" x14ac:dyDescent="0.25">
      <c r="A2019" s="11" t="s">
        <v>888</v>
      </c>
      <c r="B2019" s="11"/>
      <c r="C2019" s="11" t="s">
        <v>2983</v>
      </c>
      <c r="D2019" s="11" t="s">
        <v>1883</v>
      </c>
      <c r="E2019" s="11" t="s">
        <v>2977</v>
      </c>
      <c r="F2019" s="11"/>
      <c r="G2019" s="11" t="s">
        <v>888</v>
      </c>
      <c r="H2019" s="11" t="s">
        <v>2981</v>
      </c>
      <c r="I2019" s="11" t="s">
        <v>2980</v>
      </c>
      <c r="J2019" s="11" t="s">
        <v>2979</v>
      </c>
      <c r="K2019" s="11" t="s">
        <v>2976</v>
      </c>
      <c r="L2019" s="11"/>
      <c r="M2019" s="12"/>
      <c r="N2019" s="11"/>
      <c r="O2019" s="11" t="s">
        <v>1877</v>
      </c>
    </row>
    <row r="2020" spans="1:15" ht="19.5" customHeight="1" x14ac:dyDescent="0.25">
      <c r="A2020" s="13" t="s">
        <v>888</v>
      </c>
      <c r="B2020" s="13"/>
      <c r="C2020" s="13" t="s">
        <v>2982</v>
      </c>
      <c r="D2020" s="13" t="s">
        <v>1883</v>
      </c>
      <c r="E2020" s="13" t="s">
        <v>2977</v>
      </c>
      <c r="F2020" s="13"/>
      <c r="G2020" s="13" t="s">
        <v>888</v>
      </c>
      <c r="H2020" s="13" t="s">
        <v>2981</v>
      </c>
      <c r="I2020" s="13" t="s">
        <v>2980</v>
      </c>
      <c r="J2020" s="13" t="s">
        <v>2979</v>
      </c>
      <c r="K2020" s="13" t="s">
        <v>2976</v>
      </c>
      <c r="L2020" s="13"/>
      <c r="M2020" s="14"/>
      <c r="N2020" s="13"/>
      <c r="O2020" s="13" t="s">
        <v>1877</v>
      </c>
    </row>
    <row r="2021" spans="1:15" ht="19.5" customHeight="1" x14ac:dyDescent="0.25">
      <c r="A2021" s="11" t="s">
        <v>888</v>
      </c>
      <c r="B2021" s="11"/>
      <c r="C2021" s="11" t="s">
        <v>2978</v>
      </c>
      <c r="D2021" s="11" t="s">
        <v>1883</v>
      </c>
      <c r="E2021" s="11" t="s">
        <v>2977</v>
      </c>
      <c r="F2021" s="11"/>
      <c r="G2021" s="11" t="s">
        <v>888</v>
      </c>
      <c r="H2021" s="11"/>
      <c r="I2021" s="11"/>
      <c r="J2021" s="11"/>
      <c r="K2021" s="11" t="s">
        <v>2976</v>
      </c>
      <c r="L2021" s="11"/>
      <c r="M2021" s="12"/>
      <c r="N2021" s="11"/>
      <c r="O2021" s="11" t="s">
        <v>1916</v>
      </c>
    </row>
    <row r="2022" spans="1:15" ht="19.5" customHeight="1" x14ac:dyDescent="0.25">
      <c r="A2022" s="13" t="s">
        <v>2973</v>
      </c>
      <c r="B2022" s="13"/>
      <c r="C2022" s="13" t="s">
        <v>2975</v>
      </c>
      <c r="D2022" s="13" t="s">
        <v>1950</v>
      </c>
      <c r="E2022" s="13" t="s">
        <v>1952</v>
      </c>
      <c r="F2022" s="13"/>
      <c r="G2022" s="13" t="s">
        <v>2973</v>
      </c>
      <c r="H2022" s="13"/>
      <c r="I2022" s="13"/>
      <c r="J2022" s="13"/>
      <c r="K2022" s="13"/>
      <c r="L2022" s="13"/>
      <c r="M2022" s="14"/>
      <c r="N2022" s="13"/>
      <c r="O2022" s="13" t="s">
        <v>2808</v>
      </c>
    </row>
    <row r="2023" spans="1:15" ht="19.5" customHeight="1" x14ac:dyDescent="0.25">
      <c r="A2023" s="11" t="s">
        <v>2973</v>
      </c>
      <c r="B2023" s="11"/>
      <c r="C2023" s="11" t="s">
        <v>2974</v>
      </c>
      <c r="D2023" s="11" t="s">
        <v>1950</v>
      </c>
      <c r="E2023" s="11" t="s">
        <v>2806</v>
      </c>
      <c r="F2023" s="11"/>
      <c r="G2023" s="11" t="s">
        <v>2973</v>
      </c>
      <c r="H2023" s="11"/>
      <c r="I2023" s="11"/>
      <c r="J2023" s="11"/>
      <c r="K2023" s="11"/>
      <c r="L2023" s="11"/>
      <c r="M2023" s="12"/>
      <c r="N2023" s="11"/>
      <c r="O2023" s="11" t="s">
        <v>2805</v>
      </c>
    </row>
    <row r="2024" spans="1:15" ht="19.5" customHeight="1" x14ac:dyDescent="0.25">
      <c r="A2024" s="13" t="s">
        <v>1454</v>
      </c>
      <c r="B2024" s="13"/>
      <c r="C2024" s="13" t="s">
        <v>2972</v>
      </c>
      <c r="D2024" s="13" t="s">
        <v>1883</v>
      </c>
      <c r="E2024" s="13" t="s">
        <v>2971</v>
      </c>
      <c r="F2024" s="13"/>
      <c r="G2024" s="13" t="s">
        <v>1454</v>
      </c>
      <c r="H2024" s="13"/>
      <c r="I2024" s="13" t="s">
        <v>2970</v>
      </c>
      <c r="J2024" s="13" t="s">
        <v>2969</v>
      </c>
      <c r="K2024" s="13" t="s">
        <v>2968</v>
      </c>
      <c r="L2024" s="13"/>
      <c r="M2024" s="14"/>
      <c r="N2024" s="13"/>
      <c r="O2024" s="13" t="s">
        <v>1877</v>
      </c>
    </row>
    <row r="2025" spans="1:15" ht="19.5" customHeight="1" x14ac:dyDescent="0.25">
      <c r="A2025" s="11" t="s">
        <v>8914</v>
      </c>
      <c r="B2025" s="11"/>
      <c r="C2025" s="11" t="s">
        <v>8913</v>
      </c>
      <c r="D2025" s="11" t="s">
        <v>1883</v>
      </c>
      <c r="E2025" s="11" t="s">
        <v>8924</v>
      </c>
      <c r="F2025" s="11"/>
      <c r="G2025" s="11" t="s">
        <v>8914</v>
      </c>
      <c r="H2025" s="11"/>
      <c r="I2025" s="11" t="s">
        <v>8925</v>
      </c>
      <c r="J2025" s="11" t="s">
        <v>8926</v>
      </c>
      <c r="K2025" s="11" t="s">
        <v>1878</v>
      </c>
      <c r="L2025" s="11"/>
      <c r="M2025" s="12"/>
      <c r="N2025" s="11"/>
      <c r="O2025" s="11" t="s">
        <v>2028</v>
      </c>
    </row>
    <row r="2026" spans="1:15" ht="19.5" customHeight="1" x14ac:dyDescent="0.25">
      <c r="A2026" s="13" t="s">
        <v>8914</v>
      </c>
      <c r="B2026" s="13"/>
      <c r="C2026" s="13" t="s">
        <v>8927</v>
      </c>
      <c r="D2026" s="13" t="s">
        <v>1883</v>
      </c>
      <c r="E2026" s="13" t="s">
        <v>8924</v>
      </c>
      <c r="F2026" s="13"/>
      <c r="G2026" s="13" t="s">
        <v>8914</v>
      </c>
      <c r="H2026" s="13"/>
      <c r="I2026" s="13" t="s">
        <v>8925</v>
      </c>
      <c r="J2026" s="13" t="s">
        <v>8926</v>
      </c>
      <c r="K2026" s="13" t="s">
        <v>1878</v>
      </c>
      <c r="L2026" s="13"/>
      <c r="M2026" s="14"/>
      <c r="N2026" s="13"/>
      <c r="O2026" s="13" t="s">
        <v>2028</v>
      </c>
    </row>
    <row r="2027" spans="1:15" ht="19.5" customHeight="1" x14ac:dyDescent="0.25">
      <c r="A2027" s="11" t="s">
        <v>1110</v>
      </c>
      <c r="B2027" s="11"/>
      <c r="C2027" s="11" t="s">
        <v>2963</v>
      </c>
      <c r="D2027" s="11" t="s">
        <v>1883</v>
      </c>
      <c r="E2027" s="11" t="s">
        <v>2966</v>
      </c>
      <c r="F2027" s="11"/>
      <c r="G2027" s="11" t="s">
        <v>1110</v>
      </c>
      <c r="H2027" s="11"/>
      <c r="I2027" s="11" t="s">
        <v>2962</v>
      </c>
      <c r="J2027" s="11" t="s">
        <v>2961</v>
      </c>
      <c r="K2027" s="11" t="s">
        <v>2093</v>
      </c>
      <c r="L2027" s="11"/>
      <c r="M2027" s="12"/>
      <c r="N2027" s="11"/>
      <c r="O2027" s="11" t="s">
        <v>1877</v>
      </c>
    </row>
    <row r="2028" spans="1:15" ht="19.5" customHeight="1" x14ac:dyDescent="0.25">
      <c r="A2028" s="13" t="s">
        <v>1110</v>
      </c>
      <c r="B2028" s="13"/>
      <c r="C2028" s="13" t="s">
        <v>2967</v>
      </c>
      <c r="D2028" s="13" t="s">
        <v>1883</v>
      </c>
      <c r="E2028" s="13" t="s">
        <v>2966</v>
      </c>
      <c r="F2028" s="13"/>
      <c r="G2028" s="13" t="s">
        <v>1110</v>
      </c>
      <c r="H2028" s="13"/>
      <c r="I2028" s="13" t="s">
        <v>2965</v>
      </c>
      <c r="J2028" s="13" t="s">
        <v>2964</v>
      </c>
      <c r="K2028" s="13" t="s">
        <v>2093</v>
      </c>
      <c r="L2028" s="13"/>
      <c r="M2028" s="14"/>
      <c r="N2028" s="13"/>
      <c r="O2028" s="13" t="s">
        <v>1877</v>
      </c>
    </row>
    <row r="2029" spans="1:15" ht="19.5" customHeight="1" x14ac:dyDescent="0.25">
      <c r="A2029" s="11" t="s">
        <v>890</v>
      </c>
      <c r="B2029" s="11"/>
      <c r="C2029" s="11" t="s">
        <v>2955</v>
      </c>
      <c r="D2029" s="11" t="s">
        <v>1950</v>
      </c>
      <c r="E2029" s="11" t="s">
        <v>2954</v>
      </c>
      <c r="F2029" s="11"/>
      <c r="G2029" s="11" t="s">
        <v>890</v>
      </c>
      <c r="H2029" s="11"/>
      <c r="I2029" s="11"/>
      <c r="J2029" s="11"/>
      <c r="K2029" s="11" t="s">
        <v>2953</v>
      </c>
      <c r="L2029" s="11"/>
      <c r="M2029" s="12"/>
      <c r="N2029" s="11"/>
      <c r="O2029" s="11" t="s">
        <v>1916</v>
      </c>
    </row>
    <row r="2030" spans="1:15" ht="19.5" customHeight="1" x14ac:dyDescent="0.25">
      <c r="A2030" s="13" t="s">
        <v>890</v>
      </c>
      <c r="B2030" s="13"/>
      <c r="C2030" s="13" t="s">
        <v>2960</v>
      </c>
      <c r="D2030" s="13" t="s">
        <v>1883</v>
      </c>
      <c r="E2030" s="13" t="s">
        <v>2959</v>
      </c>
      <c r="F2030" s="13"/>
      <c r="G2030" s="13" t="s">
        <v>890</v>
      </c>
      <c r="H2030" s="13" t="s">
        <v>2958</v>
      </c>
      <c r="I2030" s="13" t="s">
        <v>2957</v>
      </c>
      <c r="J2030" s="13" t="s">
        <v>2956</v>
      </c>
      <c r="K2030" s="13" t="s">
        <v>2953</v>
      </c>
      <c r="L2030" s="13"/>
      <c r="M2030" s="14"/>
      <c r="N2030" s="13"/>
      <c r="O2030" s="13" t="s">
        <v>1877</v>
      </c>
    </row>
    <row r="2031" spans="1:15" ht="19.5" customHeight="1" x14ac:dyDescent="0.25">
      <c r="A2031" s="11" t="s">
        <v>892</v>
      </c>
      <c r="B2031" s="11"/>
      <c r="C2031" s="11" t="s">
        <v>2952</v>
      </c>
      <c r="D2031" s="11" t="s">
        <v>1883</v>
      </c>
      <c r="E2031" s="11" t="s">
        <v>2949</v>
      </c>
      <c r="F2031" s="11"/>
      <c r="G2031" s="11" t="s">
        <v>892</v>
      </c>
      <c r="H2031" s="11"/>
      <c r="I2031" s="11" t="s">
        <v>2948</v>
      </c>
      <c r="J2031" s="11" t="s">
        <v>2947</v>
      </c>
      <c r="K2031" s="11" t="s">
        <v>2093</v>
      </c>
      <c r="L2031" s="11"/>
      <c r="M2031" s="12"/>
      <c r="N2031" s="11"/>
      <c r="O2031" s="11" t="s">
        <v>1877</v>
      </c>
    </row>
    <row r="2032" spans="1:15" ht="19.5" customHeight="1" x14ac:dyDescent="0.25">
      <c r="A2032" s="13" t="s">
        <v>892</v>
      </c>
      <c r="B2032" s="13"/>
      <c r="C2032" s="13" t="s">
        <v>2951</v>
      </c>
      <c r="D2032" s="13" t="s">
        <v>1883</v>
      </c>
      <c r="E2032" s="13" t="s">
        <v>2949</v>
      </c>
      <c r="F2032" s="13"/>
      <c r="G2032" s="13" t="s">
        <v>892</v>
      </c>
      <c r="H2032" s="13"/>
      <c r="I2032" s="13" t="s">
        <v>2948</v>
      </c>
      <c r="J2032" s="13" t="s">
        <v>2947</v>
      </c>
      <c r="K2032" s="13" t="s">
        <v>2093</v>
      </c>
      <c r="L2032" s="13"/>
      <c r="M2032" s="14"/>
      <c r="N2032" s="13"/>
      <c r="O2032" s="13" t="s">
        <v>1877</v>
      </c>
    </row>
    <row r="2033" spans="1:15" ht="19.5" customHeight="1" x14ac:dyDescent="0.25">
      <c r="A2033" s="11" t="s">
        <v>892</v>
      </c>
      <c r="B2033" s="11"/>
      <c r="C2033" s="11" t="s">
        <v>2950</v>
      </c>
      <c r="D2033" s="11" t="s">
        <v>1883</v>
      </c>
      <c r="E2033" s="11" t="s">
        <v>2949</v>
      </c>
      <c r="F2033" s="11"/>
      <c r="G2033" s="11" t="s">
        <v>892</v>
      </c>
      <c r="H2033" s="11"/>
      <c r="I2033" s="11" t="s">
        <v>2948</v>
      </c>
      <c r="J2033" s="11" t="s">
        <v>2947</v>
      </c>
      <c r="K2033" s="11" t="s">
        <v>2093</v>
      </c>
      <c r="L2033" s="11"/>
      <c r="M2033" s="12"/>
      <c r="N2033" s="11"/>
      <c r="O2033" s="11" t="s">
        <v>1877</v>
      </c>
    </row>
    <row r="2034" spans="1:15" ht="19.5" customHeight="1" x14ac:dyDescent="0.25">
      <c r="A2034" s="13" t="s">
        <v>894</v>
      </c>
      <c r="B2034" s="13"/>
      <c r="C2034" s="13" t="s">
        <v>2946</v>
      </c>
      <c r="D2034" s="13" t="s">
        <v>1883</v>
      </c>
      <c r="E2034" s="13" t="s">
        <v>2943</v>
      </c>
      <c r="F2034" s="13"/>
      <c r="G2034" s="13" t="s">
        <v>894</v>
      </c>
      <c r="H2034" s="13" t="s">
        <v>2942</v>
      </c>
      <c r="I2034" s="13" t="s">
        <v>2941</v>
      </c>
      <c r="J2034" s="13" t="s">
        <v>2940</v>
      </c>
      <c r="K2034" s="13" t="s">
        <v>1878</v>
      </c>
      <c r="L2034" s="13"/>
      <c r="M2034" s="14"/>
      <c r="N2034" s="13"/>
      <c r="O2034" s="13" t="s">
        <v>1877</v>
      </c>
    </row>
    <row r="2035" spans="1:15" ht="19.5" customHeight="1" x14ac:dyDescent="0.25">
      <c r="A2035" s="11" t="s">
        <v>894</v>
      </c>
      <c r="B2035" s="11"/>
      <c r="C2035" s="11" t="s">
        <v>2945</v>
      </c>
      <c r="D2035" s="11" t="s">
        <v>1883</v>
      </c>
      <c r="E2035" s="11" t="s">
        <v>2943</v>
      </c>
      <c r="F2035" s="11"/>
      <c r="G2035" s="11" t="s">
        <v>894</v>
      </c>
      <c r="H2035" s="11" t="s">
        <v>2942</v>
      </c>
      <c r="I2035" s="11" t="s">
        <v>2941</v>
      </c>
      <c r="J2035" s="11" t="s">
        <v>2940</v>
      </c>
      <c r="K2035" s="11" t="s">
        <v>1878</v>
      </c>
      <c r="L2035" s="11"/>
      <c r="M2035" s="12"/>
      <c r="N2035" s="11"/>
      <c r="O2035" s="11" t="s">
        <v>1877</v>
      </c>
    </row>
    <row r="2036" spans="1:15" ht="19.5" customHeight="1" x14ac:dyDescent="0.25">
      <c r="A2036" s="13" t="s">
        <v>894</v>
      </c>
      <c r="B2036" s="13"/>
      <c r="C2036" s="13" t="s">
        <v>2944</v>
      </c>
      <c r="D2036" s="13" t="s">
        <v>1883</v>
      </c>
      <c r="E2036" s="13" t="s">
        <v>2943</v>
      </c>
      <c r="F2036" s="13"/>
      <c r="G2036" s="13" t="s">
        <v>894</v>
      </c>
      <c r="H2036" s="13" t="s">
        <v>2942</v>
      </c>
      <c r="I2036" s="13" t="s">
        <v>2941</v>
      </c>
      <c r="J2036" s="13" t="s">
        <v>2940</v>
      </c>
      <c r="K2036" s="13" t="s">
        <v>1878</v>
      </c>
      <c r="L2036" s="13"/>
      <c r="M2036" s="14"/>
      <c r="N2036" s="13"/>
      <c r="O2036" s="13" t="s">
        <v>1877</v>
      </c>
    </row>
    <row r="2037" spans="1:15" ht="19.5" customHeight="1" x14ac:dyDescent="0.25">
      <c r="A2037" s="11" t="s">
        <v>2938</v>
      </c>
      <c r="B2037" s="11"/>
      <c r="C2037" s="11" t="s">
        <v>2939</v>
      </c>
      <c r="D2037" s="11" t="s">
        <v>1883</v>
      </c>
      <c r="E2037" s="11"/>
      <c r="F2037" s="11"/>
      <c r="G2037" s="11" t="s">
        <v>2938</v>
      </c>
      <c r="H2037" s="11"/>
      <c r="I2037" s="11"/>
      <c r="J2037" s="11"/>
      <c r="K2037" s="11"/>
      <c r="L2037" s="11"/>
      <c r="M2037" s="12"/>
      <c r="N2037" s="11"/>
      <c r="O2037" s="11"/>
    </row>
    <row r="2038" spans="1:15" ht="19.5" customHeight="1" x14ac:dyDescent="0.25">
      <c r="A2038" s="13" t="s">
        <v>896</v>
      </c>
      <c r="B2038" s="13"/>
      <c r="C2038" s="13" t="s">
        <v>2937</v>
      </c>
      <c r="D2038" s="13" t="s">
        <v>1883</v>
      </c>
      <c r="E2038" s="13" t="s">
        <v>2936</v>
      </c>
      <c r="F2038" s="13"/>
      <c r="G2038" s="13" t="s">
        <v>896</v>
      </c>
      <c r="H2038" s="13" t="s">
        <v>2935</v>
      </c>
      <c r="I2038" s="13" t="s">
        <v>2934</v>
      </c>
      <c r="J2038" s="13" t="s">
        <v>2933</v>
      </c>
      <c r="K2038" s="13" t="s">
        <v>2932</v>
      </c>
      <c r="L2038" s="13"/>
      <c r="M2038" s="14"/>
      <c r="N2038" s="13"/>
      <c r="O2038" s="13" t="s">
        <v>1877</v>
      </c>
    </row>
    <row r="2039" spans="1:15" ht="19.5" customHeight="1" x14ac:dyDescent="0.25">
      <c r="A2039" s="11" t="s">
        <v>739</v>
      </c>
      <c r="B2039" s="11"/>
      <c r="C2039" s="11" t="s">
        <v>2931</v>
      </c>
      <c r="D2039" s="11" t="s">
        <v>1883</v>
      </c>
      <c r="E2039" s="11" t="s">
        <v>2928</v>
      </c>
      <c r="F2039" s="11"/>
      <c r="G2039" s="11" t="s">
        <v>739</v>
      </c>
      <c r="H2039" s="11" t="s">
        <v>2927</v>
      </c>
      <c r="I2039" s="11" t="s">
        <v>2926</v>
      </c>
      <c r="J2039" s="11" t="s">
        <v>2925</v>
      </c>
      <c r="K2039" s="11" t="s">
        <v>2924</v>
      </c>
      <c r="L2039" s="11"/>
      <c r="M2039" s="12"/>
      <c r="N2039" s="11"/>
      <c r="O2039" s="11" t="s">
        <v>1877</v>
      </c>
    </row>
    <row r="2040" spans="1:15" ht="19.5" customHeight="1" x14ac:dyDescent="0.25">
      <c r="A2040" s="13" t="s">
        <v>739</v>
      </c>
      <c r="B2040" s="13"/>
      <c r="C2040" s="13" t="s">
        <v>2930</v>
      </c>
      <c r="D2040" s="13" t="s">
        <v>1883</v>
      </c>
      <c r="E2040" s="13" t="s">
        <v>2928</v>
      </c>
      <c r="F2040" s="13"/>
      <c r="G2040" s="13" t="s">
        <v>739</v>
      </c>
      <c r="H2040" s="13" t="s">
        <v>2927</v>
      </c>
      <c r="I2040" s="13" t="s">
        <v>2926</v>
      </c>
      <c r="J2040" s="13" t="s">
        <v>2925</v>
      </c>
      <c r="K2040" s="13" t="s">
        <v>2924</v>
      </c>
      <c r="L2040" s="13"/>
      <c r="M2040" s="14"/>
      <c r="N2040" s="13"/>
      <c r="O2040" s="13" t="s">
        <v>1877</v>
      </c>
    </row>
    <row r="2041" spans="1:15" ht="19.5" customHeight="1" x14ac:dyDescent="0.25">
      <c r="A2041" s="11" t="s">
        <v>739</v>
      </c>
      <c r="B2041" s="11"/>
      <c r="C2041" s="11" t="s">
        <v>2929</v>
      </c>
      <c r="D2041" s="11" t="s">
        <v>1883</v>
      </c>
      <c r="E2041" s="11" t="s">
        <v>2928</v>
      </c>
      <c r="F2041" s="11"/>
      <c r="G2041" s="11" t="s">
        <v>739</v>
      </c>
      <c r="H2041" s="11" t="s">
        <v>2927</v>
      </c>
      <c r="I2041" s="11" t="s">
        <v>2926</v>
      </c>
      <c r="J2041" s="11" t="s">
        <v>2925</v>
      </c>
      <c r="K2041" s="11" t="s">
        <v>2924</v>
      </c>
      <c r="L2041" s="11"/>
      <c r="M2041" s="12"/>
      <c r="N2041" s="11"/>
      <c r="O2041" s="11" t="s">
        <v>1877</v>
      </c>
    </row>
    <row r="2042" spans="1:15" ht="19.5" customHeight="1" x14ac:dyDescent="0.25">
      <c r="A2042" s="13" t="s">
        <v>1104</v>
      </c>
      <c r="B2042" s="13"/>
      <c r="C2042" s="13" t="s">
        <v>2923</v>
      </c>
      <c r="D2042" s="13" t="s">
        <v>1883</v>
      </c>
      <c r="E2042" s="13" t="s">
        <v>2922</v>
      </c>
      <c r="F2042" s="13"/>
      <c r="G2042" s="13" t="s">
        <v>1104</v>
      </c>
      <c r="H2042" s="13"/>
      <c r="I2042" s="13" t="s">
        <v>2921</v>
      </c>
      <c r="J2042" s="13" t="s">
        <v>2920</v>
      </c>
      <c r="K2042" s="13" t="s">
        <v>2313</v>
      </c>
      <c r="L2042" s="13"/>
      <c r="M2042" s="14"/>
      <c r="N2042" s="13"/>
      <c r="O2042" s="13" t="s">
        <v>1877</v>
      </c>
    </row>
    <row r="2043" spans="1:15" ht="19.5" customHeight="1" x14ac:dyDescent="0.25">
      <c r="A2043" s="11" t="s">
        <v>1100</v>
      </c>
      <c r="B2043" s="11"/>
      <c r="C2043" s="11" t="s">
        <v>2919</v>
      </c>
      <c r="D2043" s="11" t="s">
        <v>1950</v>
      </c>
      <c r="E2043" s="11" t="s">
        <v>2918</v>
      </c>
      <c r="F2043" s="11"/>
      <c r="G2043" s="11" t="s">
        <v>2917</v>
      </c>
      <c r="H2043" s="11"/>
      <c r="I2043" s="11" t="s">
        <v>2916</v>
      </c>
      <c r="J2043" s="11" t="s">
        <v>2915</v>
      </c>
      <c r="K2043" s="11" t="s">
        <v>2914</v>
      </c>
      <c r="L2043" s="11"/>
      <c r="M2043" s="12"/>
      <c r="N2043" s="11"/>
      <c r="O2043" s="11" t="s">
        <v>1877</v>
      </c>
    </row>
    <row r="2044" spans="1:15" ht="19.5" customHeight="1" x14ac:dyDescent="0.25">
      <c r="A2044" s="13" t="s">
        <v>2911</v>
      </c>
      <c r="B2044" s="13"/>
      <c r="C2044" s="13" t="s">
        <v>2913</v>
      </c>
      <c r="D2044" s="13" t="s">
        <v>1883</v>
      </c>
      <c r="E2044" s="13" t="s">
        <v>2912</v>
      </c>
      <c r="F2044" s="13"/>
      <c r="G2044" s="13" t="s">
        <v>2911</v>
      </c>
      <c r="H2044" s="13"/>
      <c r="I2044" s="13" t="s">
        <v>2910</v>
      </c>
      <c r="J2044" s="13" t="s">
        <v>2909</v>
      </c>
      <c r="K2044" s="13" t="s">
        <v>2908</v>
      </c>
      <c r="L2044" s="13"/>
      <c r="M2044" s="14"/>
      <c r="N2044" s="13"/>
      <c r="O2044" s="13" t="s">
        <v>1945</v>
      </c>
    </row>
    <row r="2045" spans="1:15" ht="19.5" customHeight="1" x14ac:dyDescent="0.25">
      <c r="A2045" s="11" t="s">
        <v>8829</v>
      </c>
      <c r="B2045" s="11"/>
      <c r="C2045" s="11" t="s">
        <v>8828</v>
      </c>
      <c r="D2045" s="11" t="s">
        <v>1883</v>
      </c>
      <c r="E2045" s="11" t="s">
        <v>8842</v>
      </c>
      <c r="F2045" s="11"/>
      <c r="G2045" s="11" t="s">
        <v>8829</v>
      </c>
      <c r="H2045" s="11"/>
      <c r="I2045" s="11" t="s">
        <v>8939</v>
      </c>
      <c r="J2045" s="11" t="s">
        <v>8940</v>
      </c>
      <c r="K2045" s="11" t="s">
        <v>2441</v>
      </c>
      <c r="L2045" s="11"/>
      <c r="M2045" s="12"/>
      <c r="N2045" s="11"/>
      <c r="O2045" s="11" t="s">
        <v>2364</v>
      </c>
    </row>
    <row r="2046" spans="1:15" ht="19.5" customHeight="1" x14ac:dyDescent="0.25">
      <c r="A2046" s="13" t="s">
        <v>899</v>
      </c>
      <c r="B2046" s="13"/>
      <c r="C2046" s="13" t="s">
        <v>2907</v>
      </c>
      <c r="D2046" s="13" t="s">
        <v>1883</v>
      </c>
      <c r="E2046" s="13" t="s">
        <v>2904</v>
      </c>
      <c r="F2046" s="13"/>
      <c r="G2046" s="13" t="s">
        <v>899</v>
      </c>
      <c r="H2046" s="13"/>
      <c r="I2046" s="13" t="s">
        <v>2903</v>
      </c>
      <c r="J2046" s="13" t="s">
        <v>2902</v>
      </c>
      <c r="K2046" s="13" t="s">
        <v>2901</v>
      </c>
      <c r="L2046" s="13"/>
      <c r="M2046" s="14"/>
      <c r="N2046" s="13"/>
      <c r="O2046" s="13" t="s">
        <v>1877</v>
      </c>
    </row>
    <row r="2047" spans="1:15" ht="19.5" customHeight="1" x14ac:dyDescent="0.25">
      <c r="A2047" s="11" t="s">
        <v>899</v>
      </c>
      <c r="B2047" s="11"/>
      <c r="C2047" s="11" t="s">
        <v>2906</v>
      </c>
      <c r="D2047" s="11" t="s">
        <v>1883</v>
      </c>
      <c r="E2047" s="11" t="s">
        <v>2904</v>
      </c>
      <c r="F2047" s="11"/>
      <c r="G2047" s="11" t="s">
        <v>899</v>
      </c>
      <c r="H2047" s="11"/>
      <c r="I2047" s="11" t="s">
        <v>2903</v>
      </c>
      <c r="J2047" s="11" t="s">
        <v>2902</v>
      </c>
      <c r="K2047" s="11" t="s">
        <v>2901</v>
      </c>
      <c r="L2047" s="11"/>
      <c r="M2047" s="12"/>
      <c r="N2047" s="11"/>
      <c r="O2047" s="11" t="s">
        <v>1877</v>
      </c>
    </row>
    <row r="2048" spans="1:15" ht="19.5" customHeight="1" x14ac:dyDescent="0.25">
      <c r="A2048" s="13" t="s">
        <v>899</v>
      </c>
      <c r="B2048" s="13"/>
      <c r="C2048" s="13" t="s">
        <v>2905</v>
      </c>
      <c r="D2048" s="13" t="s">
        <v>1883</v>
      </c>
      <c r="E2048" s="13" t="s">
        <v>2904</v>
      </c>
      <c r="F2048" s="13"/>
      <c r="G2048" s="13" t="s">
        <v>899</v>
      </c>
      <c r="H2048" s="13"/>
      <c r="I2048" s="13" t="s">
        <v>2903</v>
      </c>
      <c r="J2048" s="13" t="s">
        <v>2902</v>
      </c>
      <c r="K2048" s="13" t="s">
        <v>2901</v>
      </c>
      <c r="L2048" s="13"/>
      <c r="M2048" s="14"/>
      <c r="N2048" s="13"/>
      <c r="O2048" s="13" t="s">
        <v>1877</v>
      </c>
    </row>
    <row r="2049" spans="1:15" ht="19.5" customHeight="1" x14ac:dyDescent="0.25">
      <c r="A2049" s="11" t="s">
        <v>2896</v>
      </c>
      <c r="B2049" s="11"/>
      <c r="C2049" s="11" t="s">
        <v>2900</v>
      </c>
      <c r="D2049" s="11" t="s">
        <v>1883</v>
      </c>
      <c r="E2049" s="11"/>
      <c r="F2049" s="11"/>
      <c r="G2049" s="11" t="s">
        <v>2896</v>
      </c>
      <c r="H2049" s="11"/>
      <c r="I2049" s="11"/>
      <c r="J2049" s="11"/>
      <c r="K2049" s="11"/>
      <c r="L2049" s="11"/>
      <c r="M2049" s="12"/>
      <c r="N2049" s="11"/>
      <c r="O2049" s="11"/>
    </row>
    <row r="2050" spans="1:15" ht="19.5" customHeight="1" x14ac:dyDescent="0.25">
      <c r="A2050" s="13" t="s">
        <v>2896</v>
      </c>
      <c r="B2050" s="13"/>
      <c r="C2050" s="13" t="s">
        <v>2899</v>
      </c>
      <c r="D2050" s="13" t="s">
        <v>1883</v>
      </c>
      <c r="E2050" s="13"/>
      <c r="F2050" s="13"/>
      <c r="G2050" s="13" t="s">
        <v>2896</v>
      </c>
      <c r="H2050" s="13"/>
      <c r="I2050" s="13"/>
      <c r="J2050" s="13"/>
      <c r="K2050" s="13"/>
      <c r="L2050" s="13"/>
      <c r="M2050" s="14"/>
      <c r="N2050" s="13"/>
      <c r="O2050" s="13"/>
    </row>
    <row r="2051" spans="1:15" ht="19.5" customHeight="1" x14ac:dyDescent="0.25">
      <c r="A2051" s="11" t="s">
        <v>2896</v>
      </c>
      <c r="B2051" s="11"/>
      <c r="C2051" s="11" t="s">
        <v>2898</v>
      </c>
      <c r="D2051" s="11" t="s">
        <v>1883</v>
      </c>
      <c r="E2051" s="11"/>
      <c r="F2051" s="11"/>
      <c r="G2051" s="11" t="s">
        <v>2896</v>
      </c>
      <c r="H2051" s="11"/>
      <c r="I2051" s="11"/>
      <c r="J2051" s="11"/>
      <c r="K2051" s="11"/>
      <c r="L2051" s="11"/>
      <c r="M2051" s="12"/>
      <c r="N2051" s="11"/>
      <c r="O2051" s="11"/>
    </row>
    <row r="2052" spans="1:15" ht="19.5" customHeight="1" x14ac:dyDescent="0.25">
      <c r="A2052" s="13" t="s">
        <v>2896</v>
      </c>
      <c r="B2052" s="13"/>
      <c r="C2052" s="13" t="s">
        <v>2897</v>
      </c>
      <c r="D2052" s="13" t="s">
        <v>1883</v>
      </c>
      <c r="E2052" s="13"/>
      <c r="F2052" s="13"/>
      <c r="G2052" s="13" t="s">
        <v>2896</v>
      </c>
      <c r="H2052" s="13"/>
      <c r="I2052" s="13"/>
      <c r="J2052" s="13"/>
      <c r="K2052" s="13"/>
      <c r="L2052" s="13"/>
      <c r="M2052" s="14"/>
      <c r="N2052" s="13"/>
      <c r="O2052" s="13"/>
    </row>
    <row r="2053" spans="1:15" ht="19.5" customHeight="1" x14ac:dyDescent="0.25">
      <c r="A2053" s="11" t="s">
        <v>2892</v>
      </c>
      <c r="B2053" s="11"/>
      <c r="C2053" s="11" t="s">
        <v>2895</v>
      </c>
      <c r="D2053" s="11" t="s">
        <v>1950</v>
      </c>
      <c r="E2053" s="11" t="s">
        <v>2894</v>
      </c>
      <c r="F2053" s="11" t="s">
        <v>2893</v>
      </c>
      <c r="G2053" s="11" t="s">
        <v>2892</v>
      </c>
      <c r="H2053" s="11"/>
      <c r="I2053" s="11" t="s">
        <v>2891</v>
      </c>
      <c r="J2053" s="11" t="s">
        <v>2890</v>
      </c>
      <c r="K2053" s="11" t="s">
        <v>2122</v>
      </c>
      <c r="L2053" s="11"/>
      <c r="M2053" s="12"/>
      <c r="N2053" s="11"/>
      <c r="O2053" s="11" t="s">
        <v>1945</v>
      </c>
    </row>
    <row r="2054" spans="1:15" ht="19.5" customHeight="1" x14ac:dyDescent="0.25">
      <c r="A2054" s="13" t="s">
        <v>2887</v>
      </c>
      <c r="B2054" s="13"/>
      <c r="C2054" s="13" t="s">
        <v>2889</v>
      </c>
      <c r="D2054" s="13" t="s">
        <v>1883</v>
      </c>
      <c r="E2054" s="13" t="s">
        <v>2888</v>
      </c>
      <c r="F2054" s="13"/>
      <c r="G2054" s="13" t="s">
        <v>2887</v>
      </c>
      <c r="H2054" s="13"/>
      <c r="I2054" s="13" t="s">
        <v>2886</v>
      </c>
      <c r="J2054" s="13" t="s">
        <v>2885</v>
      </c>
      <c r="K2054" s="13" t="s">
        <v>1952</v>
      </c>
      <c r="L2054" s="13"/>
      <c r="M2054" s="14"/>
      <c r="N2054" s="13"/>
      <c r="O2054" s="13" t="s">
        <v>1951</v>
      </c>
    </row>
    <row r="2055" spans="1:15" ht="19.5" customHeight="1" x14ac:dyDescent="0.25">
      <c r="A2055" s="11" t="s">
        <v>2883</v>
      </c>
      <c r="B2055" s="11"/>
      <c r="C2055" s="11" t="s">
        <v>2884</v>
      </c>
      <c r="D2055" s="11" t="s">
        <v>1883</v>
      </c>
      <c r="E2055" s="11" t="s">
        <v>1952</v>
      </c>
      <c r="F2055" s="11"/>
      <c r="G2055" s="11" t="s">
        <v>2883</v>
      </c>
      <c r="H2055" s="11"/>
      <c r="I2055" s="11"/>
      <c r="J2055" s="11"/>
      <c r="K2055" s="11" t="s">
        <v>1952</v>
      </c>
      <c r="L2055" s="11"/>
      <c r="M2055" s="12"/>
      <c r="N2055" s="11"/>
      <c r="O2055" s="11" t="s">
        <v>1951</v>
      </c>
    </row>
    <row r="2056" spans="1:15" ht="19.5" customHeight="1" x14ac:dyDescent="0.25">
      <c r="A2056" s="13" t="s">
        <v>901</v>
      </c>
      <c r="B2056" s="13"/>
      <c r="C2056" s="13" t="s">
        <v>2882</v>
      </c>
      <c r="D2056" s="13" t="s">
        <v>1883</v>
      </c>
      <c r="E2056" s="13" t="s">
        <v>2879</v>
      </c>
      <c r="F2056" s="13"/>
      <c r="G2056" s="13" t="s">
        <v>901</v>
      </c>
      <c r="H2056" s="13" t="s">
        <v>2878</v>
      </c>
      <c r="I2056" s="13" t="s">
        <v>2877</v>
      </c>
      <c r="J2056" s="13" t="s">
        <v>2876</v>
      </c>
      <c r="K2056" s="13" t="s">
        <v>2875</v>
      </c>
      <c r="L2056" s="13"/>
      <c r="M2056" s="14"/>
      <c r="N2056" s="13"/>
      <c r="O2056" s="13" t="s">
        <v>1877</v>
      </c>
    </row>
    <row r="2057" spans="1:15" ht="19.5" customHeight="1" x14ac:dyDescent="0.25">
      <c r="A2057" s="11" t="s">
        <v>901</v>
      </c>
      <c r="B2057" s="11"/>
      <c r="C2057" s="11" t="s">
        <v>2881</v>
      </c>
      <c r="D2057" s="11" t="s">
        <v>1883</v>
      </c>
      <c r="E2057" s="11" t="s">
        <v>2879</v>
      </c>
      <c r="F2057" s="11"/>
      <c r="G2057" s="11" t="s">
        <v>901</v>
      </c>
      <c r="H2057" s="11" t="s">
        <v>2878</v>
      </c>
      <c r="I2057" s="11" t="s">
        <v>2877</v>
      </c>
      <c r="J2057" s="11" t="s">
        <v>2876</v>
      </c>
      <c r="K2057" s="11" t="s">
        <v>2875</v>
      </c>
      <c r="L2057" s="11"/>
      <c r="M2057" s="12"/>
      <c r="N2057" s="11"/>
      <c r="O2057" s="11" t="s">
        <v>1877</v>
      </c>
    </row>
    <row r="2058" spans="1:15" ht="19.5" customHeight="1" x14ac:dyDescent="0.25">
      <c r="A2058" s="13" t="s">
        <v>901</v>
      </c>
      <c r="B2058" s="13"/>
      <c r="C2058" s="13" t="s">
        <v>2880</v>
      </c>
      <c r="D2058" s="13" t="s">
        <v>1883</v>
      </c>
      <c r="E2058" s="13" t="s">
        <v>2879</v>
      </c>
      <c r="F2058" s="13"/>
      <c r="G2058" s="13" t="s">
        <v>901</v>
      </c>
      <c r="H2058" s="13" t="s">
        <v>2878</v>
      </c>
      <c r="I2058" s="13" t="s">
        <v>2877</v>
      </c>
      <c r="J2058" s="13" t="s">
        <v>2876</v>
      </c>
      <c r="K2058" s="13" t="s">
        <v>2875</v>
      </c>
      <c r="L2058" s="13"/>
      <c r="M2058" s="14"/>
      <c r="N2058" s="13"/>
      <c r="O2058" s="13" t="s">
        <v>1877</v>
      </c>
    </row>
    <row r="2059" spans="1:15" ht="19.5" customHeight="1" x14ac:dyDescent="0.25">
      <c r="A2059" s="11" t="s">
        <v>2482</v>
      </c>
      <c r="B2059" s="11"/>
      <c r="C2059" s="11" t="s">
        <v>2874</v>
      </c>
      <c r="D2059" s="11" t="s">
        <v>1883</v>
      </c>
      <c r="E2059" s="11"/>
      <c r="F2059" s="11"/>
      <c r="G2059" s="11" t="s">
        <v>2482</v>
      </c>
      <c r="H2059" s="11"/>
      <c r="I2059" s="11"/>
      <c r="J2059" s="11"/>
      <c r="K2059" s="11"/>
      <c r="L2059" s="11"/>
      <c r="M2059" s="12"/>
      <c r="N2059" s="11"/>
      <c r="O2059" s="11"/>
    </row>
    <row r="2060" spans="1:15" ht="19.5" customHeight="1" x14ac:dyDescent="0.25">
      <c r="A2060" s="13" t="s">
        <v>903</v>
      </c>
      <c r="B2060" s="13"/>
      <c r="C2060" s="13" t="s">
        <v>2873</v>
      </c>
      <c r="D2060" s="13" t="s">
        <v>1883</v>
      </c>
      <c r="E2060" s="13" t="s">
        <v>2870</v>
      </c>
      <c r="F2060" s="13"/>
      <c r="G2060" s="13" t="s">
        <v>903</v>
      </c>
      <c r="H2060" s="13"/>
      <c r="I2060" s="13" t="s">
        <v>2606</v>
      </c>
      <c r="J2060" s="13" t="s">
        <v>2869</v>
      </c>
      <c r="K2060" s="13" t="s">
        <v>2868</v>
      </c>
      <c r="L2060" s="13"/>
      <c r="M2060" s="14"/>
      <c r="N2060" s="13"/>
      <c r="O2060" s="13" t="s">
        <v>1877</v>
      </c>
    </row>
    <row r="2061" spans="1:15" ht="19.5" customHeight="1" x14ac:dyDescent="0.25">
      <c r="A2061" s="11" t="s">
        <v>903</v>
      </c>
      <c r="B2061" s="11"/>
      <c r="C2061" s="11" t="s">
        <v>2872</v>
      </c>
      <c r="D2061" s="11" t="s">
        <v>1883</v>
      </c>
      <c r="E2061" s="11" t="s">
        <v>2870</v>
      </c>
      <c r="F2061" s="11"/>
      <c r="G2061" s="11" t="s">
        <v>903</v>
      </c>
      <c r="H2061" s="11"/>
      <c r="I2061" s="11" t="s">
        <v>2606</v>
      </c>
      <c r="J2061" s="11" t="s">
        <v>2869</v>
      </c>
      <c r="K2061" s="11" t="s">
        <v>2868</v>
      </c>
      <c r="L2061" s="11"/>
      <c r="M2061" s="12"/>
      <c r="N2061" s="11"/>
      <c r="O2061" s="11" t="s">
        <v>1877</v>
      </c>
    </row>
    <row r="2062" spans="1:15" ht="19.5" customHeight="1" x14ac:dyDescent="0.25">
      <c r="A2062" s="13" t="s">
        <v>903</v>
      </c>
      <c r="B2062" s="13"/>
      <c r="C2062" s="13" t="s">
        <v>2871</v>
      </c>
      <c r="D2062" s="13" t="s">
        <v>1883</v>
      </c>
      <c r="E2062" s="13" t="s">
        <v>2870</v>
      </c>
      <c r="F2062" s="13"/>
      <c r="G2062" s="13" t="s">
        <v>903</v>
      </c>
      <c r="H2062" s="13"/>
      <c r="I2062" s="13" t="s">
        <v>2606</v>
      </c>
      <c r="J2062" s="13" t="s">
        <v>2869</v>
      </c>
      <c r="K2062" s="13" t="s">
        <v>2868</v>
      </c>
      <c r="L2062" s="13"/>
      <c r="M2062" s="14"/>
      <c r="N2062" s="13"/>
      <c r="O2062" s="13" t="s">
        <v>1877</v>
      </c>
    </row>
    <row r="2063" spans="1:15" ht="19.5" customHeight="1" x14ac:dyDescent="0.25">
      <c r="A2063" s="11" t="s">
        <v>2865</v>
      </c>
      <c r="B2063" s="11"/>
      <c r="C2063" s="11" t="s">
        <v>2867</v>
      </c>
      <c r="D2063" s="11" t="s">
        <v>1883</v>
      </c>
      <c r="E2063" s="11" t="s">
        <v>2866</v>
      </c>
      <c r="F2063" s="11"/>
      <c r="G2063" s="11" t="s">
        <v>2865</v>
      </c>
      <c r="H2063" s="11"/>
      <c r="I2063" s="11"/>
      <c r="J2063" s="11"/>
      <c r="K2063" s="11"/>
      <c r="L2063" s="11"/>
      <c r="M2063" s="12"/>
      <c r="N2063" s="11"/>
      <c r="O2063" s="11" t="s">
        <v>1916</v>
      </c>
    </row>
    <row r="2064" spans="1:15" ht="19.5" customHeight="1" x14ac:dyDescent="0.25">
      <c r="A2064" s="13" t="s">
        <v>905</v>
      </c>
      <c r="B2064" s="13" t="s">
        <v>2864</v>
      </c>
      <c r="C2064" s="13" t="s">
        <v>2863</v>
      </c>
      <c r="D2064" s="13" t="s">
        <v>2368</v>
      </c>
      <c r="E2064" s="13" t="s">
        <v>2856</v>
      </c>
      <c r="F2064" s="13"/>
      <c r="G2064" s="13" t="s">
        <v>905</v>
      </c>
      <c r="H2064" s="13"/>
      <c r="I2064" s="13" t="s">
        <v>2861</v>
      </c>
      <c r="J2064" s="13" t="s">
        <v>2858</v>
      </c>
      <c r="K2064" s="13" t="s">
        <v>2848</v>
      </c>
      <c r="L2064" s="13"/>
      <c r="M2064" s="14"/>
      <c r="N2064" s="13"/>
      <c r="O2064" s="13" t="s">
        <v>2470</v>
      </c>
    </row>
    <row r="2065" spans="1:15" ht="19.5" customHeight="1" x14ac:dyDescent="0.25">
      <c r="A2065" s="11" t="s">
        <v>905</v>
      </c>
      <c r="B2065" s="11"/>
      <c r="C2065" s="11" t="s">
        <v>2862</v>
      </c>
      <c r="D2065" s="11" t="s">
        <v>2368</v>
      </c>
      <c r="E2065" s="11" t="s">
        <v>2856</v>
      </c>
      <c r="F2065" s="11"/>
      <c r="G2065" s="11" t="s">
        <v>905</v>
      </c>
      <c r="H2065" s="11"/>
      <c r="I2065" s="11" t="s">
        <v>2861</v>
      </c>
      <c r="J2065" s="11" t="s">
        <v>2858</v>
      </c>
      <c r="K2065" s="11" t="s">
        <v>2848</v>
      </c>
      <c r="L2065" s="11"/>
      <c r="M2065" s="12"/>
      <c r="N2065" s="11"/>
      <c r="O2065" s="11" t="s">
        <v>2470</v>
      </c>
    </row>
    <row r="2066" spans="1:15" ht="19.5" customHeight="1" x14ac:dyDescent="0.25">
      <c r="A2066" s="13" t="s">
        <v>905</v>
      </c>
      <c r="B2066" s="13"/>
      <c r="C2066" s="13" t="s">
        <v>2860</v>
      </c>
      <c r="D2066" s="13" t="s">
        <v>2368</v>
      </c>
      <c r="E2066" s="13" t="s">
        <v>2856</v>
      </c>
      <c r="F2066" s="13"/>
      <c r="G2066" s="13" t="s">
        <v>905</v>
      </c>
      <c r="H2066" s="13"/>
      <c r="I2066" s="13" t="s">
        <v>2859</v>
      </c>
      <c r="J2066" s="13" t="s">
        <v>2858</v>
      </c>
      <c r="K2066" s="13" t="s">
        <v>2848</v>
      </c>
      <c r="L2066" s="13"/>
      <c r="M2066" s="14"/>
      <c r="N2066" s="13"/>
      <c r="O2066" s="13" t="s">
        <v>2470</v>
      </c>
    </row>
    <row r="2067" spans="1:15" ht="19.5" customHeight="1" x14ac:dyDescent="0.25">
      <c r="A2067" s="11" t="s">
        <v>905</v>
      </c>
      <c r="B2067" s="11"/>
      <c r="C2067" s="11" t="s">
        <v>2857</v>
      </c>
      <c r="D2067" s="11" t="s">
        <v>2368</v>
      </c>
      <c r="E2067" s="11" t="s">
        <v>2856</v>
      </c>
      <c r="F2067" s="11"/>
      <c r="G2067" s="11" t="s">
        <v>905</v>
      </c>
      <c r="H2067" s="11"/>
      <c r="I2067" s="11"/>
      <c r="J2067" s="11"/>
      <c r="K2067" s="11"/>
      <c r="L2067" s="11"/>
      <c r="M2067" s="12"/>
      <c r="N2067" s="11"/>
      <c r="O2067" s="11" t="s">
        <v>2466</v>
      </c>
    </row>
    <row r="2068" spans="1:15" ht="19.5" customHeight="1" x14ac:dyDescent="0.25">
      <c r="A2068" s="13" t="s">
        <v>907</v>
      </c>
      <c r="B2068" s="13"/>
      <c r="C2068" s="13" t="s">
        <v>2855</v>
      </c>
      <c r="D2068" s="13" t="s">
        <v>1883</v>
      </c>
      <c r="E2068" s="13" t="s">
        <v>2852</v>
      </c>
      <c r="F2068" s="13"/>
      <c r="G2068" s="13" t="s">
        <v>907</v>
      </c>
      <c r="H2068" s="13" t="s">
        <v>2851</v>
      </c>
      <c r="I2068" s="13" t="s">
        <v>2850</v>
      </c>
      <c r="J2068" s="13" t="s">
        <v>2849</v>
      </c>
      <c r="K2068" s="13" t="s">
        <v>2848</v>
      </c>
      <c r="L2068" s="13"/>
      <c r="M2068" s="14"/>
      <c r="N2068" s="13"/>
      <c r="O2068" s="13" t="s">
        <v>1877</v>
      </c>
    </row>
    <row r="2069" spans="1:15" ht="19.5" customHeight="1" x14ac:dyDescent="0.25">
      <c r="A2069" s="11" t="s">
        <v>907</v>
      </c>
      <c r="B2069" s="11"/>
      <c r="C2069" s="11" t="s">
        <v>2854</v>
      </c>
      <c r="D2069" s="11" t="s">
        <v>1883</v>
      </c>
      <c r="E2069" s="11" t="s">
        <v>2852</v>
      </c>
      <c r="F2069" s="11"/>
      <c r="G2069" s="11" t="s">
        <v>907</v>
      </c>
      <c r="H2069" s="11" t="s">
        <v>2851</v>
      </c>
      <c r="I2069" s="11" t="s">
        <v>2850</v>
      </c>
      <c r="J2069" s="11" t="s">
        <v>2849</v>
      </c>
      <c r="K2069" s="11" t="s">
        <v>2848</v>
      </c>
      <c r="L2069" s="11"/>
      <c r="M2069" s="12"/>
      <c r="N2069" s="11"/>
      <c r="O2069" s="11" t="s">
        <v>1877</v>
      </c>
    </row>
    <row r="2070" spans="1:15" ht="19.5" customHeight="1" x14ac:dyDescent="0.25">
      <c r="A2070" s="13" t="s">
        <v>907</v>
      </c>
      <c r="B2070" s="13"/>
      <c r="C2070" s="13" t="s">
        <v>2853</v>
      </c>
      <c r="D2070" s="13" t="s">
        <v>1883</v>
      </c>
      <c r="E2070" s="13" t="s">
        <v>2852</v>
      </c>
      <c r="F2070" s="13"/>
      <c r="G2070" s="13" t="s">
        <v>907</v>
      </c>
      <c r="H2070" s="13" t="s">
        <v>2851</v>
      </c>
      <c r="I2070" s="13" t="s">
        <v>2850</v>
      </c>
      <c r="J2070" s="13" t="s">
        <v>2849</v>
      </c>
      <c r="K2070" s="13" t="s">
        <v>2848</v>
      </c>
      <c r="L2070" s="13"/>
      <c r="M2070" s="14"/>
      <c r="N2070" s="13"/>
      <c r="O2070" s="13" t="s">
        <v>1877</v>
      </c>
    </row>
    <row r="2071" spans="1:15" ht="19.5" customHeight="1" x14ac:dyDescent="0.25">
      <c r="A2071" s="11" t="s">
        <v>1419</v>
      </c>
      <c r="B2071" s="11"/>
      <c r="C2071" s="11" t="s">
        <v>1418</v>
      </c>
      <c r="D2071" s="11" t="s">
        <v>1883</v>
      </c>
      <c r="E2071" s="11" t="s">
        <v>2846</v>
      </c>
      <c r="F2071" s="11"/>
      <c r="G2071" s="11" t="s">
        <v>2845</v>
      </c>
      <c r="H2071" s="11"/>
      <c r="I2071" s="11" t="s">
        <v>2844</v>
      </c>
      <c r="J2071" s="11" t="s">
        <v>2843</v>
      </c>
      <c r="K2071" s="11" t="s">
        <v>2842</v>
      </c>
      <c r="L2071" s="11"/>
      <c r="M2071" s="12"/>
      <c r="N2071" s="11"/>
      <c r="O2071" s="11" t="s">
        <v>1877</v>
      </c>
    </row>
    <row r="2072" spans="1:15" ht="19.5" customHeight="1" x14ac:dyDescent="0.25">
      <c r="A2072" s="13" t="s">
        <v>1419</v>
      </c>
      <c r="B2072" s="13"/>
      <c r="C2072" s="13" t="s">
        <v>2847</v>
      </c>
      <c r="D2072" s="13" t="s">
        <v>1883</v>
      </c>
      <c r="E2072" s="13" t="s">
        <v>2846</v>
      </c>
      <c r="F2072" s="13"/>
      <c r="G2072" s="13" t="s">
        <v>2845</v>
      </c>
      <c r="H2072" s="13"/>
      <c r="I2072" s="13" t="s">
        <v>2844</v>
      </c>
      <c r="J2072" s="13" t="s">
        <v>2843</v>
      </c>
      <c r="K2072" s="13" t="s">
        <v>2842</v>
      </c>
      <c r="L2072" s="13"/>
      <c r="M2072" s="14"/>
      <c r="N2072" s="13"/>
      <c r="O2072" s="13" t="s">
        <v>1877</v>
      </c>
    </row>
    <row r="2073" spans="1:15" ht="19.5" customHeight="1" x14ac:dyDescent="0.25">
      <c r="A2073" s="11" t="s">
        <v>2840</v>
      </c>
      <c r="B2073" s="11"/>
      <c r="C2073" s="11" t="s">
        <v>2841</v>
      </c>
      <c r="D2073" s="11" t="s">
        <v>1883</v>
      </c>
      <c r="E2073" s="11"/>
      <c r="F2073" s="11"/>
      <c r="G2073" s="11" t="s">
        <v>2840</v>
      </c>
      <c r="H2073" s="11"/>
      <c r="I2073" s="11"/>
      <c r="J2073" s="11"/>
      <c r="K2073" s="11"/>
      <c r="L2073" s="11"/>
      <c r="M2073" s="12"/>
      <c r="N2073" s="11"/>
      <c r="O2073" s="11"/>
    </row>
    <row r="2074" spans="1:15" ht="19.5" customHeight="1" x14ac:dyDescent="0.25">
      <c r="A2074" s="13" t="s">
        <v>909</v>
      </c>
      <c r="B2074" s="13"/>
      <c r="C2074" s="13" t="s">
        <v>2839</v>
      </c>
      <c r="D2074" s="13" t="s">
        <v>1883</v>
      </c>
      <c r="E2074" s="13" t="s">
        <v>2836</v>
      </c>
      <c r="F2074" s="13"/>
      <c r="G2074" s="13" t="s">
        <v>909</v>
      </c>
      <c r="H2074" s="13" t="s">
        <v>2835</v>
      </c>
      <c r="I2074" s="13" t="s">
        <v>2834</v>
      </c>
      <c r="J2074" s="13" t="s">
        <v>2833</v>
      </c>
      <c r="K2074" s="13" t="s">
        <v>1878</v>
      </c>
      <c r="L2074" s="13"/>
      <c r="M2074" s="14"/>
      <c r="N2074" s="13"/>
      <c r="O2074" s="13" t="s">
        <v>1877</v>
      </c>
    </row>
    <row r="2075" spans="1:15" ht="19.5" customHeight="1" x14ac:dyDescent="0.25">
      <c r="A2075" s="11" t="s">
        <v>909</v>
      </c>
      <c r="B2075" s="11"/>
      <c r="C2075" s="11" t="s">
        <v>2838</v>
      </c>
      <c r="D2075" s="11" t="s">
        <v>1883</v>
      </c>
      <c r="E2075" s="11" t="s">
        <v>2836</v>
      </c>
      <c r="F2075" s="11"/>
      <c r="G2075" s="11" t="s">
        <v>909</v>
      </c>
      <c r="H2075" s="11" t="s">
        <v>2835</v>
      </c>
      <c r="I2075" s="11" t="s">
        <v>2834</v>
      </c>
      <c r="J2075" s="11" t="s">
        <v>2833</v>
      </c>
      <c r="K2075" s="11" t="s">
        <v>1878</v>
      </c>
      <c r="L2075" s="11"/>
      <c r="M2075" s="12"/>
      <c r="N2075" s="11"/>
      <c r="O2075" s="11" t="s">
        <v>1877</v>
      </c>
    </row>
    <row r="2076" spans="1:15" ht="19.5" customHeight="1" x14ac:dyDescent="0.25">
      <c r="A2076" s="13" t="s">
        <v>909</v>
      </c>
      <c r="B2076" s="13"/>
      <c r="C2076" s="13" t="s">
        <v>2837</v>
      </c>
      <c r="D2076" s="13" t="s">
        <v>1883</v>
      </c>
      <c r="E2076" s="13" t="s">
        <v>2836</v>
      </c>
      <c r="F2076" s="13"/>
      <c r="G2076" s="13" t="s">
        <v>909</v>
      </c>
      <c r="H2076" s="13" t="s">
        <v>2835</v>
      </c>
      <c r="I2076" s="13" t="s">
        <v>2834</v>
      </c>
      <c r="J2076" s="13" t="s">
        <v>2833</v>
      </c>
      <c r="K2076" s="13" t="s">
        <v>1878</v>
      </c>
      <c r="L2076" s="13"/>
      <c r="M2076" s="14"/>
      <c r="N2076" s="13"/>
      <c r="O2076" s="13" t="s">
        <v>1877</v>
      </c>
    </row>
    <row r="2077" spans="1:15" ht="19.5" customHeight="1" x14ac:dyDescent="0.25">
      <c r="A2077" s="11" t="s">
        <v>1700</v>
      </c>
      <c r="B2077" s="11"/>
      <c r="C2077" s="11" t="s">
        <v>2832</v>
      </c>
      <c r="D2077" s="11" t="s">
        <v>1883</v>
      </c>
      <c r="E2077" s="11" t="s">
        <v>2831</v>
      </c>
      <c r="F2077" s="11"/>
      <c r="G2077" s="11" t="s">
        <v>1700</v>
      </c>
      <c r="H2077" s="11"/>
      <c r="I2077" s="11" t="s">
        <v>2830</v>
      </c>
      <c r="J2077" s="11" t="s">
        <v>2829</v>
      </c>
      <c r="K2077" s="11" t="s">
        <v>2699</v>
      </c>
      <c r="L2077" s="11"/>
      <c r="M2077" s="12"/>
      <c r="N2077" s="11"/>
      <c r="O2077" s="11" t="s">
        <v>1877</v>
      </c>
    </row>
    <row r="2078" spans="1:15" ht="19.5" customHeight="1" x14ac:dyDescent="0.25">
      <c r="A2078" s="13" t="s">
        <v>911</v>
      </c>
      <c r="B2078" s="13"/>
      <c r="C2078" s="13" t="s">
        <v>2828</v>
      </c>
      <c r="D2078" s="13" t="s">
        <v>1883</v>
      </c>
      <c r="E2078" s="13" t="s">
        <v>2827</v>
      </c>
      <c r="F2078" s="13"/>
      <c r="G2078" s="13" t="s">
        <v>911</v>
      </c>
      <c r="H2078" s="13" t="s">
        <v>2826</v>
      </c>
      <c r="I2078" s="13" t="s">
        <v>2825</v>
      </c>
      <c r="J2078" s="13" t="s">
        <v>2824</v>
      </c>
      <c r="K2078" s="13" t="s">
        <v>2819</v>
      </c>
      <c r="L2078" s="13"/>
      <c r="M2078" s="14"/>
      <c r="N2078" s="13"/>
      <c r="O2078" s="13" t="s">
        <v>1877</v>
      </c>
    </row>
    <row r="2079" spans="1:15" ht="19.5" customHeight="1" x14ac:dyDescent="0.25">
      <c r="A2079" s="11" t="s">
        <v>911</v>
      </c>
      <c r="B2079" s="11"/>
      <c r="C2079" s="11" t="s">
        <v>2823</v>
      </c>
      <c r="D2079" s="11" t="s">
        <v>1883</v>
      </c>
      <c r="E2079" s="11" t="s">
        <v>2822</v>
      </c>
      <c r="F2079" s="11"/>
      <c r="G2079" s="11" t="s">
        <v>911</v>
      </c>
      <c r="H2079" s="11"/>
      <c r="I2079" s="11" t="s">
        <v>2821</v>
      </c>
      <c r="J2079" s="11" t="s">
        <v>2820</v>
      </c>
      <c r="K2079" s="11" t="s">
        <v>2819</v>
      </c>
      <c r="L2079" s="11"/>
      <c r="M2079" s="12"/>
      <c r="N2079" s="11"/>
      <c r="O2079" s="11" t="s">
        <v>1877</v>
      </c>
    </row>
    <row r="2080" spans="1:15" ht="19.5" customHeight="1" x14ac:dyDescent="0.25">
      <c r="A2080" s="13" t="s">
        <v>913</v>
      </c>
      <c r="B2080" s="13"/>
      <c r="C2080" s="13" t="s">
        <v>912</v>
      </c>
      <c r="D2080" s="13" t="s">
        <v>1883</v>
      </c>
      <c r="E2080" s="13" t="s">
        <v>2818</v>
      </c>
      <c r="F2080" s="13"/>
      <c r="G2080" s="13" t="s">
        <v>2813</v>
      </c>
      <c r="H2080" s="13"/>
      <c r="I2080" s="13" t="s">
        <v>2817</v>
      </c>
      <c r="J2080" s="13" t="s">
        <v>2810</v>
      </c>
      <c r="K2080" s="13" t="s">
        <v>2809</v>
      </c>
      <c r="L2080" s="13"/>
      <c r="M2080" s="14"/>
      <c r="N2080" s="13"/>
      <c r="O2080" s="13" t="s">
        <v>1877</v>
      </c>
    </row>
    <row r="2081" spans="1:15" ht="19.5" customHeight="1" x14ac:dyDescent="0.25">
      <c r="A2081" s="11" t="s">
        <v>2813</v>
      </c>
      <c r="B2081" s="11"/>
      <c r="C2081" s="11" t="s">
        <v>2816</v>
      </c>
      <c r="D2081" s="11" t="s">
        <v>1883</v>
      </c>
      <c r="E2081" s="11" t="s">
        <v>2815</v>
      </c>
      <c r="F2081" s="11" t="s">
        <v>2814</v>
      </c>
      <c r="G2081" s="11" t="s">
        <v>2813</v>
      </c>
      <c r="H2081" s="11" t="s">
        <v>2812</v>
      </c>
      <c r="I2081" s="11" t="s">
        <v>2811</v>
      </c>
      <c r="J2081" s="11" t="s">
        <v>2810</v>
      </c>
      <c r="K2081" s="11" t="s">
        <v>2809</v>
      </c>
      <c r="L2081" s="11"/>
      <c r="M2081" s="12"/>
      <c r="N2081" s="11"/>
      <c r="O2081" s="11" t="s">
        <v>1877</v>
      </c>
    </row>
    <row r="2082" spans="1:15" ht="19.5" customHeight="1" x14ac:dyDescent="0.25">
      <c r="A2082" s="13" t="s">
        <v>1474</v>
      </c>
      <c r="B2082" s="13"/>
      <c r="C2082" s="13" t="s">
        <v>1473</v>
      </c>
      <c r="D2082" s="13" t="s">
        <v>1950</v>
      </c>
      <c r="E2082" s="13" t="s">
        <v>2806</v>
      </c>
      <c r="F2082" s="13"/>
      <c r="G2082" s="13" t="s">
        <v>1474</v>
      </c>
      <c r="H2082" s="13"/>
      <c r="I2082" s="13"/>
      <c r="J2082" s="13"/>
      <c r="K2082" s="13"/>
      <c r="L2082" s="13"/>
      <c r="M2082" s="14"/>
      <c r="N2082" s="13"/>
      <c r="O2082" s="13" t="s">
        <v>2808</v>
      </c>
    </row>
    <row r="2083" spans="1:15" ht="19.5" customHeight="1" x14ac:dyDescent="0.25">
      <c r="A2083" s="11" t="s">
        <v>1474</v>
      </c>
      <c r="B2083" s="11"/>
      <c r="C2083" s="11" t="s">
        <v>2807</v>
      </c>
      <c r="D2083" s="11" t="s">
        <v>1950</v>
      </c>
      <c r="E2083" s="11" t="s">
        <v>2806</v>
      </c>
      <c r="F2083" s="11"/>
      <c r="G2083" s="11" t="s">
        <v>1474</v>
      </c>
      <c r="H2083" s="11"/>
      <c r="I2083" s="11"/>
      <c r="J2083" s="11"/>
      <c r="K2083" s="11"/>
      <c r="L2083" s="11"/>
      <c r="M2083" s="12"/>
      <c r="N2083" s="11"/>
      <c r="O2083" s="11" t="s">
        <v>2805</v>
      </c>
    </row>
    <row r="2084" spans="1:15" ht="19.5" customHeight="1" x14ac:dyDescent="0.25">
      <c r="A2084" s="13" t="s">
        <v>2803</v>
      </c>
      <c r="B2084" s="13"/>
      <c r="C2084" s="13" t="s">
        <v>2804</v>
      </c>
      <c r="D2084" s="13" t="s">
        <v>1883</v>
      </c>
      <c r="E2084" s="13"/>
      <c r="F2084" s="13"/>
      <c r="G2084" s="13" t="s">
        <v>2803</v>
      </c>
      <c r="H2084" s="13"/>
      <c r="I2084" s="13"/>
      <c r="J2084" s="13"/>
      <c r="K2084" s="13"/>
      <c r="L2084" s="13"/>
      <c r="M2084" s="14"/>
      <c r="N2084" s="13"/>
      <c r="O2084" s="13"/>
    </row>
    <row r="2085" spans="1:15" ht="19.5" customHeight="1" x14ac:dyDescent="0.25">
      <c r="A2085" s="11" t="s">
        <v>2801</v>
      </c>
      <c r="B2085" s="11"/>
      <c r="C2085" s="11" t="s">
        <v>2802</v>
      </c>
      <c r="D2085" s="11" t="s">
        <v>1883</v>
      </c>
      <c r="E2085" s="11"/>
      <c r="F2085" s="11"/>
      <c r="G2085" s="11" t="s">
        <v>2801</v>
      </c>
      <c r="H2085" s="11"/>
      <c r="I2085" s="11"/>
      <c r="J2085" s="11"/>
      <c r="K2085" s="11"/>
      <c r="L2085" s="11"/>
      <c r="M2085" s="12"/>
      <c r="N2085" s="11"/>
      <c r="O2085" s="11"/>
    </row>
    <row r="2086" spans="1:15" ht="19.5" customHeight="1" x14ac:dyDescent="0.25">
      <c r="A2086" s="13" t="s">
        <v>915</v>
      </c>
      <c r="B2086" s="13"/>
      <c r="C2086" s="13" t="s">
        <v>2800</v>
      </c>
      <c r="D2086" s="13" t="s">
        <v>1883</v>
      </c>
      <c r="E2086" s="13" t="s">
        <v>2799</v>
      </c>
      <c r="F2086" s="13"/>
      <c r="G2086" s="13" t="s">
        <v>915</v>
      </c>
      <c r="H2086" s="13"/>
      <c r="I2086" s="13" t="s">
        <v>2796</v>
      </c>
      <c r="J2086" s="13" t="s">
        <v>2795</v>
      </c>
      <c r="K2086" s="13" t="s">
        <v>2794</v>
      </c>
      <c r="L2086" s="13"/>
      <c r="M2086" s="14"/>
      <c r="N2086" s="13"/>
      <c r="O2086" s="13" t="s">
        <v>1877</v>
      </c>
    </row>
    <row r="2087" spans="1:15" ht="19.5" customHeight="1" x14ac:dyDescent="0.25">
      <c r="A2087" s="11" t="s">
        <v>915</v>
      </c>
      <c r="B2087" s="11"/>
      <c r="C2087" s="11" t="s">
        <v>2798</v>
      </c>
      <c r="D2087" s="11" t="s">
        <v>1883</v>
      </c>
      <c r="E2087" s="11" t="s">
        <v>2797</v>
      </c>
      <c r="F2087" s="11"/>
      <c r="G2087" s="11" t="s">
        <v>915</v>
      </c>
      <c r="H2087" s="11"/>
      <c r="I2087" s="11" t="s">
        <v>2796</v>
      </c>
      <c r="J2087" s="11" t="s">
        <v>2795</v>
      </c>
      <c r="K2087" s="11" t="s">
        <v>2794</v>
      </c>
      <c r="L2087" s="11"/>
      <c r="M2087" s="12"/>
      <c r="N2087" s="11"/>
      <c r="O2087" s="11" t="s">
        <v>1877</v>
      </c>
    </row>
    <row r="2088" spans="1:15" ht="19.5" customHeight="1" x14ac:dyDescent="0.25">
      <c r="A2088" s="13" t="s">
        <v>917</v>
      </c>
      <c r="B2088" s="13"/>
      <c r="C2088" s="13" t="s">
        <v>2793</v>
      </c>
      <c r="D2088" s="13" t="s">
        <v>1883</v>
      </c>
      <c r="E2088" s="13" t="s">
        <v>2790</v>
      </c>
      <c r="F2088" s="13"/>
      <c r="G2088" s="13" t="s">
        <v>917</v>
      </c>
      <c r="H2088" s="13" t="s">
        <v>2789</v>
      </c>
      <c r="I2088" s="13" t="s">
        <v>2788</v>
      </c>
      <c r="J2088" s="13" t="s">
        <v>2787</v>
      </c>
      <c r="K2088" s="13" t="s">
        <v>2313</v>
      </c>
      <c r="L2088" s="13"/>
      <c r="M2088" s="14"/>
      <c r="N2088" s="13"/>
      <c r="O2088" s="13" t="s">
        <v>1877</v>
      </c>
    </row>
    <row r="2089" spans="1:15" ht="19.5" customHeight="1" x14ac:dyDescent="0.25">
      <c r="A2089" s="11" t="s">
        <v>917</v>
      </c>
      <c r="B2089" s="11"/>
      <c r="C2089" s="11" t="s">
        <v>2792</v>
      </c>
      <c r="D2089" s="11" t="s">
        <v>1883</v>
      </c>
      <c r="E2089" s="11" t="s">
        <v>2790</v>
      </c>
      <c r="F2089" s="11"/>
      <c r="G2089" s="11" t="s">
        <v>917</v>
      </c>
      <c r="H2089" s="11" t="s">
        <v>2789</v>
      </c>
      <c r="I2089" s="11" t="s">
        <v>2788</v>
      </c>
      <c r="J2089" s="11" t="s">
        <v>2787</v>
      </c>
      <c r="K2089" s="11" t="s">
        <v>2313</v>
      </c>
      <c r="L2089" s="11"/>
      <c r="M2089" s="12"/>
      <c r="N2089" s="11"/>
      <c r="O2089" s="11" t="s">
        <v>1877</v>
      </c>
    </row>
    <row r="2090" spans="1:15" ht="19.5" customHeight="1" x14ac:dyDescent="0.25">
      <c r="A2090" s="13" t="s">
        <v>917</v>
      </c>
      <c r="B2090" s="13"/>
      <c r="C2090" s="13" t="s">
        <v>2791</v>
      </c>
      <c r="D2090" s="13" t="s">
        <v>1883</v>
      </c>
      <c r="E2090" s="13" t="s">
        <v>2790</v>
      </c>
      <c r="F2090" s="13"/>
      <c r="G2090" s="13" t="s">
        <v>917</v>
      </c>
      <c r="H2090" s="13" t="s">
        <v>2789</v>
      </c>
      <c r="I2090" s="13" t="s">
        <v>2788</v>
      </c>
      <c r="J2090" s="13" t="s">
        <v>2787</v>
      </c>
      <c r="K2090" s="13" t="s">
        <v>2313</v>
      </c>
      <c r="L2090" s="13"/>
      <c r="M2090" s="14"/>
      <c r="N2090" s="13"/>
      <c r="O2090" s="13" t="s">
        <v>1877</v>
      </c>
    </row>
    <row r="2091" spans="1:15" ht="19.5" customHeight="1" x14ac:dyDescent="0.25">
      <c r="A2091" s="11" t="s">
        <v>2780</v>
      </c>
      <c r="B2091" s="11"/>
      <c r="C2091" s="11" t="s">
        <v>2786</v>
      </c>
      <c r="D2091" s="11" t="s">
        <v>1883</v>
      </c>
      <c r="E2091" s="11"/>
      <c r="F2091" s="11"/>
      <c r="G2091" s="11" t="s">
        <v>2780</v>
      </c>
      <c r="H2091" s="11"/>
      <c r="I2091" s="11"/>
      <c r="J2091" s="11"/>
      <c r="K2091" s="11"/>
      <c r="L2091" s="11"/>
      <c r="M2091" s="12"/>
      <c r="N2091" s="11"/>
      <c r="O2091" s="11"/>
    </row>
    <row r="2092" spans="1:15" ht="19.5" customHeight="1" x14ac:dyDescent="0.25">
      <c r="A2092" s="13" t="s">
        <v>2780</v>
      </c>
      <c r="B2092" s="13"/>
      <c r="C2092" s="13" t="s">
        <v>2785</v>
      </c>
      <c r="D2092" s="13" t="s">
        <v>1883</v>
      </c>
      <c r="E2092" s="13"/>
      <c r="F2092" s="13"/>
      <c r="G2092" s="13" t="s">
        <v>2780</v>
      </c>
      <c r="H2092" s="13"/>
      <c r="I2092" s="13"/>
      <c r="J2092" s="13"/>
      <c r="K2092" s="13"/>
      <c r="L2092" s="13"/>
      <c r="M2092" s="14"/>
      <c r="N2092" s="13"/>
      <c r="O2092" s="13"/>
    </row>
    <row r="2093" spans="1:15" ht="19.5" customHeight="1" x14ac:dyDescent="0.25">
      <c r="A2093" s="11" t="s">
        <v>2780</v>
      </c>
      <c r="B2093" s="11"/>
      <c r="C2093" s="11" t="s">
        <v>2784</v>
      </c>
      <c r="D2093" s="11" t="s">
        <v>1883</v>
      </c>
      <c r="E2093" s="11"/>
      <c r="F2093" s="11"/>
      <c r="G2093" s="11" t="s">
        <v>2780</v>
      </c>
      <c r="H2093" s="11"/>
      <c r="I2093" s="11"/>
      <c r="J2093" s="11"/>
      <c r="K2093" s="11"/>
      <c r="L2093" s="11"/>
      <c r="M2093" s="12"/>
      <c r="N2093" s="11"/>
      <c r="O2093" s="11"/>
    </row>
    <row r="2094" spans="1:15" ht="19.5" customHeight="1" x14ac:dyDescent="0.25">
      <c r="A2094" s="13" t="s">
        <v>2780</v>
      </c>
      <c r="B2094" s="13"/>
      <c r="C2094" s="13" t="s">
        <v>2783</v>
      </c>
      <c r="D2094" s="13" t="s">
        <v>1883</v>
      </c>
      <c r="E2094" s="13"/>
      <c r="F2094" s="13"/>
      <c r="G2094" s="13" t="s">
        <v>2780</v>
      </c>
      <c r="H2094" s="13"/>
      <c r="I2094" s="13"/>
      <c r="J2094" s="13"/>
      <c r="K2094" s="13"/>
      <c r="L2094" s="13"/>
      <c r="M2094" s="14"/>
      <c r="N2094" s="13"/>
      <c r="O2094" s="13"/>
    </row>
    <row r="2095" spans="1:15" ht="19.5" customHeight="1" x14ac:dyDescent="0.25">
      <c r="A2095" s="11" t="s">
        <v>2780</v>
      </c>
      <c r="B2095" s="11"/>
      <c r="C2095" s="11" t="s">
        <v>2782</v>
      </c>
      <c r="D2095" s="11" t="s">
        <v>1883</v>
      </c>
      <c r="E2095" s="11"/>
      <c r="F2095" s="11"/>
      <c r="G2095" s="11" t="s">
        <v>2780</v>
      </c>
      <c r="H2095" s="11"/>
      <c r="I2095" s="11"/>
      <c r="J2095" s="11"/>
      <c r="K2095" s="11"/>
      <c r="L2095" s="11"/>
      <c r="M2095" s="12"/>
      <c r="N2095" s="11"/>
      <c r="O2095" s="11"/>
    </row>
    <row r="2096" spans="1:15" ht="19.5" customHeight="1" x14ac:dyDescent="0.25">
      <c r="A2096" s="13" t="s">
        <v>2780</v>
      </c>
      <c r="B2096" s="13"/>
      <c r="C2096" s="13" t="s">
        <v>2781</v>
      </c>
      <c r="D2096" s="13" t="s">
        <v>1883</v>
      </c>
      <c r="E2096" s="13"/>
      <c r="F2096" s="13"/>
      <c r="G2096" s="13" t="s">
        <v>2780</v>
      </c>
      <c r="H2096" s="13"/>
      <c r="I2096" s="13"/>
      <c r="J2096" s="13"/>
      <c r="K2096" s="13"/>
      <c r="L2096" s="13"/>
      <c r="M2096" s="14"/>
      <c r="N2096" s="13"/>
      <c r="O2096" s="13"/>
    </row>
    <row r="2097" spans="1:15" ht="19.5" customHeight="1" x14ac:dyDescent="0.25">
      <c r="A2097" s="11" t="s">
        <v>2774</v>
      </c>
      <c r="B2097" s="11"/>
      <c r="C2097" s="11" t="s">
        <v>2779</v>
      </c>
      <c r="D2097" s="11" t="s">
        <v>1883</v>
      </c>
      <c r="E2097" s="11"/>
      <c r="F2097" s="11"/>
      <c r="G2097" s="11" t="s">
        <v>2774</v>
      </c>
      <c r="H2097" s="11"/>
      <c r="I2097" s="11"/>
      <c r="J2097" s="11"/>
      <c r="K2097" s="11"/>
      <c r="L2097" s="11"/>
      <c r="M2097" s="12"/>
      <c r="N2097" s="11"/>
      <c r="O2097" s="11"/>
    </row>
    <row r="2098" spans="1:15" ht="19.5" customHeight="1" x14ac:dyDescent="0.25">
      <c r="A2098" s="13" t="s">
        <v>2774</v>
      </c>
      <c r="B2098" s="13"/>
      <c r="C2098" s="13" t="s">
        <v>2778</v>
      </c>
      <c r="D2098" s="13" t="s">
        <v>1883</v>
      </c>
      <c r="E2098" s="13"/>
      <c r="F2098" s="13"/>
      <c r="G2098" s="13" t="s">
        <v>2774</v>
      </c>
      <c r="H2098" s="13"/>
      <c r="I2098" s="13"/>
      <c r="J2098" s="13"/>
      <c r="K2098" s="13"/>
      <c r="L2098" s="13"/>
      <c r="M2098" s="14"/>
      <c r="N2098" s="13"/>
      <c r="O2098" s="13"/>
    </row>
    <row r="2099" spans="1:15" ht="19.5" customHeight="1" x14ac:dyDescent="0.25">
      <c r="A2099" s="11" t="s">
        <v>2774</v>
      </c>
      <c r="B2099" s="11"/>
      <c r="C2099" s="11" t="s">
        <v>2777</v>
      </c>
      <c r="D2099" s="11" t="s">
        <v>1883</v>
      </c>
      <c r="E2099" s="11"/>
      <c r="F2099" s="11"/>
      <c r="G2099" s="11" t="s">
        <v>2774</v>
      </c>
      <c r="H2099" s="11"/>
      <c r="I2099" s="11"/>
      <c r="J2099" s="11"/>
      <c r="K2099" s="11"/>
      <c r="L2099" s="11"/>
      <c r="M2099" s="12"/>
      <c r="N2099" s="11"/>
      <c r="O2099" s="11"/>
    </row>
    <row r="2100" spans="1:15" ht="19.5" customHeight="1" x14ac:dyDescent="0.25">
      <c r="A2100" s="13" t="s">
        <v>2774</v>
      </c>
      <c r="B2100" s="13"/>
      <c r="C2100" s="13" t="s">
        <v>2776</v>
      </c>
      <c r="D2100" s="13" t="s">
        <v>1883</v>
      </c>
      <c r="E2100" s="13"/>
      <c r="F2100" s="13"/>
      <c r="G2100" s="13" t="s">
        <v>2774</v>
      </c>
      <c r="H2100" s="13"/>
      <c r="I2100" s="13"/>
      <c r="J2100" s="13"/>
      <c r="K2100" s="13"/>
      <c r="L2100" s="13"/>
      <c r="M2100" s="14"/>
      <c r="N2100" s="13"/>
      <c r="O2100" s="13"/>
    </row>
    <row r="2101" spans="1:15" ht="19.5" customHeight="1" x14ac:dyDescent="0.25">
      <c r="A2101" s="11" t="s">
        <v>2774</v>
      </c>
      <c r="B2101" s="11"/>
      <c r="C2101" s="11" t="s">
        <v>2775</v>
      </c>
      <c r="D2101" s="11" t="s">
        <v>1883</v>
      </c>
      <c r="E2101" s="11"/>
      <c r="F2101" s="11"/>
      <c r="G2101" s="11" t="s">
        <v>2774</v>
      </c>
      <c r="H2101" s="11"/>
      <c r="I2101" s="11"/>
      <c r="J2101" s="11"/>
      <c r="K2101" s="11"/>
      <c r="L2101" s="11"/>
      <c r="M2101" s="12"/>
      <c r="N2101" s="11"/>
      <c r="O2101" s="11"/>
    </row>
    <row r="2102" spans="1:15" ht="19.5" customHeight="1" x14ac:dyDescent="0.25">
      <c r="A2102" s="13" t="s">
        <v>2771</v>
      </c>
      <c r="B2102" s="13"/>
      <c r="C2102" s="13" t="s">
        <v>2773</v>
      </c>
      <c r="D2102" s="13" t="s">
        <v>1883</v>
      </c>
      <c r="E2102" s="13"/>
      <c r="F2102" s="13"/>
      <c r="G2102" s="13" t="s">
        <v>2771</v>
      </c>
      <c r="H2102" s="13"/>
      <c r="I2102" s="13"/>
      <c r="J2102" s="13"/>
      <c r="K2102" s="13"/>
      <c r="L2102" s="13"/>
      <c r="M2102" s="14"/>
      <c r="N2102" s="13"/>
      <c r="O2102" s="13"/>
    </row>
    <row r="2103" spans="1:15" ht="19.5" customHeight="1" x14ac:dyDescent="0.25">
      <c r="A2103" s="11" t="s">
        <v>2771</v>
      </c>
      <c r="B2103" s="11"/>
      <c r="C2103" s="11" t="s">
        <v>2772</v>
      </c>
      <c r="D2103" s="11" t="s">
        <v>1883</v>
      </c>
      <c r="E2103" s="11"/>
      <c r="F2103" s="11"/>
      <c r="G2103" s="11" t="s">
        <v>2771</v>
      </c>
      <c r="H2103" s="11"/>
      <c r="I2103" s="11"/>
      <c r="J2103" s="11"/>
      <c r="K2103" s="11"/>
      <c r="L2103" s="11"/>
      <c r="M2103" s="12"/>
      <c r="N2103" s="11"/>
      <c r="O2103" s="11"/>
    </row>
    <row r="2104" spans="1:15" ht="19.5" customHeight="1" x14ac:dyDescent="0.25">
      <c r="A2104" s="13" t="s">
        <v>2769</v>
      </c>
      <c r="B2104" s="13"/>
      <c r="C2104" s="13" t="s">
        <v>2770</v>
      </c>
      <c r="D2104" s="13" t="s">
        <v>1950</v>
      </c>
      <c r="E2104" s="13"/>
      <c r="F2104" s="13"/>
      <c r="G2104" s="13" t="s">
        <v>2769</v>
      </c>
      <c r="H2104" s="13"/>
      <c r="I2104" s="13" t="s">
        <v>2768</v>
      </c>
      <c r="J2104" s="13" t="s">
        <v>2767</v>
      </c>
      <c r="K2104" s="13" t="s">
        <v>1952</v>
      </c>
      <c r="L2104" s="13"/>
      <c r="M2104" s="14"/>
      <c r="N2104" s="13"/>
      <c r="O2104" s="13" t="s">
        <v>1945</v>
      </c>
    </row>
    <row r="2105" spans="1:15" ht="19.5" customHeight="1" x14ac:dyDescent="0.25">
      <c r="A2105" s="11" t="s">
        <v>2764</v>
      </c>
      <c r="B2105" s="11"/>
      <c r="C2105" s="11" t="s">
        <v>2766</v>
      </c>
      <c r="D2105" s="11" t="s">
        <v>1883</v>
      </c>
      <c r="E2105" s="11" t="s">
        <v>2765</v>
      </c>
      <c r="F2105" s="11"/>
      <c r="G2105" s="11" t="s">
        <v>2764</v>
      </c>
      <c r="H2105" s="11"/>
      <c r="I2105" s="11" t="s">
        <v>2763</v>
      </c>
      <c r="J2105" s="11" t="s">
        <v>2762</v>
      </c>
      <c r="K2105" s="11" t="s">
        <v>2313</v>
      </c>
      <c r="L2105" s="11"/>
      <c r="M2105" s="12"/>
      <c r="N2105" s="11"/>
      <c r="O2105" s="11" t="s">
        <v>1877</v>
      </c>
    </row>
    <row r="2106" spans="1:15" ht="19.5" customHeight="1" x14ac:dyDescent="0.25">
      <c r="A2106" s="13" t="s">
        <v>1592</v>
      </c>
      <c r="B2106" s="13"/>
      <c r="C2106" s="13" t="s">
        <v>2761</v>
      </c>
      <c r="D2106" s="13" t="s">
        <v>1883</v>
      </c>
      <c r="E2106" s="13" t="s">
        <v>2760</v>
      </c>
      <c r="F2106" s="13"/>
      <c r="G2106" s="13" t="s">
        <v>1592</v>
      </c>
      <c r="H2106" s="13"/>
      <c r="I2106" s="13" t="s">
        <v>2759</v>
      </c>
      <c r="J2106" s="13" t="s">
        <v>2758</v>
      </c>
      <c r="K2106" s="13" t="s">
        <v>2313</v>
      </c>
      <c r="L2106" s="13"/>
      <c r="M2106" s="14"/>
      <c r="N2106" s="13"/>
      <c r="O2106" s="13" t="s">
        <v>1877</v>
      </c>
    </row>
    <row r="2107" spans="1:15" ht="19.5" customHeight="1" x14ac:dyDescent="0.25">
      <c r="A2107" s="11" t="s">
        <v>919</v>
      </c>
      <c r="B2107" s="11"/>
      <c r="C2107" s="11" t="s">
        <v>2757</v>
      </c>
      <c r="D2107" s="11" t="s">
        <v>1883</v>
      </c>
      <c r="E2107" s="11" t="s">
        <v>2750</v>
      </c>
      <c r="F2107" s="11"/>
      <c r="G2107" s="11" t="s">
        <v>919</v>
      </c>
      <c r="H2107" s="11" t="s">
        <v>2754</v>
      </c>
      <c r="I2107" s="11" t="s">
        <v>2753</v>
      </c>
      <c r="J2107" s="11" t="s">
        <v>2752</v>
      </c>
      <c r="K2107" s="11" t="s">
        <v>1878</v>
      </c>
      <c r="L2107" s="11"/>
      <c r="M2107" s="12"/>
      <c r="N2107" s="11"/>
      <c r="O2107" s="11" t="s">
        <v>1877</v>
      </c>
    </row>
    <row r="2108" spans="1:15" ht="19.5" customHeight="1" x14ac:dyDescent="0.25">
      <c r="A2108" s="13" t="s">
        <v>919</v>
      </c>
      <c r="B2108" s="13"/>
      <c r="C2108" s="13" t="s">
        <v>2756</v>
      </c>
      <c r="D2108" s="13" t="s">
        <v>1883</v>
      </c>
      <c r="E2108" s="13" t="s">
        <v>2750</v>
      </c>
      <c r="F2108" s="13"/>
      <c r="G2108" s="13" t="s">
        <v>919</v>
      </c>
      <c r="H2108" s="13" t="s">
        <v>2754</v>
      </c>
      <c r="I2108" s="13" t="s">
        <v>2753</v>
      </c>
      <c r="J2108" s="13" t="s">
        <v>2752</v>
      </c>
      <c r="K2108" s="13" t="s">
        <v>1878</v>
      </c>
      <c r="L2108" s="13"/>
      <c r="M2108" s="14"/>
      <c r="N2108" s="13"/>
      <c r="O2108" s="13" t="s">
        <v>1877</v>
      </c>
    </row>
    <row r="2109" spans="1:15" ht="19.5" customHeight="1" x14ac:dyDescent="0.25">
      <c r="A2109" s="11" t="s">
        <v>919</v>
      </c>
      <c r="B2109" s="11"/>
      <c r="C2109" s="11" t="s">
        <v>2755</v>
      </c>
      <c r="D2109" s="11" t="s">
        <v>1883</v>
      </c>
      <c r="E2109" s="11" t="s">
        <v>2750</v>
      </c>
      <c r="F2109" s="11"/>
      <c r="G2109" s="11" t="s">
        <v>919</v>
      </c>
      <c r="H2109" s="11" t="s">
        <v>2754</v>
      </c>
      <c r="I2109" s="11" t="s">
        <v>2753</v>
      </c>
      <c r="J2109" s="11" t="s">
        <v>2752</v>
      </c>
      <c r="K2109" s="11" t="s">
        <v>1878</v>
      </c>
      <c r="L2109" s="11"/>
      <c r="M2109" s="12"/>
      <c r="N2109" s="11"/>
      <c r="O2109" s="11" t="s">
        <v>1877</v>
      </c>
    </row>
    <row r="2110" spans="1:15" ht="19.5" customHeight="1" x14ac:dyDescent="0.25">
      <c r="A2110" s="13" t="s">
        <v>919</v>
      </c>
      <c r="B2110" s="13"/>
      <c r="C2110" s="13" t="s">
        <v>2751</v>
      </c>
      <c r="D2110" s="13" t="s">
        <v>1883</v>
      </c>
      <c r="E2110" s="13" t="s">
        <v>2750</v>
      </c>
      <c r="F2110" s="13"/>
      <c r="G2110" s="13" t="s">
        <v>919</v>
      </c>
      <c r="H2110" s="13"/>
      <c r="I2110" s="13"/>
      <c r="J2110" s="13"/>
      <c r="K2110" s="13" t="s">
        <v>1878</v>
      </c>
      <c r="L2110" s="13"/>
      <c r="M2110" s="14"/>
      <c r="N2110" s="13"/>
      <c r="O2110" s="13" t="s">
        <v>1916</v>
      </c>
    </row>
    <row r="2111" spans="1:15" ht="19.5" customHeight="1" x14ac:dyDescent="0.25">
      <c r="A2111" s="11" t="s">
        <v>2747</v>
      </c>
      <c r="B2111" s="11"/>
      <c r="C2111" s="11" t="s">
        <v>2749</v>
      </c>
      <c r="D2111" s="11" t="s">
        <v>1883</v>
      </c>
      <c r="E2111" s="11" t="s">
        <v>2748</v>
      </c>
      <c r="F2111" s="11"/>
      <c r="G2111" s="11" t="s">
        <v>2747</v>
      </c>
      <c r="H2111" s="11"/>
      <c r="I2111" s="11" t="s">
        <v>2746</v>
      </c>
      <c r="J2111" s="11" t="s">
        <v>2745</v>
      </c>
      <c r="K2111" s="11" t="s">
        <v>1887</v>
      </c>
      <c r="L2111" s="11"/>
      <c r="M2111" s="12"/>
      <c r="N2111" s="11"/>
      <c r="O2111" s="11" t="s">
        <v>1877</v>
      </c>
    </row>
    <row r="2112" spans="1:15" ht="19.5" customHeight="1" x14ac:dyDescent="0.25">
      <c r="A2112" s="13" t="s">
        <v>921</v>
      </c>
      <c r="B2112" s="13"/>
      <c r="C2112" s="13" t="s">
        <v>2744</v>
      </c>
      <c r="D2112" s="13" t="s">
        <v>1883</v>
      </c>
      <c r="E2112" s="13" t="s">
        <v>2741</v>
      </c>
      <c r="F2112" s="13"/>
      <c r="G2112" s="13" t="s">
        <v>921</v>
      </c>
      <c r="H2112" s="13"/>
      <c r="I2112" s="13" t="s">
        <v>2740</v>
      </c>
      <c r="J2112" s="13" t="s">
        <v>2739</v>
      </c>
      <c r="K2112" s="13" t="s">
        <v>1878</v>
      </c>
      <c r="L2112" s="13"/>
      <c r="M2112" s="14"/>
      <c r="N2112" s="13"/>
      <c r="O2112" s="13" t="s">
        <v>1877</v>
      </c>
    </row>
    <row r="2113" spans="1:15" ht="19.5" customHeight="1" x14ac:dyDescent="0.25">
      <c r="A2113" s="11" t="s">
        <v>921</v>
      </c>
      <c r="B2113" s="11"/>
      <c r="C2113" s="11" t="s">
        <v>2743</v>
      </c>
      <c r="D2113" s="11" t="s">
        <v>1883</v>
      </c>
      <c r="E2113" s="11" t="s">
        <v>2741</v>
      </c>
      <c r="F2113" s="11"/>
      <c r="G2113" s="11" t="s">
        <v>921</v>
      </c>
      <c r="H2113" s="11"/>
      <c r="I2113" s="11" t="s">
        <v>2740</v>
      </c>
      <c r="J2113" s="11" t="s">
        <v>2739</v>
      </c>
      <c r="K2113" s="11" t="s">
        <v>1878</v>
      </c>
      <c r="L2113" s="11"/>
      <c r="M2113" s="12"/>
      <c r="N2113" s="11"/>
      <c r="O2113" s="11" t="s">
        <v>1877</v>
      </c>
    </row>
    <row r="2114" spans="1:15" ht="19.5" customHeight="1" x14ac:dyDescent="0.25">
      <c r="A2114" s="13" t="s">
        <v>921</v>
      </c>
      <c r="B2114" s="13"/>
      <c r="C2114" s="13" t="s">
        <v>2742</v>
      </c>
      <c r="D2114" s="13" t="s">
        <v>1883</v>
      </c>
      <c r="E2114" s="13" t="s">
        <v>2741</v>
      </c>
      <c r="F2114" s="13"/>
      <c r="G2114" s="13" t="s">
        <v>921</v>
      </c>
      <c r="H2114" s="13"/>
      <c r="I2114" s="13" t="s">
        <v>2740</v>
      </c>
      <c r="J2114" s="13" t="s">
        <v>2739</v>
      </c>
      <c r="K2114" s="13" t="s">
        <v>1878</v>
      </c>
      <c r="L2114" s="13"/>
      <c r="M2114" s="14"/>
      <c r="N2114" s="13"/>
      <c r="O2114" s="13" t="s">
        <v>1877</v>
      </c>
    </row>
    <row r="2115" spans="1:15" ht="19.5" customHeight="1" x14ac:dyDescent="0.25">
      <c r="A2115" s="11" t="s">
        <v>2737</v>
      </c>
      <c r="B2115" s="11"/>
      <c r="C2115" s="11" t="s">
        <v>2738</v>
      </c>
      <c r="D2115" s="11" t="s">
        <v>1883</v>
      </c>
      <c r="E2115" s="11" t="s">
        <v>2551</v>
      </c>
      <c r="F2115" s="11"/>
      <c r="G2115" s="11" t="s">
        <v>2737</v>
      </c>
      <c r="H2115" s="11"/>
      <c r="I2115" s="11"/>
      <c r="J2115" s="11"/>
      <c r="K2115" s="11"/>
      <c r="L2115" s="11"/>
      <c r="M2115" s="12"/>
      <c r="N2115" s="11"/>
      <c r="O2115" s="11" t="s">
        <v>1916</v>
      </c>
    </row>
    <row r="2116" spans="1:15" ht="19.5" customHeight="1" x14ac:dyDescent="0.25">
      <c r="A2116" s="13" t="s">
        <v>1098</v>
      </c>
      <c r="B2116" s="13"/>
      <c r="C2116" s="13" t="s">
        <v>2736</v>
      </c>
      <c r="D2116" s="13" t="s">
        <v>1883</v>
      </c>
      <c r="E2116" s="13" t="s">
        <v>2735</v>
      </c>
      <c r="F2116" s="13"/>
      <c r="G2116" s="13" t="s">
        <v>1098</v>
      </c>
      <c r="H2116" s="13"/>
      <c r="I2116" s="13" t="s">
        <v>2734</v>
      </c>
      <c r="J2116" s="13" t="s">
        <v>2733</v>
      </c>
      <c r="K2116" s="13" t="s">
        <v>2093</v>
      </c>
      <c r="L2116" s="13"/>
      <c r="M2116" s="14"/>
      <c r="N2116" s="13"/>
      <c r="O2116" s="13" t="s">
        <v>1877</v>
      </c>
    </row>
    <row r="2117" spans="1:15" ht="19.5" customHeight="1" x14ac:dyDescent="0.25">
      <c r="A2117" s="11" t="s">
        <v>2731</v>
      </c>
      <c r="B2117" s="11"/>
      <c r="C2117" s="11" t="s">
        <v>2732</v>
      </c>
      <c r="D2117" s="11" t="s">
        <v>1883</v>
      </c>
      <c r="E2117" s="11"/>
      <c r="F2117" s="11"/>
      <c r="G2117" s="11" t="s">
        <v>2731</v>
      </c>
      <c r="H2117" s="11"/>
      <c r="I2117" s="11"/>
      <c r="J2117" s="11"/>
      <c r="K2117" s="11"/>
      <c r="L2117" s="11"/>
      <c r="M2117" s="12"/>
      <c r="N2117" s="11"/>
      <c r="O2117" s="11"/>
    </row>
    <row r="2118" spans="1:15" ht="19.5" customHeight="1" x14ac:dyDescent="0.25">
      <c r="A2118" s="13" t="s">
        <v>2727</v>
      </c>
      <c r="B2118" s="13"/>
      <c r="C2118" s="13" t="s">
        <v>2730</v>
      </c>
      <c r="D2118" s="13" t="s">
        <v>1883</v>
      </c>
      <c r="E2118" s="13" t="s">
        <v>2728</v>
      </c>
      <c r="F2118" s="13"/>
      <c r="G2118" s="13" t="s">
        <v>2727</v>
      </c>
      <c r="H2118" s="13"/>
      <c r="I2118" s="13"/>
      <c r="J2118" s="13"/>
      <c r="K2118" s="13"/>
      <c r="L2118" s="13"/>
      <c r="M2118" s="14"/>
      <c r="N2118" s="13"/>
      <c r="O2118" s="13" t="s">
        <v>1916</v>
      </c>
    </row>
    <row r="2119" spans="1:15" ht="19.5" customHeight="1" x14ac:dyDescent="0.25">
      <c r="A2119" s="11" t="s">
        <v>2727</v>
      </c>
      <c r="B2119" s="11"/>
      <c r="C2119" s="11" t="s">
        <v>2729</v>
      </c>
      <c r="D2119" s="11" t="s">
        <v>1883</v>
      </c>
      <c r="E2119" s="11" t="s">
        <v>2728</v>
      </c>
      <c r="F2119" s="11"/>
      <c r="G2119" s="11" t="s">
        <v>2727</v>
      </c>
      <c r="H2119" s="11"/>
      <c r="I2119" s="11"/>
      <c r="J2119" s="11"/>
      <c r="K2119" s="11"/>
      <c r="L2119" s="11"/>
      <c r="M2119" s="12"/>
      <c r="N2119" s="11"/>
      <c r="O2119" s="11" t="s">
        <v>1916</v>
      </c>
    </row>
    <row r="2120" spans="1:15" ht="19.5" customHeight="1" x14ac:dyDescent="0.25">
      <c r="A2120" s="13" t="s">
        <v>2726</v>
      </c>
      <c r="B2120" s="13"/>
      <c r="C2120" s="13" t="s">
        <v>2725</v>
      </c>
      <c r="D2120" s="13" t="s">
        <v>1883</v>
      </c>
      <c r="E2120" s="13" t="s">
        <v>2724</v>
      </c>
      <c r="F2120" s="13"/>
      <c r="G2120" s="13" t="s">
        <v>1134</v>
      </c>
      <c r="H2120" s="13"/>
      <c r="I2120" s="13" t="s">
        <v>2723</v>
      </c>
      <c r="J2120" s="13" t="s">
        <v>2722</v>
      </c>
      <c r="K2120" s="13" t="s">
        <v>2721</v>
      </c>
      <c r="L2120" s="13"/>
      <c r="M2120" s="14"/>
      <c r="N2120" s="13"/>
      <c r="O2120" s="13" t="s">
        <v>1877</v>
      </c>
    </row>
    <row r="2121" spans="1:15" ht="19.5" customHeight="1" x14ac:dyDescent="0.25">
      <c r="A2121" s="11" t="s">
        <v>1411</v>
      </c>
      <c r="B2121" s="11"/>
      <c r="C2121" s="11" t="s">
        <v>2720</v>
      </c>
      <c r="D2121" s="11" t="s">
        <v>1883</v>
      </c>
      <c r="E2121" s="11" t="s">
        <v>2718</v>
      </c>
      <c r="F2121" s="11"/>
      <c r="G2121" s="11" t="s">
        <v>1411</v>
      </c>
      <c r="H2121" s="11"/>
      <c r="I2121" s="11"/>
      <c r="J2121" s="11"/>
      <c r="K2121" s="11" t="s">
        <v>2635</v>
      </c>
      <c r="L2121" s="11"/>
      <c r="M2121" s="12"/>
      <c r="N2121" s="11"/>
      <c r="O2121" s="11" t="s">
        <v>1916</v>
      </c>
    </row>
    <row r="2122" spans="1:15" ht="19.5" customHeight="1" x14ac:dyDescent="0.25">
      <c r="A2122" s="13" t="s">
        <v>1411</v>
      </c>
      <c r="B2122" s="13"/>
      <c r="C2122" s="13" t="s">
        <v>2719</v>
      </c>
      <c r="D2122" s="13" t="s">
        <v>1883</v>
      </c>
      <c r="E2122" s="13" t="s">
        <v>2718</v>
      </c>
      <c r="F2122" s="13"/>
      <c r="G2122" s="13" t="s">
        <v>2717</v>
      </c>
      <c r="H2122" s="13"/>
      <c r="I2122" s="13" t="s">
        <v>2716</v>
      </c>
      <c r="J2122" s="13" t="s">
        <v>2715</v>
      </c>
      <c r="K2122" s="13" t="s">
        <v>2635</v>
      </c>
      <c r="L2122" s="13"/>
      <c r="M2122" s="14"/>
      <c r="N2122" s="13"/>
      <c r="O2122" s="13" t="s">
        <v>1877</v>
      </c>
    </row>
    <row r="2123" spans="1:15" ht="19.5" customHeight="1" x14ac:dyDescent="0.25">
      <c r="A2123" s="11" t="s">
        <v>2714</v>
      </c>
      <c r="B2123" s="11"/>
      <c r="C2123" s="11" t="s">
        <v>2713</v>
      </c>
      <c r="D2123" s="11" t="s">
        <v>1883</v>
      </c>
      <c r="E2123" s="11" t="s">
        <v>2712</v>
      </c>
      <c r="F2123" s="11"/>
      <c r="G2123" s="11" t="s">
        <v>2711</v>
      </c>
      <c r="H2123" s="11"/>
      <c r="I2123" s="11" t="s">
        <v>2710</v>
      </c>
      <c r="J2123" s="11" t="s">
        <v>2709</v>
      </c>
      <c r="K2123" s="11" t="s">
        <v>2699</v>
      </c>
      <c r="L2123" s="11"/>
      <c r="M2123" s="12"/>
      <c r="N2123" s="11"/>
      <c r="O2123" s="11" t="s">
        <v>1877</v>
      </c>
    </row>
    <row r="2124" spans="1:15" ht="19.5" customHeight="1" x14ac:dyDescent="0.25">
      <c r="A2124" s="13" t="s">
        <v>2702</v>
      </c>
      <c r="B2124" s="13"/>
      <c r="C2124" s="13" t="s">
        <v>2708</v>
      </c>
      <c r="D2124" s="13" t="s">
        <v>1883</v>
      </c>
      <c r="E2124" s="13" t="s">
        <v>2707</v>
      </c>
      <c r="F2124" s="13"/>
      <c r="G2124" s="13" t="s">
        <v>2702</v>
      </c>
      <c r="H2124" s="13"/>
      <c r="I2124" s="13"/>
      <c r="J2124" s="13"/>
      <c r="K2124" s="13"/>
      <c r="L2124" s="13"/>
      <c r="M2124" s="14"/>
      <c r="N2124" s="13"/>
      <c r="O2124" s="13" t="s">
        <v>1916</v>
      </c>
    </row>
    <row r="2125" spans="1:15" ht="19.5" customHeight="1" x14ac:dyDescent="0.25">
      <c r="A2125" s="11" t="s">
        <v>925</v>
      </c>
      <c r="B2125" s="11"/>
      <c r="C2125" s="11" t="s">
        <v>2706</v>
      </c>
      <c r="D2125" s="11" t="s">
        <v>1883</v>
      </c>
      <c r="E2125" s="11" t="s">
        <v>2703</v>
      </c>
      <c r="F2125" s="11"/>
      <c r="G2125" s="11" t="s">
        <v>2702</v>
      </c>
      <c r="H2125" s="11"/>
      <c r="I2125" s="11" t="s">
        <v>2701</v>
      </c>
      <c r="J2125" s="11" t="s">
        <v>2700</v>
      </c>
      <c r="K2125" s="11" t="s">
        <v>2699</v>
      </c>
      <c r="L2125" s="11"/>
      <c r="M2125" s="12"/>
      <c r="N2125" s="11"/>
      <c r="O2125" s="11" t="s">
        <v>1877</v>
      </c>
    </row>
    <row r="2126" spans="1:15" ht="19.5" customHeight="1" x14ac:dyDescent="0.25">
      <c r="A2126" s="13" t="s">
        <v>925</v>
      </c>
      <c r="B2126" s="13"/>
      <c r="C2126" s="13" t="s">
        <v>2705</v>
      </c>
      <c r="D2126" s="13" t="s">
        <v>1883</v>
      </c>
      <c r="E2126" s="13" t="s">
        <v>2703</v>
      </c>
      <c r="F2126" s="13"/>
      <c r="G2126" s="13" t="s">
        <v>2702</v>
      </c>
      <c r="H2126" s="13"/>
      <c r="I2126" s="13" t="s">
        <v>2701</v>
      </c>
      <c r="J2126" s="13" t="s">
        <v>2700</v>
      </c>
      <c r="K2126" s="13" t="s">
        <v>2699</v>
      </c>
      <c r="L2126" s="13"/>
      <c r="M2126" s="14"/>
      <c r="N2126" s="13"/>
      <c r="O2126" s="13" t="s">
        <v>1877</v>
      </c>
    </row>
    <row r="2127" spans="1:15" ht="19.5" customHeight="1" x14ac:dyDescent="0.25">
      <c r="A2127" s="11" t="s">
        <v>925</v>
      </c>
      <c r="B2127" s="11"/>
      <c r="C2127" s="11" t="s">
        <v>2704</v>
      </c>
      <c r="D2127" s="11" t="s">
        <v>1883</v>
      </c>
      <c r="E2127" s="11" t="s">
        <v>2703</v>
      </c>
      <c r="F2127" s="11"/>
      <c r="G2127" s="11" t="s">
        <v>2702</v>
      </c>
      <c r="H2127" s="11"/>
      <c r="I2127" s="11" t="s">
        <v>2701</v>
      </c>
      <c r="J2127" s="11" t="s">
        <v>2700</v>
      </c>
      <c r="K2127" s="11" t="s">
        <v>2699</v>
      </c>
      <c r="L2127" s="11"/>
      <c r="M2127" s="12"/>
      <c r="N2127" s="11"/>
      <c r="O2127" s="11" t="s">
        <v>1877</v>
      </c>
    </row>
    <row r="2128" spans="1:15" ht="19.5" customHeight="1" x14ac:dyDescent="0.25">
      <c r="A2128" s="13" t="s">
        <v>927</v>
      </c>
      <c r="B2128" s="13"/>
      <c r="C2128" s="13" t="s">
        <v>2698</v>
      </c>
      <c r="D2128" s="13" t="s">
        <v>1883</v>
      </c>
      <c r="E2128" s="13" t="s">
        <v>2695</v>
      </c>
      <c r="F2128" s="13"/>
      <c r="G2128" s="13" t="s">
        <v>927</v>
      </c>
      <c r="H2128" s="13"/>
      <c r="I2128" s="13" t="s">
        <v>2694</v>
      </c>
      <c r="J2128" s="13" t="s">
        <v>2693</v>
      </c>
      <c r="K2128" s="13" t="s">
        <v>2692</v>
      </c>
      <c r="L2128" s="13"/>
      <c r="M2128" s="14"/>
      <c r="N2128" s="13"/>
      <c r="O2128" s="13" t="s">
        <v>1877</v>
      </c>
    </row>
    <row r="2129" spans="1:15" ht="19.5" customHeight="1" x14ac:dyDescent="0.25">
      <c r="A2129" s="11" t="s">
        <v>927</v>
      </c>
      <c r="B2129" s="11"/>
      <c r="C2129" s="11" t="s">
        <v>2697</v>
      </c>
      <c r="D2129" s="11" t="s">
        <v>1883</v>
      </c>
      <c r="E2129" s="11" t="s">
        <v>2695</v>
      </c>
      <c r="F2129" s="11"/>
      <c r="G2129" s="11" t="s">
        <v>927</v>
      </c>
      <c r="H2129" s="11"/>
      <c r="I2129" s="11" t="s">
        <v>2694</v>
      </c>
      <c r="J2129" s="11" t="s">
        <v>2693</v>
      </c>
      <c r="K2129" s="11" t="s">
        <v>2692</v>
      </c>
      <c r="L2129" s="11"/>
      <c r="M2129" s="12"/>
      <c r="N2129" s="11"/>
      <c r="O2129" s="11" t="s">
        <v>1877</v>
      </c>
    </row>
    <row r="2130" spans="1:15" ht="19.5" customHeight="1" x14ac:dyDescent="0.25">
      <c r="A2130" s="13" t="s">
        <v>927</v>
      </c>
      <c r="B2130" s="13"/>
      <c r="C2130" s="13" t="s">
        <v>2696</v>
      </c>
      <c r="D2130" s="13" t="s">
        <v>1883</v>
      </c>
      <c r="E2130" s="13" t="s">
        <v>2695</v>
      </c>
      <c r="F2130" s="13"/>
      <c r="G2130" s="13" t="s">
        <v>927</v>
      </c>
      <c r="H2130" s="13"/>
      <c r="I2130" s="13" t="s">
        <v>2694</v>
      </c>
      <c r="J2130" s="13" t="s">
        <v>2693</v>
      </c>
      <c r="K2130" s="13" t="s">
        <v>2692</v>
      </c>
      <c r="L2130" s="13"/>
      <c r="M2130" s="14"/>
      <c r="N2130" s="13"/>
      <c r="O2130" s="13" t="s">
        <v>1877</v>
      </c>
    </row>
    <row r="2131" spans="1:15" ht="19.5" customHeight="1" x14ac:dyDescent="0.25">
      <c r="A2131" s="11" t="s">
        <v>1861</v>
      </c>
      <c r="B2131" s="11"/>
      <c r="C2131" s="11" t="s">
        <v>2691</v>
      </c>
      <c r="D2131" s="11" t="s">
        <v>1883</v>
      </c>
      <c r="E2131" s="11" t="s">
        <v>2690</v>
      </c>
      <c r="F2131" s="11"/>
      <c r="G2131" s="11" t="s">
        <v>1861</v>
      </c>
      <c r="H2131" s="11"/>
      <c r="I2131" s="11" t="s">
        <v>2689</v>
      </c>
      <c r="J2131" s="11" t="s">
        <v>2688</v>
      </c>
      <c r="K2131" s="11" t="s">
        <v>2687</v>
      </c>
      <c r="L2131" s="11"/>
      <c r="M2131" s="12"/>
      <c r="N2131" s="11"/>
      <c r="O2131" s="11" t="s">
        <v>2028</v>
      </c>
    </row>
    <row r="2132" spans="1:15" ht="19.5" customHeight="1" x14ac:dyDescent="0.25">
      <c r="A2132" s="13" t="s">
        <v>1393</v>
      </c>
      <c r="B2132" s="13"/>
      <c r="C2132" s="13" t="s">
        <v>2686</v>
      </c>
      <c r="D2132" s="13" t="s">
        <v>1883</v>
      </c>
      <c r="E2132" s="13" t="s">
        <v>2685</v>
      </c>
      <c r="F2132" s="13"/>
      <c r="G2132" s="13" t="s">
        <v>1393</v>
      </c>
      <c r="H2132" s="13"/>
      <c r="I2132" s="13" t="s">
        <v>2684</v>
      </c>
      <c r="J2132" s="13" t="s">
        <v>2683</v>
      </c>
      <c r="K2132" s="13" t="s">
        <v>2682</v>
      </c>
      <c r="L2132" s="13"/>
      <c r="M2132" s="14"/>
      <c r="N2132" s="13"/>
      <c r="O2132" s="13" t="s">
        <v>1877</v>
      </c>
    </row>
    <row r="2133" spans="1:15" ht="19.5" customHeight="1" x14ac:dyDescent="0.25">
      <c r="A2133" s="11" t="s">
        <v>929</v>
      </c>
      <c r="B2133" s="11"/>
      <c r="C2133" s="11" t="s">
        <v>2681</v>
      </c>
      <c r="D2133" s="11" t="s">
        <v>1883</v>
      </c>
      <c r="E2133" s="11" t="s">
        <v>2678</v>
      </c>
      <c r="F2133" s="11"/>
      <c r="G2133" s="11" t="s">
        <v>929</v>
      </c>
      <c r="H2133" s="11"/>
      <c r="I2133" s="11" t="s">
        <v>2677</v>
      </c>
      <c r="J2133" s="11" t="s">
        <v>2676</v>
      </c>
      <c r="K2133" s="11" t="s">
        <v>2093</v>
      </c>
      <c r="L2133" s="11"/>
      <c r="M2133" s="12"/>
      <c r="N2133" s="11"/>
      <c r="O2133" s="11" t="s">
        <v>1877</v>
      </c>
    </row>
    <row r="2134" spans="1:15" ht="19.5" customHeight="1" x14ac:dyDescent="0.25">
      <c r="A2134" s="13" t="s">
        <v>929</v>
      </c>
      <c r="B2134" s="13"/>
      <c r="C2134" s="13" t="s">
        <v>2680</v>
      </c>
      <c r="D2134" s="13" t="s">
        <v>1883</v>
      </c>
      <c r="E2134" s="13" t="s">
        <v>2678</v>
      </c>
      <c r="F2134" s="13"/>
      <c r="G2134" s="13" t="s">
        <v>929</v>
      </c>
      <c r="H2134" s="13"/>
      <c r="I2134" s="13" t="s">
        <v>2677</v>
      </c>
      <c r="J2134" s="13" t="s">
        <v>2676</v>
      </c>
      <c r="K2134" s="13" t="s">
        <v>2093</v>
      </c>
      <c r="L2134" s="13"/>
      <c r="M2134" s="14"/>
      <c r="N2134" s="13"/>
      <c r="O2134" s="13" t="s">
        <v>1877</v>
      </c>
    </row>
    <row r="2135" spans="1:15" ht="19.5" customHeight="1" x14ac:dyDescent="0.25">
      <c r="A2135" s="11" t="s">
        <v>929</v>
      </c>
      <c r="B2135" s="11"/>
      <c r="C2135" s="11" t="s">
        <v>2679</v>
      </c>
      <c r="D2135" s="11" t="s">
        <v>1883</v>
      </c>
      <c r="E2135" s="11" t="s">
        <v>2678</v>
      </c>
      <c r="F2135" s="11"/>
      <c r="G2135" s="11" t="s">
        <v>929</v>
      </c>
      <c r="H2135" s="11"/>
      <c r="I2135" s="11" t="s">
        <v>2677</v>
      </c>
      <c r="J2135" s="11" t="s">
        <v>2676</v>
      </c>
      <c r="K2135" s="11" t="s">
        <v>2093</v>
      </c>
      <c r="L2135" s="11"/>
      <c r="M2135" s="12"/>
      <c r="N2135" s="11"/>
      <c r="O2135" s="11" t="s">
        <v>1877</v>
      </c>
    </row>
    <row r="2136" spans="1:15" ht="19.5" customHeight="1" x14ac:dyDescent="0.25">
      <c r="A2136" s="13" t="s">
        <v>2673</v>
      </c>
      <c r="B2136" s="13"/>
      <c r="C2136" s="13" t="s">
        <v>2675</v>
      </c>
      <c r="D2136" s="13" t="s">
        <v>1883</v>
      </c>
      <c r="E2136" s="13" t="s">
        <v>2674</v>
      </c>
      <c r="F2136" s="13"/>
      <c r="G2136" s="13" t="s">
        <v>2673</v>
      </c>
      <c r="H2136" s="13" t="s">
        <v>2672</v>
      </c>
      <c r="I2136" s="13" t="s">
        <v>2671</v>
      </c>
      <c r="J2136" s="13" t="s">
        <v>2670</v>
      </c>
      <c r="K2136" s="13" t="s">
        <v>2669</v>
      </c>
      <c r="L2136" s="13"/>
      <c r="M2136" s="14"/>
      <c r="N2136" s="13"/>
      <c r="O2136" s="13" t="s">
        <v>1877</v>
      </c>
    </row>
    <row r="2137" spans="1:15" ht="19.5" customHeight="1" x14ac:dyDescent="0.25">
      <c r="A2137" s="11" t="s">
        <v>931</v>
      </c>
      <c r="B2137" s="11"/>
      <c r="C2137" s="11" t="s">
        <v>2668</v>
      </c>
      <c r="D2137" s="11" t="s">
        <v>1883</v>
      </c>
      <c r="E2137" s="11" t="s">
        <v>2663</v>
      </c>
      <c r="F2137" s="11"/>
      <c r="G2137" s="11" t="s">
        <v>931</v>
      </c>
      <c r="H2137" s="11"/>
      <c r="I2137" s="11" t="s">
        <v>2662</v>
      </c>
      <c r="J2137" s="11" t="s">
        <v>2661</v>
      </c>
      <c r="K2137" s="11" t="s">
        <v>1878</v>
      </c>
      <c r="L2137" s="11"/>
      <c r="M2137" s="12"/>
      <c r="N2137" s="11"/>
      <c r="O2137" s="11" t="s">
        <v>1877</v>
      </c>
    </row>
    <row r="2138" spans="1:15" ht="19.5" customHeight="1" x14ac:dyDescent="0.25">
      <c r="A2138" s="13" t="s">
        <v>931</v>
      </c>
      <c r="B2138" s="13"/>
      <c r="C2138" s="13" t="s">
        <v>2667</v>
      </c>
      <c r="D2138" s="13" t="s">
        <v>1883</v>
      </c>
      <c r="E2138" s="13" t="s">
        <v>2663</v>
      </c>
      <c r="F2138" s="13"/>
      <c r="G2138" s="13" t="s">
        <v>931</v>
      </c>
      <c r="H2138" s="13"/>
      <c r="I2138" s="13" t="s">
        <v>2662</v>
      </c>
      <c r="J2138" s="13" t="s">
        <v>2661</v>
      </c>
      <c r="K2138" s="13" t="s">
        <v>1878</v>
      </c>
      <c r="L2138" s="13"/>
      <c r="M2138" s="14"/>
      <c r="N2138" s="13"/>
      <c r="O2138" s="13" t="s">
        <v>1877</v>
      </c>
    </row>
    <row r="2139" spans="1:15" ht="19.5" customHeight="1" x14ac:dyDescent="0.25">
      <c r="A2139" s="11" t="s">
        <v>931</v>
      </c>
      <c r="B2139" s="11"/>
      <c r="C2139" s="11" t="s">
        <v>2666</v>
      </c>
      <c r="D2139" s="11" t="s">
        <v>1883</v>
      </c>
      <c r="E2139" s="11" t="s">
        <v>2663</v>
      </c>
      <c r="F2139" s="11" t="s">
        <v>2665</v>
      </c>
      <c r="G2139" s="11" t="s">
        <v>931</v>
      </c>
      <c r="H2139" s="11"/>
      <c r="I2139" s="11" t="s">
        <v>2662</v>
      </c>
      <c r="J2139" s="11" t="s">
        <v>2661</v>
      </c>
      <c r="K2139" s="11" t="s">
        <v>1878</v>
      </c>
      <c r="L2139" s="11"/>
      <c r="M2139" s="12"/>
      <c r="N2139" s="11"/>
      <c r="O2139" s="11" t="s">
        <v>1877</v>
      </c>
    </row>
    <row r="2140" spans="1:15" ht="19.5" customHeight="1" x14ac:dyDescent="0.25">
      <c r="A2140" s="13" t="s">
        <v>931</v>
      </c>
      <c r="B2140" s="13"/>
      <c r="C2140" s="13" t="s">
        <v>2664</v>
      </c>
      <c r="D2140" s="13" t="s">
        <v>1883</v>
      </c>
      <c r="E2140" s="13" t="s">
        <v>2663</v>
      </c>
      <c r="F2140" s="13"/>
      <c r="G2140" s="13" t="s">
        <v>931</v>
      </c>
      <c r="H2140" s="13"/>
      <c r="I2140" s="13" t="s">
        <v>2662</v>
      </c>
      <c r="J2140" s="13" t="s">
        <v>2661</v>
      </c>
      <c r="K2140" s="13" t="s">
        <v>1878</v>
      </c>
      <c r="L2140" s="13"/>
      <c r="M2140" s="14"/>
      <c r="N2140" s="13"/>
      <c r="O2140" s="13" t="s">
        <v>1916</v>
      </c>
    </row>
    <row r="2141" spans="1:15" ht="19.5" customHeight="1" x14ac:dyDescent="0.25">
      <c r="A2141" s="11" t="s">
        <v>1142</v>
      </c>
      <c r="B2141" s="11"/>
      <c r="C2141" s="11" t="s">
        <v>2660</v>
      </c>
      <c r="D2141" s="11" t="s">
        <v>1883</v>
      </c>
      <c r="E2141" s="11" t="s">
        <v>2659</v>
      </c>
      <c r="F2141" s="11"/>
      <c r="G2141" s="11" t="s">
        <v>2658</v>
      </c>
      <c r="H2141" s="11"/>
      <c r="I2141" s="11" t="s">
        <v>2657</v>
      </c>
      <c r="J2141" s="11" t="s">
        <v>2656</v>
      </c>
      <c r="K2141" s="11" t="s">
        <v>2313</v>
      </c>
      <c r="L2141" s="11"/>
      <c r="M2141" s="12"/>
      <c r="N2141" s="11"/>
      <c r="O2141" s="11" t="s">
        <v>1877</v>
      </c>
    </row>
    <row r="2142" spans="1:15" ht="19.5" customHeight="1" x14ac:dyDescent="0.25">
      <c r="A2142" s="13" t="s">
        <v>1417</v>
      </c>
      <c r="B2142" s="13"/>
      <c r="C2142" s="13" t="s">
        <v>2655</v>
      </c>
      <c r="D2142" s="13" t="s">
        <v>1883</v>
      </c>
      <c r="E2142" s="13" t="s">
        <v>2654</v>
      </c>
      <c r="F2142" s="13"/>
      <c r="G2142" s="13" t="s">
        <v>2653</v>
      </c>
      <c r="H2142" s="13"/>
      <c r="I2142" s="13" t="s">
        <v>2652</v>
      </c>
      <c r="J2142" s="13" t="s">
        <v>2651</v>
      </c>
      <c r="K2142" s="13" t="s">
        <v>2093</v>
      </c>
      <c r="L2142" s="13"/>
      <c r="M2142" s="14"/>
      <c r="N2142" s="13"/>
      <c r="O2142" s="13" t="s">
        <v>1877</v>
      </c>
    </row>
    <row r="2143" spans="1:15" ht="19.5" customHeight="1" x14ac:dyDescent="0.25">
      <c r="A2143" s="11" t="s">
        <v>2648</v>
      </c>
      <c r="B2143" s="11"/>
      <c r="C2143" s="11" t="s">
        <v>2650</v>
      </c>
      <c r="D2143" s="11" t="s">
        <v>1883</v>
      </c>
      <c r="E2143" s="11" t="s">
        <v>2649</v>
      </c>
      <c r="F2143" s="11"/>
      <c r="G2143" s="11" t="s">
        <v>2648</v>
      </c>
      <c r="H2143" s="11"/>
      <c r="I2143" s="11" t="s">
        <v>2647</v>
      </c>
      <c r="J2143" s="11" t="s">
        <v>2646</v>
      </c>
      <c r="K2143" s="11" t="s">
        <v>2645</v>
      </c>
      <c r="L2143" s="11"/>
      <c r="M2143" s="12"/>
      <c r="N2143" s="11"/>
      <c r="O2143" s="11" t="s">
        <v>1877</v>
      </c>
    </row>
    <row r="2144" spans="1:15" ht="19.5" customHeight="1" x14ac:dyDescent="0.25">
      <c r="A2144" s="13" t="s">
        <v>1809</v>
      </c>
      <c r="B2144" s="13"/>
      <c r="C2144" s="13" t="s">
        <v>1808</v>
      </c>
      <c r="D2144" s="13" t="s">
        <v>1883</v>
      </c>
      <c r="E2144" s="13" t="s">
        <v>2644</v>
      </c>
      <c r="F2144" s="13"/>
      <c r="G2144" s="13" t="s">
        <v>1809</v>
      </c>
      <c r="H2144" s="13"/>
      <c r="I2144" s="13" t="s">
        <v>2643</v>
      </c>
      <c r="J2144" s="13" t="s">
        <v>2642</v>
      </c>
      <c r="K2144" s="13" t="s">
        <v>2635</v>
      </c>
      <c r="L2144" s="13"/>
      <c r="M2144" s="14"/>
      <c r="N2144" s="13"/>
      <c r="O2144" s="13" t="s">
        <v>1877</v>
      </c>
    </row>
    <row r="2145" spans="1:15" ht="19.5" customHeight="1" x14ac:dyDescent="0.25">
      <c r="A2145" s="11" t="s">
        <v>933</v>
      </c>
      <c r="B2145" s="11"/>
      <c r="C2145" s="11" t="s">
        <v>2641</v>
      </c>
      <c r="D2145" s="11" t="s">
        <v>1883</v>
      </c>
      <c r="E2145" s="11" t="s">
        <v>2638</v>
      </c>
      <c r="F2145" s="11"/>
      <c r="G2145" s="11" t="s">
        <v>933</v>
      </c>
      <c r="H2145" s="11"/>
      <c r="I2145" s="11" t="s">
        <v>2637</v>
      </c>
      <c r="J2145" s="11" t="s">
        <v>2636</v>
      </c>
      <c r="K2145" s="11" t="s">
        <v>2635</v>
      </c>
      <c r="L2145" s="11"/>
      <c r="M2145" s="12"/>
      <c r="N2145" s="11"/>
      <c r="O2145" s="11" t="s">
        <v>1877</v>
      </c>
    </row>
    <row r="2146" spans="1:15" ht="19.5" customHeight="1" x14ac:dyDescent="0.25">
      <c r="A2146" s="13" t="s">
        <v>933</v>
      </c>
      <c r="B2146" s="13"/>
      <c r="C2146" s="13" t="s">
        <v>2640</v>
      </c>
      <c r="D2146" s="13" t="s">
        <v>1883</v>
      </c>
      <c r="E2146" s="13" t="s">
        <v>2638</v>
      </c>
      <c r="F2146" s="13"/>
      <c r="G2146" s="13" t="s">
        <v>933</v>
      </c>
      <c r="H2146" s="13"/>
      <c r="I2146" s="13" t="s">
        <v>2637</v>
      </c>
      <c r="J2146" s="13" t="s">
        <v>2636</v>
      </c>
      <c r="K2146" s="13" t="s">
        <v>2635</v>
      </c>
      <c r="L2146" s="13"/>
      <c r="M2146" s="14"/>
      <c r="N2146" s="13"/>
      <c r="O2146" s="13" t="s">
        <v>1877</v>
      </c>
    </row>
    <row r="2147" spans="1:15" ht="19.5" customHeight="1" x14ac:dyDescent="0.25">
      <c r="A2147" s="11" t="s">
        <v>933</v>
      </c>
      <c r="B2147" s="11"/>
      <c r="C2147" s="11" t="s">
        <v>2639</v>
      </c>
      <c r="D2147" s="11" t="s">
        <v>1883</v>
      </c>
      <c r="E2147" s="11" t="s">
        <v>2638</v>
      </c>
      <c r="F2147" s="11"/>
      <c r="G2147" s="11" t="s">
        <v>933</v>
      </c>
      <c r="H2147" s="11"/>
      <c r="I2147" s="11" t="s">
        <v>2637</v>
      </c>
      <c r="J2147" s="11" t="s">
        <v>2636</v>
      </c>
      <c r="K2147" s="11" t="s">
        <v>2635</v>
      </c>
      <c r="L2147" s="11"/>
      <c r="M2147" s="12"/>
      <c r="N2147" s="11"/>
      <c r="O2147" s="11" t="s">
        <v>1877</v>
      </c>
    </row>
    <row r="2148" spans="1:15" ht="19.5" customHeight="1" x14ac:dyDescent="0.25">
      <c r="A2148" s="13" t="s">
        <v>935</v>
      </c>
      <c r="B2148" s="13"/>
      <c r="C2148" s="13" t="s">
        <v>2634</v>
      </c>
      <c r="D2148" s="13" t="s">
        <v>1883</v>
      </c>
      <c r="E2148" s="13" t="s">
        <v>2630</v>
      </c>
      <c r="F2148" s="13"/>
      <c r="G2148" s="13" t="s">
        <v>935</v>
      </c>
      <c r="H2148" s="13" t="s">
        <v>2628</v>
      </c>
      <c r="I2148" s="13" t="s">
        <v>2633</v>
      </c>
      <c r="J2148" s="13" t="s">
        <v>2626</v>
      </c>
      <c r="K2148" s="13" t="s">
        <v>2313</v>
      </c>
      <c r="L2148" s="13"/>
      <c r="M2148" s="14"/>
      <c r="N2148" s="13"/>
      <c r="O2148" s="13" t="s">
        <v>1877</v>
      </c>
    </row>
    <row r="2149" spans="1:15" ht="19.5" customHeight="1" x14ac:dyDescent="0.25">
      <c r="A2149" s="11" t="s">
        <v>935</v>
      </c>
      <c r="B2149" s="11"/>
      <c r="C2149" s="11" t="s">
        <v>2632</v>
      </c>
      <c r="D2149" s="11" t="s">
        <v>1883</v>
      </c>
      <c r="E2149" s="11" t="s">
        <v>2630</v>
      </c>
      <c r="F2149" s="11" t="s">
        <v>2629</v>
      </c>
      <c r="G2149" s="11" t="s">
        <v>935</v>
      </c>
      <c r="H2149" s="11" t="s">
        <v>2628</v>
      </c>
      <c r="I2149" s="11" t="s">
        <v>2627</v>
      </c>
      <c r="J2149" s="11" t="s">
        <v>2626</v>
      </c>
      <c r="K2149" s="11" t="s">
        <v>2313</v>
      </c>
      <c r="L2149" s="11"/>
      <c r="M2149" s="12"/>
      <c r="N2149" s="11"/>
      <c r="O2149" s="11" t="s">
        <v>1877</v>
      </c>
    </row>
    <row r="2150" spans="1:15" ht="19.5" customHeight="1" x14ac:dyDescent="0.25">
      <c r="A2150" s="13" t="s">
        <v>935</v>
      </c>
      <c r="B2150" s="13"/>
      <c r="C2150" s="13" t="s">
        <v>2631</v>
      </c>
      <c r="D2150" s="13" t="s">
        <v>1883</v>
      </c>
      <c r="E2150" s="13" t="s">
        <v>2630</v>
      </c>
      <c r="F2150" s="13" t="s">
        <v>2629</v>
      </c>
      <c r="G2150" s="13" t="s">
        <v>935</v>
      </c>
      <c r="H2150" s="13" t="s">
        <v>2628</v>
      </c>
      <c r="I2150" s="13" t="s">
        <v>2627</v>
      </c>
      <c r="J2150" s="13" t="s">
        <v>2626</v>
      </c>
      <c r="K2150" s="13" t="s">
        <v>2313</v>
      </c>
      <c r="L2150" s="13"/>
      <c r="M2150" s="14"/>
      <c r="N2150" s="13"/>
      <c r="O2150" s="13" t="s">
        <v>1877</v>
      </c>
    </row>
    <row r="2151" spans="1:15" ht="19.5" customHeight="1" x14ac:dyDescent="0.25">
      <c r="A2151" s="11" t="s">
        <v>8854</v>
      </c>
      <c r="B2151" s="11"/>
      <c r="C2151" s="11" t="s">
        <v>8867</v>
      </c>
      <c r="D2151" s="11" t="s">
        <v>1883</v>
      </c>
      <c r="E2151" s="11" t="s">
        <v>8933</v>
      </c>
      <c r="F2151" s="11"/>
      <c r="G2151" s="11" t="s">
        <v>8854</v>
      </c>
      <c r="H2151" s="11"/>
      <c r="I2151" s="11" t="s">
        <v>8868</v>
      </c>
      <c r="J2151" s="11" t="s">
        <v>8934</v>
      </c>
      <c r="K2151" s="11" t="s">
        <v>8869</v>
      </c>
      <c r="L2151" s="11"/>
      <c r="M2151" s="12"/>
      <c r="N2151" s="11"/>
      <c r="O2151" s="11" t="s">
        <v>1877</v>
      </c>
    </row>
    <row r="2152" spans="1:15" ht="19.5" customHeight="1" x14ac:dyDescent="0.25">
      <c r="A2152" s="13" t="s">
        <v>1839</v>
      </c>
      <c r="B2152" s="13"/>
      <c r="C2152" s="13" t="s">
        <v>1838</v>
      </c>
      <c r="D2152" s="13" t="s">
        <v>1883</v>
      </c>
      <c r="E2152" s="13" t="s">
        <v>2625</v>
      </c>
      <c r="F2152" s="13"/>
      <c r="G2152" s="13" t="s">
        <v>1839</v>
      </c>
      <c r="H2152" s="13"/>
      <c r="I2152" s="13" t="s">
        <v>2624</v>
      </c>
      <c r="J2152" s="13" t="s">
        <v>2623</v>
      </c>
      <c r="K2152" s="13" t="s">
        <v>2093</v>
      </c>
      <c r="L2152" s="13"/>
      <c r="M2152" s="14"/>
      <c r="N2152" s="13"/>
      <c r="O2152" s="13" t="s">
        <v>1945</v>
      </c>
    </row>
    <row r="2153" spans="1:15" ht="19.5" customHeight="1" x14ac:dyDescent="0.25">
      <c r="A2153" s="11" t="s">
        <v>2621</v>
      </c>
      <c r="B2153" s="11"/>
      <c r="C2153" s="11" t="s">
        <v>2622</v>
      </c>
      <c r="D2153" s="11" t="s">
        <v>1883</v>
      </c>
      <c r="E2153" s="11"/>
      <c r="F2153" s="11"/>
      <c r="G2153" s="11" t="s">
        <v>2621</v>
      </c>
      <c r="H2153" s="11"/>
      <c r="I2153" s="11"/>
      <c r="J2153" s="11"/>
      <c r="K2153" s="11"/>
      <c r="L2153" s="11"/>
      <c r="M2153" s="12"/>
      <c r="N2153" s="11"/>
      <c r="O2153" s="11"/>
    </row>
    <row r="2154" spans="1:15" ht="19.5" customHeight="1" x14ac:dyDescent="0.25">
      <c r="A2154" s="13" t="s">
        <v>1468</v>
      </c>
      <c r="B2154" s="13"/>
      <c r="C2154" s="13" t="s">
        <v>1467</v>
      </c>
      <c r="D2154" s="13" t="s">
        <v>1883</v>
      </c>
      <c r="E2154" s="13" t="s">
        <v>2620</v>
      </c>
      <c r="F2154" s="13"/>
      <c r="G2154" s="13" t="s">
        <v>1468</v>
      </c>
      <c r="H2154" s="13"/>
      <c r="I2154" s="13"/>
      <c r="J2154" s="13"/>
      <c r="K2154" s="13" t="s">
        <v>1952</v>
      </c>
      <c r="L2154" s="13"/>
      <c r="M2154" s="14"/>
      <c r="N2154" s="13"/>
      <c r="O2154" s="13" t="s">
        <v>1951</v>
      </c>
    </row>
    <row r="2155" spans="1:15" ht="19.5" customHeight="1" x14ac:dyDescent="0.25">
      <c r="A2155" s="11" t="s">
        <v>1468</v>
      </c>
      <c r="B2155" s="11"/>
      <c r="C2155" s="11" t="s">
        <v>2619</v>
      </c>
      <c r="D2155" s="11" t="s">
        <v>1883</v>
      </c>
      <c r="E2155" s="11" t="s">
        <v>2618</v>
      </c>
      <c r="F2155" s="11"/>
      <c r="G2155" s="11" t="s">
        <v>1468</v>
      </c>
      <c r="H2155" s="11"/>
      <c r="I2155" s="11"/>
      <c r="J2155" s="11"/>
      <c r="K2155" s="11"/>
      <c r="L2155" s="11"/>
      <c r="M2155" s="12"/>
      <c r="N2155" s="11"/>
      <c r="O2155" s="11" t="s">
        <v>1916</v>
      </c>
    </row>
    <row r="2156" spans="1:15" ht="19.5" customHeight="1" x14ac:dyDescent="0.25">
      <c r="A2156" s="13" t="s">
        <v>8875</v>
      </c>
      <c r="B2156" s="13"/>
      <c r="C2156" s="13" t="s">
        <v>8874</v>
      </c>
      <c r="D2156" s="13" t="s">
        <v>1883</v>
      </c>
      <c r="E2156" s="13" t="s">
        <v>8886</v>
      </c>
      <c r="F2156" s="13"/>
      <c r="G2156" s="13" t="s">
        <v>8875</v>
      </c>
      <c r="H2156" s="13"/>
      <c r="I2156" s="13" t="s">
        <v>8887</v>
      </c>
      <c r="J2156" s="13" t="s">
        <v>8888</v>
      </c>
      <c r="K2156" s="13" t="s">
        <v>8889</v>
      </c>
      <c r="L2156" s="13"/>
      <c r="M2156" s="14"/>
      <c r="N2156" s="13"/>
      <c r="O2156" s="13" t="s">
        <v>2028</v>
      </c>
    </row>
    <row r="2157" spans="1:15" ht="19.5" customHeight="1" x14ac:dyDescent="0.25">
      <c r="A2157" s="11" t="s">
        <v>2615</v>
      </c>
      <c r="B2157" s="11"/>
      <c r="C2157" s="11" t="s">
        <v>2617</v>
      </c>
      <c r="D2157" s="11" t="s">
        <v>1883</v>
      </c>
      <c r="E2157" s="11"/>
      <c r="F2157" s="11"/>
      <c r="G2157" s="11" t="s">
        <v>2615</v>
      </c>
      <c r="H2157" s="11"/>
      <c r="I2157" s="11"/>
      <c r="J2157" s="11"/>
      <c r="K2157" s="11"/>
      <c r="L2157" s="11"/>
      <c r="M2157" s="12"/>
      <c r="N2157" s="11"/>
      <c r="O2157" s="11"/>
    </row>
    <row r="2158" spans="1:15" ht="19.5" customHeight="1" x14ac:dyDescent="0.25">
      <c r="A2158" s="13" t="s">
        <v>2615</v>
      </c>
      <c r="B2158" s="13"/>
      <c r="C2158" s="13" t="s">
        <v>2616</v>
      </c>
      <c r="D2158" s="13" t="s">
        <v>1883</v>
      </c>
      <c r="E2158" s="13"/>
      <c r="F2158" s="13"/>
      <c r="G2158" s="13" t="s">
        <v>2615</v>
      </c>
      <c r="H2158" s="13"/>
      <c r="I2158" s="13"/>
      <c r="J2158" s="13"/>
      <c r="K2158" s="13"/>
      <c r="L2158" s="13"/>
      <c r="M2158" s="14"/>
      <c r="N2158" s="13"/>
      <c r="O2158" s="13"/>
    </row>
    <row r="2159" spans="1:15" ht="19.5" customHeight="1" x14ac:dyDescent="0.25">
      <c r="A2159" s="11" t="s">
        <v>938</v>
      </c>
      <c r="B2159" s="11"/>
      <c r="C2159" s="11" t="s">
        <v>2614</v>
      </c>
      <c r="D2159" s="11" t="s">
        <v>1883</v>
      </c>
      <c r="E2159" s="11" t="s">
        <v>2611</v>
      </c>
      <c r="F2159" s="11"/>
      <c r="G2159" s="11" t="s">
        <v>938</v>
      </c>
      <c r="H2159" s="11" t="s">
        <v>2610</v>
      </c>
      <c r="I2159" s="11" t="s">
        <v>2609</v>
      </c>
      <c r="J2159" s="11" t="s">
        <v>2608</v>
      </c>
      <c r="K2159" s="11" t="s">
        <v>1887</v>
      </c>
      <c r="L2159" s="11"/>
      <c r="M2159" s="12"/>
      <c r="N2159" s="11"/>
      <c r="O2159" s="11" t="s">
        <v>1877</v>
      </c>
    </row>
    <row r="2160" spans="1:15" ht="19.5" customHeight="1" x14ac:dyDescent="0.25">
      <c r="A2160" s="13" t="s">
        <v>938</v>
      </c>
      <c r="B2160" s="13"/>
      <c r="C2160" s="13" t="s">
        <v>2613</v>
      </c>
      <c r="D2160" s="13" t="s">
        <v>1883</v>
      </c>
      <c r="E2160" s="13" t="s">
        <v>2611</v>
      </c>
      <c r="F2160" s="13"/>
      <c r="G2160" s="13" t="s">
        <v>938</v>
      </c>
      <c r="H2160" s="13" t="s">
        <v>2610</v>
      </c>
      <c r="I2160" s="13" t="s">
        <v>2609</v>
      </c>
      <c r="J2160" s="13" t="s">
        <v>2608</v>
      </c>
      <c r="K2160" s="13" t="s">
        <v>1887</v>
      </c>
      <c r="L2160" s="13"/>
      <c r="M2160" s="14"/>
      <c r="N2160" s="13"/>
      <c r="O2160" s="13" t="s">
        <v>1877</v>
      </c>
    </row>
    <row r="2161" spans="1:15" ht="19.5" customHeight="1" x14ac:dyDescent="0.25">
      <c r="A2161" s="11" t="s">
        <v>938</v>
      </c>
      <c r="B2161" s="11"/>
      <c r="C2161" s="11" t="s">
        <v>2612</v>
      </c>
      <c r="D2161" s="11" t="s">
        <v>1883</v>
      </c>
      <c r="E2161" s="11" t="s">
        <v>2611</v>
      </c>
      <c r="F2161" s="11"/>
      <c r="G2161" s="11" t="s">
        <v>938</v>
      </c>
      <c r="H2161" s="11" t="s">
        <v>2610</v>
      </c>
      <c r="I2161" s="11" t="s">
        <v>2609</v>
      </c>
      <c r="J2161" s="11" t="s">
        <v>2608</v>
      </c>
      <c r="K2161" s="11" t="s">
        <v>1887</v>
      </c>
      <c r="L2161" s="11"/>
      <c r="M2161" s="12"/>
      <c r="N2161" s="11"/>
      <c r="O2161" s="11" t="s">
        <v>1877</v>
      </c>
    </row>
    <row r="2162" spans="1:15" ht="19.5" customHeight="1" x14ac:dyDescent="0.25">
      <c r="A2162" s="13" t="s">
        <v>2606</v>
      </c>
      <c r="B2162" s="13"/>
      <c r="C2162" s="13" t="s">
        <v>2607</v>
      </c>
      <c r="D2162" s="13" t="s">
        <v>1883</v>
      </c>
      <c r="E2162" s="13"/>
      <c r="F2162" s="13"/>
      <c r="G2162" s="13" t="s">
        <v>2606</v>
      </c>
      <c r="H2162" s="13"/>
      <c r="I2162" s="13"/>
      <c r="J2162" s="13"/>
      <c r="K2162" s="13"/>
      <c r="L2162" s="13"/>
      <c r="M2162" s="14"/>
      <c r="N2162" s="13"/>
      <c r="O2162" s="13"/>
    </row>
    <row r="2163" spans="1:15" ht="19.5" customHeight="1" x14ac:dyDescent="0.25">
      <c r="A2163" s="11" t="s">
        <v>2603</v>
      </c>
      <c r="B2163" s="11"/>
      <c r="C2163" s="11" t="s">
        <v>2605</v>
      </c>
      <c r="D2163" s="11" t="s">
        <v>1883</v>
      </c>
      <c r="E2163" s="11"/>
      <c r="F2163" s="11"/>
      <c r="G2163" s="11" t="s">
        <v>2603</v>
      </c>
      <c r="H2163" s="11"/>
      <c r="I2163" s="11"/>
      <c r="J2163" s="11"/>
      <c r="K2163" s="11"/>
      <c r="L2163" s="11"/>
      <c r="M2163" s="12"/>
      <c r="N2163" s="11"/>
      <c r="O2163" s="11"/>
    </row>
    <row r="2164" spans="1:15" ht="19.5" customHeight="1" x14ac:dyDescent="0.25">
      <c r="A2164" s="13" t="s">
        <v>2603</v>
      </c>
      <c r="B2164" s="13"/>
      <c r="C2164" s="13" t="s">
        <v>2604</v>
      </c>
      <c r="D2164" s="13" t="s">
        <v>1883</v>
      </c>
      <c r="E2164" s="13"/>
      <c r="F2164" s="13"/>
      <c r="G2164" s="13" t="s">
        <v>2603</v>
      </c>
      <c r="H2164" s="13"/>
      <c r="I2164" s="13"/>
      <c r="J2164" s="13"/>
      <c r="K2164" s="13"/>
      <c r="L2164" s="13"/>
      <c r="M2164" s="14"/>
      <c r="N2164" s="13"/>
      <c r="O2164" s="13"/>
    </row>
    <row r="2165" spans="1:15" ht="19.5" customHeight="1" x14ac:dyDescent="0.25">
      <c r="A2165" s="11" t="s">
        <v>2601</v>
      </c>
      <c r="B2165" s="11"/>
      <c r="C2165" s="11" t="s">
        <v>2602</v>
      </c>
      <c r="D2165" s="11" t="s">
        <v>1883</v>
      </c>
      <c r="E2165" s="11"/>
      <c r="F2165" s="11"/>
      <c r="G2165" s="11" t="s">
        <v>2601</v>
      </c>
      <c r="H2165" s="11"/>
      <c r="I2165" s="11"/>
      <c r="J2165" s="11"/>
      <c r="K2165" s="11"/>
      <c r="L2165" s="11"/>
      <c r="M2165" s="12"/>
      <c r="N2165" s="11"/>
      <c r="O2165" s="11"/>
    </row>
    <row r="2166" spans="1:15" ht="19.5" customHeight="1" x14ac:dyDescent="0.25">
      <c r="A2166" s="13" t="s">
        <v>2599</v>
      </c>
      <c r="B2166" s="13"/>
      <c r="C2166" s="13" t="s">
        <v>2600</v>
      </c>
      <c r="D2166" s="13" t="s">
        <v>1883</v>
      </c>
      <c r="E2166" s="13"/>
      <c r="F2166" s="13"/>
      <c r="G2166" s="13" t="s">
        <v>2599</v>
      </c>
      <c r="H2166" s="13"/>
      <c r="I2166" s="13"/>
      <c r="J2166" s="13"/>
      <c r="K2166" s="13"/>
      <c r="L2166" s="13"/>
      <c r="M2166" s="14"/>
      <c r="N2166" s="13"/>
      <c r="O2166" s="13"/>
    </row>
    <row r="2167" spans="1:15" ht="19.5" customHeight="1" x14ac:dyDescent="0.25">
      <c r="A2167" s="11" t="s">
        <v>2580</v>
      </c>
      <c r="B2167" s="11"/>
      <c r="C2167" s="11" t="s">
        <v>2598</v>
      </c>
      <c r="D2167" s="11" t="s">
        <v>1883</v>
      </c>
      <c r="E2167" s="11"/>
      <c r="F2167" s="11"/>
      <c r="G2167" s="11" t="s">
        <v>2580</v>
      </c>
      <c r="H2167" s="11"/>
      <c r="I2167" s="11"/>
      <c r="J2167" s="11"/>
      <c r="K2167" s="11"/>
      <c r="L2167" s="11"/>
      <c r="M2167" s="12"/>
      <c r="N2167" s="11"/>
      <c r="O2167" s="11"/>
    </row>
    <row r="2168" spans="1:15" ht="19.5" customHeight="1" x14ac:dyDescent="0.25">
      <c r="A2168" s="13" t="s">
        <v>2580</v>
      </c>
      <c r="B2168" s="13"/>
      <c r="C2168" s="13" t="s">
        <v>2597</v>
      </c>
      <c r="D2168" s="13" t="s">
        <v>1883</v>
      </c>
      <c r="E2168" s="13"/>
      <c r="F2168" s="13"/>
      <c r="G2168" s="13" t="s">
        <v>2580</v>
      </c>
      <c r="H2168" s="13"/>
      <c r="I2168" s="13"/>
      <c r="J2168" s="13"/>
      <c r="K2168" s="13"/>
      <c r="L2168" s="13"/>
      <c r="M2168" s="14"/>
      <c r="N2168" s="13"/>
      <c r="O2168" s="13"/>
    </row>
    <row r="2169" spans="1:15" ht="19.5" customHeight="1" x14ac:dyDescent="0.25">
      <c r="A2169" s="11" t="s">
        <v>2580</v>
      </c>
      <c r="B2169" s="11"/>
      <c r="C2169" s="11" t="s">
        <v>2596</v>
      </c>
      <c r="D2169" s="11" t="s">
        <v>1883</v>
      </c>
      <c r="E2169" s="11"/>
      <c r="F2169" s="11"/>
      <c r="G2169" s="11" t="s">
        <v>2580</v>
      </c>
      <c r="H2169" s="11"/>
      <c r="I2169" s="11"/>
      <c r="J2169" s="11"/>
      <c r="K2169" s="11"/>
      <c r="L2169" s="11"/>
      <c r="M2169" s="12"/>
      <c r="N2169" s="11"/>
      <c r="O2169" s="11"/>
    </row>
    <row r="2170" spans="1:15" ht="19.5" customHeight="1" x14ac:dyDescent="0.25">
      <c r="A2170" s="13" t="s">
        <v>2580</v>
      </c>
      <c r="B2170" s="13"/>
      <c r="C2170" s="13" t="s">
        <v>2595</v>
      </c>
      <c r="D2170" s="13" t="s">
        <v>1883</v>
      </c>
      <c r="E2170" s="13"/>
      <c r="F2170" s="13"/>
      <c r="G2170" s="13" t="s">
        <v>2580</v>
      </c>
      <c r="H2170" s="13"/>
      <c r="I2170" s="13"/>
      <c r="J2170" s="13"/>
      <c r="K2170" s="13"/>
      <c r="L2170" s="13"/>
      <c r="M2170" s="14"/>
      <c r="N2170" s="13"/>
      <c r="O2170" s="13"/>
    </row>
    <row r="2171" spans="1:15" ht="19.5" customHeight="1" x14ac:dyDescent="0.25">
      <c r="A2171" s="11" t="s">
        <v>2580</v>
      </c>
      <c r="B2171" s="11"/>
      <c r="C2171" s="11" t="s">
        <v>2594</v>
      </c>
      <c r="D2171" s="11" t="s">
        <v>1883</v>
      </c>
      <c r="E2171" s="11"/>
      <c r="F2171" s="11"/>
      <c r="G2171" s="11" t="s">
        <v>2580</v>
      </c>
      <c r="H2171" s="11"/>
      <c r="I2171" s="11"/>
      <c r="J2171" s="11"/>
      <c r="K2171" s="11"/>
      <c r="L2171" s="11"/>
      <c r="M2171" s="12"/>
      <c r="N2171" s="11"/>
      <c r="O2171" s="11"/>
    </row>
    <row r="2172" spans="1:15" ht="19.5" customHeight="1" x14ac:dyDescent="0.25">
      <c r="A2172" s="13" t="s">
        <v>2580</v>
      </c>
      <c r="B2172" s="13"/>
      <c r="C2172" s="13" t="s">
        <v>2593</v>
      </c>
      <c r="D2172" s="13" t="s">
        <v>1883</v>
      </c>
      <c r="E2172" s="13"/>
      <c r="F2172" s="13"/>
      <c r="G2172" s="13" t="s">
        <v>2580</v>
      </c>
      <c r="H2172" s="13"/>
      <c r="I2172" s="13"/>
      <c r="J2172" s="13"/>
      <c r="K2172" s="13"/>
      <c r="L2172" s="13"/>
      <c r="M2172" s="14"/>
      <c r="N2172" s="13"/>
      <c r="O2172" s="13"/>
    </row>
    <row r="2173" spans="1:15" ht="19.5" customHeight="1" x14ac:dyDescent="0.25">
      <c r="A2173" s="11" t="s">
        <v>2580</v>
      </c>
      <c r="B2173" s="11"/>
      <c r="C2173" s="11" t="s">
        <v>2592</v>
      </c>
      <c r="D2173" s="11" t="s">
        <v>1883</v>
      </c>
      <c r="E2173" s="11"/>
      <c r="F2173" s="11"/>
      <c r="G2173" s="11" t="s">
        <v>2580</v>
      </c>
      <c r="H2173" s="11"/>
      <c r="I2173" s="11"/>
      <c r="J2173" s="11"/>
      <c r="K2173" s="11"/>
      <c r="L2173" s="11"/>
      <c r="M2173" s="12"/>
      <c r="N2173" s="11"/>
      <c r="O2173" s="11"/>
    </row>
    <row r="2174" spans="1:15" ht="19.5" customHeight="1" x14ac:dyDescent="0.25">
      <c r="A2174" s="13" t="s">
        <v>2580</v>
      </c>
      <c r="B2174" s="13"/>
      <c r="C2174" s="13" t="s">
        <v>2591</v>
      </c>
      <c r="D2174" s="13" t="s">
        <v>1883</v>
      </c>
      <c r="E2174" s="13"/>
      <c r="F2174" s="13"/>
      <c r="G2174" s="13" t="s">
        <v>2580</v>
      </c>
      <c r="H2174" s="13"/>
      <c r="I2174" s="13"/>
      <c r="J2174" s="13"/>
      <c r="K2174" s="13"/>
      <c r="L2174" s="13"/>
      <c r="M2174" s="14"/>
      <c r="N2174" s="13"/>
      <c r="O2174" s="13"/>
    </row>
    <row r="2175" spans="1:15" ht="19.5" customHeight="1" x14ac:dyDescent="0.25">
      <c r="A2175" s="11" t="s">
        <v>2580</v>
      </c>
      <c r="B2175" s="11"/>
      <c r="C2175" s="11" t="s">
        <v>2590</v>
      </c>
      <c r="D2175" s="11" t="s">
        <v>1883</v>
      </c>
      <c r="E2175" s="11"/>
      <c r="F2175" s="11"/>
      <c r="G2175" s="11" t="s">
        <v>2580</v>
      </c>
      <c r="H2175" s="11"/>
      <c r="I2175" s="11"/>
      <c r="J2175" s="11"/>
      <c r="K2175" s="11"/>
      <c r="L2175" s="11"/>
      <c r="M2175" s="12"/>
      <c r="N2175" s="11"/>
      <c r="O2175" s="11"/>
    </row>
    <row r="2176" spans="1:15" ht="19.5" customHeight="1" x14ac:dyDescent="0.25">
      <c r="A2176" s="13" t="s">
        <v>2580</v>
      </c>
      <c r="B2176" s="13"/>
      <c r="C2176" s="13" t="s">
        <v>2589</v>
      </c>
      <c r="D2176" s="13" t="s">
        <v>1883</v>
      </c>
      <c r="E2176" s="13"/>
      <c r="F2176" s="13"/>
      <c r="G2176" s="13" t="s">
        <v>2580</v>
      </c>
      <c r="H2176" s="13"/>
      <c r="I2176" s="13"/>
      <c r="J2176" s="13"/>
      <c r="K2176" s="13"/>
      <c r="L2176" s="13"/>
      <c r="M2176" s="14"/>
      <c r="N2176" s="13"/>
      <c r="O2176" s="13"/>
    </row>
    <row r="2177" spans="1:15" ht="19.5" customHeight="1" x14ac:dyDescent="0.25">
      <c r="A2177" s="11" t="s">
        <v>2580</v>
      </c>
      <c r="B2177" s="11"/>
      <c r="C2177" s="11" t="s">
        <v>2588</v>
      </c>
      <c r="D2177" s="11" t="s">
        <v>1883</v>
      </c>
      <c r="E2177" s="11"/>
      <c r="F2177" s="11"/>
      <c r="G2177" s="11" t="s">
        <v>2580</v>
      </c>
      <c r="H2177" s="11"/>
      <c r="I2177" s="11"/>
      <c r="J2177" s="11"/>
      <c r="K2177" s="11"/>
      <c r="L2177" s="11"/>
      <c r="M2177" s="12"/>
      <c r="N2177" s="11"/>
      <c r="O2177" s="11"/>
    </row>
    <row r="2178" spans="1:15" ht="19.5" customHeight="1" x14ac:dyDescent="0.25">
      <c r="A2178" s="13" t="s">
        <v>2580</v>
      </c>
      <c r="B2178" s="13"/>
      <c r="C2178" s="13" t="s">
        <v>2587</v>
      </c>
      <c r="D2178" s="13" t="s">
        <v>1883</v>
      </c>
      <c r="E2178" s="13"/>
      <c r="F2178" s="13"/>
      <c r="G2178" s="13" t="s">
        <v>2580</v>
      </c>
      <c r="H2178" s="13"/>
      <c r="I2178" s="13"/>
      <c r="J2178" s="13"/>
      <c r="K2178" s="13"/>
      <c r="L2178" s="13"/>
      <c r="M2178" s="14"/>
      <c r="N2178" s="13"/>
      <c r="O2178" s="13"/>
    </row>
    <row r="2179" spans="1:15" ht="19.5" customHeight="1" x14ac:dyDescent="0.25">
      <c r="A2179" s="11" t="s">
        <v>2580</v>
      </c>
      <c r="B2179" s="11"/>
      <c r="C2179" s="11" t="s">
        <v>2586</v>
      </c>
      <c r="D2179" s="11" t="s">
        <v>1883</v>
      </c>
      <c r="E2179" s="11"/>
      <c r="F2179" s="11"/>
      <c r="G2179" s="11" t="s">
        <v>2580</v>
      </c>
      <c r="H2179" s="11"/>
      <c r="I2179" s="11"/>
      <c r="J2179" s="11"/>
      <c r="K2179" s="11"/>
      <c r="L2179" s="11"/>
      <c r="M2179" s="12"/>
      <c r="N2179" s="11"/>
      <c r="O2179" s="11"/>
    </row>
    <row r="2180" spans="1:15" ht="19.5" customHeight="1" x14ac:dyDescent="0.25">
      <c r="A2180" s="13" t="s">
        <v>2580</v>
      </c>
      <c r="B2180" s="13"/>
      <c r="C2180" s="13" t="s">
        <v>2585</v>
      </c>
      <c r="D2180" s="13" t="s">
        <v>1883</v>
      </c>
      <c r="E2180" s="13"/>
      <c r="F2180" s="13"/>
      <c r="G2180" s="13" t="s">
        <v>2580</v>
      </c>
      <c r="H2180" s="13"/>
      <c r="I2180" s="13"/>
      <c r="J2180" s="13"/>
      <c r="K2180" s="13"/>
      <c r="L2180" s="13"/>
      <c r="M2180" s="14"/>
      <c r="N2180" s="13"/>
      <c r="O2180" s="13"/>
    </row>
    <row r="2181" spans="1:15" ht="19.5" customHeight="1" x14ac:dyDescent="0.25">
      <c r="A2181" s="11" t="s">
        <v>2580</v>
      </c>
      <c r="B2181" s="11"/>
      <c r="C2181" s="11" t="s">
        <v>2584</v>
      </c>
      <c r="D2181" s="11" t="s">
        <v>1883</v>
      </c>
      <c r="E2181" s="11"/>
      <c r="F2181" s="11"/>
      <c r="G2181" s="11" t="s">
        <v>2580</v>
      </c>
      <c r="H2181" s="11"/>
      <c r="I2181" s="11"/>
      <c r="J2181" s="11"/>
      <c r="K2181" s="11"/>
      <c r="L2181" s="11"/>
      <c r="M2181" s="12"/>
      <c r="N2181" s="11"/>
      <c r="O2181" s="11"/>
    </row>
    <row r="2182" spans="1:15" ht="19.5" customHeight="1" x14ac:dyDescent="0.25">
      <c r="A2182" s="13" t="s">
        <v>2580</v>
      </c>
      <c r="B2182" s="13"/>
      <c r="C2182" s="13" t="s">
        <v>2583</v>
      </c>
      <c r="D2182" s="13" t="s">
        <v>1883</v>
      </c>
      <c r="E2182" s="13"/>
      <c r="F2182" s="13"/>
      <c r="G2182" s="13" t="s">
        <v>2580</v>
      </c>
      <c r="H2182" s="13"/>
      <c r="I2182" s="13"/>
      <c r="J2182" s="13"/>
      <c r="K2182" s="13"/>
      <c r="L2182" s="13"/>
      <c r="M2182" s="14"/>
      <c r="N2182" s="13"/>
      <c r="O2182" s="13"/>
    </row>
    <row r="2183" spans="1:15" ht="19.5" customHeight="1" x14ac:dyDescent="0.25">
      <c r="A2183" s="11" t="s">
        <v>2580</v>
      </c>
      <c r="B2183" s="11"/>
      <c r="C2183" s="11" t="s">
        <v>2582</v>
      </c>
      <c r="D2183" s="11" t="s">
        <v>1883</v>
      </c>
      <c r="E2183" s="11"/>
      <c r="F2183" s="11"/>
      <c r="G2183" s="11" t="s">
        <v>2580</v>
      </c>
      <c r="H2183" s="11"/>
      <c r="I2183" s="11"/>
      <c r="J2183" s="11"/>
      <c r="K2183" s="11"/>
      <c r="L2183" s="11"/>
      <c r="M2183" s="12"/>
      <c r="N2183" s="11"/>
      <c r="O2183" s="11"/>
    </row>
    <row r="2184" spans="1:15" ht="19.5" customHeight="1" x14ac:dyDescent="0.25">
      <c r="A2184" s="13" t="s">
        <v>2580</v>
      </c>
      <c r="B2184" s="13"/>
      <c r="C2184" s="13" t="s">
        <v>2581</v>
      </c>
      <c r="D2184" s="13" t="s">
        <v>1883</v>
      </c>
      <c r="E2184" s="13"/>
      <c r="F2184" s="13"/>
      <c r="G2184" s="13" t="s">
        <v>2580</v>
      </c>
      <c r="H2184" s="13"/>
      <c r="I2184" s="13"/>
      <c r="J2184" s="13"/>
      <c r="K2184" s="13"/>
      <c r="L2184" s="13"/>
      <c r="M2184" s="14"/>
      <c r="N2184" s="13"/>
      <c r="O2184" s="13"/>
    </row>
    <row r="2185" spans="1:15" ht="19.5" customHeight="1" x14ac:dyDescent="0.25">
      <c r="A2185" s="11" t="s">
        <v>2095</v>
      </c>
      <c r="B2185" s="11"/>
      <c r="C2185" s="11" t="s">
        <v>2579</v>
      </c>
      <c r="D2185" s="11" t="s">
        <v>1883</v>
      </c>
      <c r="E2185" s="11"/>
      <c r="F2185" s="11"/>
      <c r="G2185" s="11" t="s">
        <v>2095</v>
      </c>
      <c r="H2185" s="11"/>
      <c r="I2185" s="11"/>
      <c r="J2185" s="11"/>
      <c r="K2185" s="11"/>
      <c r="L2185" s="11"/>
      <c r="M2185" s="12"/>
      <c r="N2185" s="11"/>
      <c r="O2185" s="11"/>
    </row>
    <row r="2186" spans="1:15" ht="19.5" customHeight="1" x14ac:dyDescent="0.25">
      <c r="A2186" s="13" t="s">
        <v>940</v>
      </c>
      <c r="B2186" s="13"/>
      <c r="C2186" s="13" t="s">
        <v>2578</v>
      </c>
      <c r="D2186" s="13" t="s">
        <v>1883</v>
      </c>
      <c r="E2186" s="13" t="s">
        <v>2575</v>
      </c>
      <c r="F2186" s="13"/>
      <c r="G2186" s="13" t="s">
        <v>940</v>
      </c>
      <c r="H2186" s="13" t="s">
        <v>2574</v>
      </c>
      <c r="I2186" s="13" t="s">
        <v>2573</v>
      </c>
      <c r="J2186" s="13" t="s">
        <v>2572</v>
      </c>
      <c r="K2186" s="13" t="s">
        <v>1937</v>
      </c>
      <c r="L2186" s="13"/>
      <c r="M2186" s="14"/>
      <c r="N2186" s="13"/>
      <c r="O2186" s="13" t="s">
        <v>1877</v>
      </c>
    </row>
    <row r="2187" spans="1:15" ht="19.5" customHeight="1" x14ac:dyDescent="0.25">
      <c r="A2187" s="11" t="s">
        <v>940</v>
      </c>
      <c r="B2187" s="11"/>
      <c r="C2187" s="11" t="s">
        <v>2577</v>
      </c>
      <c r="D2187" s="11" t="s">
        <v>1883</v>
      </c>
      <c r="E2187" s="11" t="s">
        <v>2575</v>
      </c>
      <c r="F2187" s="11"/>
      <c r="G2187" s="11" t="s">
        <v>940</v>
      </c>
      <c r="H2187" s="11" t="s">
        <v>2574</v>
      </c>
      <c r="I2187" s="11" t="s">
        <v>2573</v>
      </c>
      <c r="J2187" s="11" t="s">
        <v>2572</v>
      </c>
      <c r="K2187" s="11" t="s">
        <v>1937</v>
      </c>
      <c r="L2187" s="11"/>
      <c r="M2187" s="12"/>
      <c r="N2187" s="11"/>
      <c r="O2187" s="11" t="s">
        <v>1877</v>
      </c>
    </row>
    <row r="2188" spans="1:15" ht="19.5" customHeight="1" x14ac:dyDescent="0.25">
      <c r="A2188" s="13" t="s">
        <v>940</v>
      </c>
      <c r="B2188" s="13"/>
      <c r="C2188" s="13" t="s">
        <v>2576</v>
      </c>
      <c r="D2188" s="13" t="s">
        <v>1883</v>
      </c>
      <c r="E2188" s="13" t="s">
        <v>2575</v>
      </c>
      <c r="F2188" s="13"/>
      <c r="G2188" s="13" t="s">
        <v>940</v>
      </c>
      <c r="H2188" s="13" t="s">
        <v>2574</v>
      </c>
      <c r="I2188" s="13" t="s">
        <v>2573</v>
      </c>
      <c r="J2188" s="13" t="s">
        <v>2572</v>
      </c>
      <c r="K2188" s="13" t="s">
        <v>1937</v>
      </c>
      <c r="L2188" s="13"/>
      <c r="M2188" s="14"/>
      <c r="N2188" s="13"/>
      <c r="O2188" s="13" t="s">
        <v>1877</v>
      </c>
    </row>
    <row r="2189" spans="1:15" ht="19.5" customHeight="1" x14ac:dyDescent="0.25">
      <c r="A2189" s="11" t="s">
        <v>942</v>
      </c>
      <c r="B2189" s="11"/>
      <c r="C2189" s="11" t="s">
        <v>2571</v>
      </c>
      <c r="D2189" s="11" t="s">
        <v>1883</v>
      </c>
      <c r="E2189" s="11" t="s">
        <v>2568</v>
      </c>
      <c r="F2189" s="11"/>
      <c r="G2189" s="11" t="s">
        <v>942</v>
      </c>
      <c r="H2189" s="11" t="s">
        <v>2567</v>
      </c>
      <c r="I2189" s="11" t="s">
        <v>2566</v>
      </c>
      <c r="J2189" s="11" t="s">
        <v>2565</v>
      </c>
      <c r="K2189" s="11" t="s">
        <v>2313</v>
      </c>
      <c r="L2189" s="11"/>
      <c r="M2189" s="12"/>
      <c r="N2189" s="11"/>
      <c r="O2189" s="11" t="s">
        <v>1877</v>
      </c>
    </row>
    <row r="2190" spans="1:15" ht="19.5" customHeight="1" x14ac:dyDescent="0.25">
      <c r="A2190" s="13" t="s">
        <v>942</v>
      </c>
      <c r="B2190" s="13"/>
      <c r="C2190" s="13" t="s">
        <v>2570</v>
      </c>
      <c r="D2190" s="13" t="s">
        <v>1883</v>
      </c>
      <c r="E2190" s="13" t="s">
        <v>2568</v>
      </c>
      <c r="F2190" s="13"/>
      <c r="G2190" s="13" t="s">
        <v>942</v>
      </c>
      <c r="H2190" s="13" t="s">
        <v>2567</v>
      </c>
      <c r="I2190" s="13" t="s">
        <v>2566</v>
      </c>
      <c r="J2190" s="13" t="s">
        <v>2565</v>
      </c>
      <c r="K2190" s="13" t="s">
        <v>2313</v>
      </c>
      <c r="L2190" s="13"/>
      <c r="M2190" s="14"/>
      <c r="N2190" s="13"/>
      <c r="O2190" s="13" t="s">
        <v>1877</v>
      </c>
    </row>
    <row r="2191" spans="1:15" ht="19.5" customHeight="1" x14ac:dyDescent="0.25">
      <c r="A2191" s="11" t="s">
        <v>942</v>
      </c>
      <c r="B2191" s="11"/>
      <c r="C2191" s="11" t="s">
        <v>2569</v>
      </c>
      <c r="D2191" s="11" t="s">
        <v>1883</v>
      </c>
      <c r="E2191" s="11" t="s">
        <v>2568</v>
      </c>
      <c r="F2191" s="11"/>
      <c r="G2191" s="11" t="s">
        <v>942</v>
      </c>
      <c r="H2191" s="11" t="s">
        <v>2567</v>
      </c>
      <c r="I2191" s="11" t="s">
        <v>2566</v>
      </c>
      <c r="J2191" s="11" t="s">
        <v>2565</v>
      </c>
      <c r="K2191" s="11" t="s">
        <v>2313</v>
      </c>
      <c r="L2191" s="11"/>
      <c r="M2191" s="12"/>
      <c r="N2191" s="11"/>
      <c r="O2191" s="11" t="s">
        <v>1877</v>
      </c>
    </row>
    <row r="2192" spans="1:15" ht="19.5" customHeight="1" x14ac:dyDescent="0.25">
      <c r="A2192" s="13" t="s">
        <v>944</v>
      </c>
      <c r="B2192" s="13"/>
      <c r="C2192" s="13" t="s">
        <v>2564</v>
      </c>
      <c r="D2192" s="13" t="s">
        <v>1883</v>
      </c>
      <c r="E2192" s="13" t="s">
        <v>2559</v>
      </c>
      <c r="F2192" s="13"/>
      <c r="G2192" s="13" t="s">
        <v>944</v>
      </c>
      <c r="H2192" s="13" t="s">
        <v>2558</v>
      </c>
      <c r="I2192" s="13" t="s">
        <v>2563</v>
      </c>
      <c r="J2192" s="13" t="s">
        <v>2556</v>
      </c>
      <c r="K2192" s="13" t="s">
        <v>2555</v>
      </c>
      <c r="L2192" s="13"/>
      <c r="M2192" s="14"/>
      <c r="N2192" s="13"/>
      <c r="O2192" s="13" t="s">
        <v>1877</v>
      </c>
    </row>
    <row r="2193" spans="1:15" ht="19.5" customHeight="1" x14ac:dyDescent="0.25">
      <c r="A2193" s="11" t="s">
        <v>944</v>
      </c>
      <c r="B2193" s="11"/>
      <c r="C2193" s="11" t="s">
        <v>2562</v>
      </c>
      <c r="D2193" s="11" t="s">
        <v>1883</v>
      </c>
      <c r="E2193" s="11" t="s">
        <v>2559</v>
      </c>
      <c r="F2193" s="11"/>
      <c r="G2193" s="11" t="s">
        <v>944</v>
      </c>
      <c r="H2193" s="11" t="s">
        <v>2558</v>
      </c>
      <c r="I2193" s="11" t="s">
        <v>2561</v>
      </c>
      <c r="J2193" s="11" t="s">
        <v>2556</v>
      </c>
      <c r="K2193" s="11" t="s">
        <v>2555</v>
      </c>
      <c r="L2193" s="11"/>
      <c r="M2193" s="12"/>
      <c r="N2193" s="11"/>
      <c r="O2193" s="11" t="s">
        <v>1877</v>
      </c>
    </row>
    <row r="2194" spans="1:15" ht="19.5" customHeight="1" x14ac:dyDescent="0.25">
      <c r="A2194" s="13" t="s">
        <v>944</v>
      </c>
      <c r="B2194" s="13"/>
      <c r="C2194" s="13" t="s">
        <v>2560</v>
      </c>
      <c r="D2194" s="13" t="s">
        <v>1883</v>
      </c>
      <c r="E2194" s="13" t="s">
        <v>2559</v>
      </c>
      <c r="F2194" s="13"/>
      <c r="G2194" s="13" t="s">
        <v>944</v>
      </c>
      <c r="H2194" s="13" t="s">
        <v>2558</v>
      </c>
      <c r="I2194" s="13" t="s">
        <v>2557</v>
      </c>
      <c r="J2194" s="13" t="s">
        <v>2556</v>
      </c>
      <c r="K2194" s="13" t="s">
        <v>2555</v>
      </c>
      <c r="L2194" s="13"/>
      <c r="M2194" s="14"/>
      <c r="N2194" s="13"/>
      <c r="O2194" s="13" t="s">
        <v>1877</v>
      </c>
    </row>
    <row r="2195" spans="1:15" ht="19.5" customHeight="1" x14ac:dyDescent="0.25">
      <c r="A2195" s="11" t="s">
        <v>923</v>
      </c>
      <c r="B2195" s="11"/>
      <c r="C2195" s="11" t="s">
        <v>2554</v>
      </c>
      <c r="D2195" s="11" t="s">
        <v>1883</v>
      </c>
      <c r="E2195" s="11" t="s">
        <v>2551</v>
      </c>
      <c r="F2195" s="11"/>
      <c r="G2195" s="11" t="s">
        <v>2550</v>
      </c>
      <c r="H2195" s="11" t="s">
        <v>2549</v>
      </c>
      <c r="I2195" s="11" t="s">
        <v>2548</v>
      </c>
      <c r="J2195" s="11" t="s">
        <v>2547</v>
      </c>
      <c r="K2195" s="11" t="s">
        <v>2546</v>
      </c>
      <c r="L2195" s="11"/>
      <c r="M2195" s="12"/>
      <c r="N2195" s="11"/>
      <c r="O2195" s="11" t="s">
        <v>1877</v>
      </c>
    </row>
    <row r="2196" spans="1:15" ht="19.5" customHeight="1" x14ac:dyDescent="0.25">
      <c r="A2196" s="13" t="s">
        <v>923</v>
      </c>
      <c r="B2196" s="13"/>
      <c r="C2196" s="13" t="s">
        <v>2553</v>
      </c>
      <c r="D2196" s="13" t="s">
        <v>1883</v>
      </c>
      <c r="E2196" s="13" t="s">
        <v>2551</v>
      </c>
      <c r="F2196" s="13"/>
      <c r="G2196" s="13" t="s">
        <v>2550</v>
      </c>
      <c r="H2196" s="13" t="s">
        <v>2549</v>
      </c>
      <c r="I2196" s="13" t="s">
        <v>2548</v>
      </c>
      <c r="J2196" s="13" t="s">
        <v>2547</v>
      </c>
      <c r="K2196" s="13" t="s">
        <v>2546</v>
      </c>
      <c r="L2196" s="13"/>
      <c r="M2196" s="14"/>
      <c r="N2196" s="13"/>
      <c r="O2196" s="13" t="s">
        <v>1877</v>
      </c>
    </row>
    <row r="2197" spans="1:15" ht="19.5" customHeight="1" x14ac:dyDescent="0.25">
      <c r="A2197" s="11" t="s">
        <v>923</v>
      </c>
      <c r="B2197" s="11"/>
      <c r="C2197" s="11" t="s">
        <v>2552</v>
      </c>
      <c r="D2197" s="11" t="s">
        <v>1883</v>
      </c>
      <c r="E2197" s="11" t="s">
        <v>2551</v>
      </c>
      <c r="F2197" s="11"/>
      <c r="G2197" s="11" t="s">
        <v>2550</v>
      </c>
      <c r="H2197" s="11" t="s">
        <v>2549</v>
      </c>
      <c r="I2197" s="11" t="s">
        <v>2548</v>
      </c>
      <c r="J2197" s="11" t="s">
        <v>2547</v>
      </c>
      <c r="K2197" s="11" t="s">
        <v>2546</v>
      </c>
      <c r="L2197" s="11"/>
      <c r="M2197" s="12"/>
      <c r="N2197" s="11"/>
      <c r="O2197" s="11" t="s">
        <v>1877</v>
      </c>
    </row>
    <row r="2198" spans="1:15" ht="19.5" customHeight="1" x14ac:dyDescent="0.25">
      <c r="A2198" s="13" t="s">
        <v>2544</v>
      </c>
      <c r="B2198" s="13"/>
      <c r="C2198" s="13" t="s">
        <v>2545</v>
      </c>
      <c r="D2198" s="13" t="s">
        <v>1883</v>
      </c>
      <c r="E2198" s="13"/>
      <c r="F2198" s="13"/>
      <c r="G2198" s="13" t="s">
        <v>2544</v>
      </c>
      <c r="H2198" s="13"/>
      <c r="I2198" s="13"/>
      <c r="J2198" s="13"/>
      <c r="K2198" s="13"/>
      <c r="L2198" s="13"/>
      <c r="M2198" s="14"/>
      <c r="N2198" s="13"/>
      <c r="O2198" s="13"/>
    </row>
    <row r="2199" spans="1:15" ht="19.5" customHeight="1" x14ac:dyDescent="0.25">
      <c r="A2199" s="11" t="s">
        <v>2541</v>
      </c>
      <c r="B2199" s="11"/>
      <c r="C2199" s="11" t="s">
        <v>2543</v>
      </c>
      <c r="D2199" s="11" t="s">
        <v>1883</v>
      </c>
      <c r="E2199" s="11" t="s">
        <v>2542</v>
      </c>
      <c r="F2199" s="11"/>
      <c r="G2199" s="11" t="s">
        <v>2541</v>
      </c>
      <c r="H2199" s="11"/>
      <c r="I2199" s="11"/>
      <c r="J2199" s="11"/>
      <c r="K2199" s="11"/>
      <c r="L2199" s="11"/>
      <c r="M2199" s="12"/>
      <c r="N2199" s="11"/>
      <c r="O2199" s="11" t="s">
        <v>1916</v>
      </c>
    </row>
    <row r="2200" spans="1:15" ht="19.5" customHeight="1" x14ac:dyDescent="0.25">
      <c r="A2200" s="13" t="s">
        <v>946</v>
      </c>
      <c r="B2200" s="13"/>
      <c r="C2200" s="13" t="s">
        <v>2540</v>
      </c>
      <c r="D2200" s="13" t="s">
        <v>1883</v>
      </c>
      <c r="E2200" s="13" t="s">
        <v>2539</v>
      </c>
      <c r="F2200" s="13"/>
      <c r="G2200" s="13" t="s">
        <v>946</v>
      </c>
      <c r="H2200" s="13"/>
      <c r="I2200" s="13"/>
      <c r="J2200" s="13"/>
      <c r="K2200" s="13"/>
      <c r="L2200" s="13"/>
      <c r="M2200" s="14"/>
      <c r="N2200" s="13"/>
      <c r="O2200" s="13" t="s">
        <v>1916</v>
      </c>
    </row>
    <row r="2201" spans="1:15" ht="19.5" customHeight="1" x14ac:dyDescent="0.25">
      <c r="A2201" s="11" t="s">
        <v>946</v>
      </c>
      <c r="B2201" s="11"/>
      <c r="C2201" s="11" t="s">
        <v>2538</v>
      </c>
      <c r="D2201" s="11" t="s">
        <v>1883</v>
      </c>
      <c r="E2201" s="11" t="s">
        <v>2535</v>
      </c>
      <c r="F2201" s="11" t="s">
        <v>2534</v>
      </c>
      <c r="G2201" s="11" t="s">
        <v>946</v>
      </c>
      <c r="H2201" s="11"/>
      <c r="I2201" s="11" t="s">
        <v>2533</v>
      </c>
      <c r="J2201" s="11" t="s">
        <v>2532</v>
      </c>
      <c r="K2201" s="11" t="s">
        <v>2033</v>
      </c>
      <c r="L2201" s="11"/>
      <c r="M2201" s="12"/>
      <c r="N2201" s="11"/>
      <c r="O2201" s="11" t="s">
        <v>2028</v>
      </c>
    </row>
    <row r="2202" spans="1:15" ht="19.5" customHeight="1" x14ac:dyDescent="0.25">
      <c r="A2202" s="13" t="s">
        <v>946</v>
      </c>
      <c r="B2202" s="13"/>
      <c r="C2202" s="13" t="s">
        <v>2537</v>
      </c>
      <c r="D2202" s="13" t="s">
        <v>1883</v>
      </c>
      <c r="E2202" s="13" t="s">
        <v>2535</v>
      </c>
      <c r="F2202" s="13" t="s">
        <v>2534</v>
      </c>
      <c r="G2202" s="13" t="s">
        <v>946</v>
      </c>
      <c r="H2202" s="13"/>
      <c r="I2202" s="13" t="s">
        <v>2533</v>
      </c>
      <c r="J2202" s="13" t="s">
        <v>2532</v>
      </c>
      <c r="K2202" s="13" t="s">
        <v>2033</v>
      </c>
      <c r="L2202" s="13"/>
      <c r="M2202" s="14"/>
      <c r="N2202" s="13"/>
      <c r="O2202" s="13" t="s">
        <v>2028</v>
      </c>
    </row>
    <row r="2203" spans="1:15" ht="19.5" customHeight="1" x14ac:dyDescent="0.25">
      <c r="A2203" s="11" t="s">
        <v>946</v>
      </c>
      <c r="B2203" s="11"/>
      <c r="C2203" s="11" t="s">
        <v>2536</v>
      </c>
      <c r="D2203" s="11" t="s">
        <v>1883</v>
      </c>
      <c r="E2203" s="11" t="s">
        <v>2535</v>
      </c>
      <c r="F2203" s="11" t="s">
        <v>2534</v>
      </c>
      <c r="G2203" s="11" t="s">
        <v>946</v>
      </c>
      <c r="H2203" s="11"/>
      <c r="I2203" s="11" t="s">
        <v>2533</v>
      </c>
      <c r="J2203" s="11" t="s">
        <v>2532</v>
      </c>
      <c r="K2203" s="11" t="s">
        <v>2033</v>
      </c>
      <c r="L2203" s="11"/>
      <c r="M2203" s="12"/>
      <c r="N2203" s="11"/>
      <c r="O2203" s="11" t="s">
        <v>2028</v>
      </c>
    </row>
    <row r="2204" spans="1:15" ht="19.5" customHeight="1" x14ac:dyDescent="0.25">
      <c r="A2204" s="13" t="s">
        <v>1520</v>
      </c>
      <c r="B2204" s="13"/>
      <c r="C2204" s="13" t="s">
        <v>2531</v>
      </c>
      <c r="D2204" s="13" t="s">
        <v>1883</v>
      </c>
      <c r="E2204" s="13" t="s">
        <v>2530</v>
      </c>
      <c r="F2204" s="13"/>
      <c r="G2204" s="13" t="s">
        <v>1520</v>
      </c>
      <c r="H2204" s="13"/>
      <c r="I2204" s="13" t="s">
        <v>2529</v>
      </c>
      <c r="J2204" s="13" t="s">
        <v>2528</v>
      </c>
      <c r="K2204" s="13" t="s">
        <v>2313</v>
      </c>
      <c r="L2204" s="13"/>
      <c r="M2204" s="14"/>
      <c r="N2204" s="13"/>
      <c r="O2204" s="13" t="s">
        <v>1877</v>
      </c>
    </row>
    <row r="2205" spans="1:15" ht="19.5" customHeight="1" x14ac:dyDescent="0.25">
      <c r="A2205" s="11" t="s">
        <v>948</v>
      </c>
      <c r="B2205" s="11"/>
      <c r="C2205" s="11" t="s">
        <v>2527</v>
      </c>
      <c r="D2205" s="11" t="s">
        <v>1883</v>
      </c>
      <c r="E2205" s="11" t="s">
        <v>2524</v>
      </c>
      <c r="F2205" s="11"/>
      <c r="G2205" s="11" t="s">
        <v>2523</v>
      </c>
      <c r="H2205" s="11" t="s">
        <v>2522</v>
      </c>
      <c r="I2205" s="11" t="s">
        <v>2521</v>
      </c>
      <c r="J2205" s="11" t="s">
        <v>2520</v>
      </c>
      <c r="K2205" s="11" t="s">
        <v>1878</v>
      </c>
      <c r="L2205" s="11"/>
      <c r="M2205" s="12"/>
      <c r="N2205" s="11"/>
      <c r="O2205" s="11" t="s">
        <v>1877</v>
      </c>
    </row>
    <row r="2206" spans="1:15" ht="19.5" customHeight="1" x14ac:dyDescent="0.25">
      <c r="A2206" s="13" t="s">
        <v>948</v>
      </c>
      <c r="B2206" s="13"/>
      <c r="C2206" s="13" t="s">
        <v>2526</v>
      </c>
      <c r="D2206" s="13" t="s">
        <v>1883</v>
      </c>
      <c r="E2206" s="13" t="s">
        <v>2524</v>
      </c>
      <c r="F2206" s="13"/>
      <c r="G2206" s="13" t="s">
        <v>2523</v>
      </c>
      <c r="H2206" s="13" t="s">
        <v>2522</v>
      </c>
      <c r="I2206" s="13" t="s">
        <v>2521</v>
      </c>
      <c r="J2206" s="13" t="s">
        <v>2520</v>
      </c>
      <c r="K2206" s="13" t="s">
        <v>1878</v>
      </c>
      <c r="L2206" s="13"/>
      <c r="M2206" s="14"/>
      <c r="N2206" s="13"/>
      <c r="O2206" s="13" t="s">
        <v>1877</v>
      </c>
    </row>
    <row r="2207" spans="1:15" ht="19.5" customHeight="1" x14ac:dyDescent="0.25">
      <c r="A2207" s="11" t="s">
        <v>948</v>
      </c>
      <c r="B2207" s="11"/>
      <c r="C2207" s="11" t="s">
        <v>2525</v>
      </c>
      <c r="D2207" s="11" t="s">
        <v>1883</v>
      </c>
      <c r="E2207" s="11" t="s">
        <v>2524</v>
      </c>
      <c r="F2207" s="11"/>
      <c r="G2207" s="11" t="s">
        <v>2523</v>
      </c>
      <c r="H2207" s="11" t="s">
        <v>2522</v>
      </c>
      <c r="I2207" s="11" t="s">
        <v>2521</v>
      </c>
      <c r="J2207" s="11" t="s">
        <v>2520</v>
      </c>
      <c r="K2207" s="11" t="s">
        <v>1878</v>
      </c>
      <c r="L2207" s="11"/>
      <c r="M2207" s="12"/>
      <c r="N2207" s="11"/>
      <c r="O2207" s="11" t="s">
        <v>1877</v>
      </c>
    </row>
    <row r="2208" spans="1:15" ht="19.5" customHeight="1" x14ac:dyDescent="0.25">
      <c r="A2208" s="13" t="s">
        <v>2517</v>
      </c>
      <c r="B2208" s="13"/>
      <c r="C2208" s="13" t="s">
        <v>2519</v>
      </c>
      <c r="D2208" s="13" t="s">
        <v>1883</v>
      </c>
      <c r="E2208" s="13" t="s">
        <v>2518</v>
      </c>
      <c r="F2208" s="13"/>
      <c r="G2208" s="13" t="s">
        <v>2517</v>
      </c>
      <c r="H2208" s="13"/>
      <c r="I2208" s="13"/>
      <c r="J2208" s="13"/>
      <c r="K2208" s="13"/>
      <c r="L2208" s="13"/>
      <c r="M2208" s="14"/>
      <c r="N2208" s="13"/>
      <c r="O2208" s="13"/>
    </row>
    <row r="2209" spans="1:15" ht="19.5" customHeight="1" x14ac:dyDescent="0.25">
      <c r="A2209" s="11" t="s">
        <v>2498</v>
      </c>
      <c r="B2209" s="11"/>
      <c r="C2209" s="11" t="s">
        <v>2516</v>
      </c>
      <c r="D2209" s="11" t="s">
        <v>1883</v>
      </c>
      <c r="E2209" s="11"/>
      <c r="F2209" s="11"/>
      <c r="G2209" s="11" t="s">
        <v>2498</v>
      </c>
      <c r="H2209" s="11"/>
      <c r="I2209" s="11"/>
      <c r="J2209" s="11"/>
      <c r="K2209" s="11"/>
      <c r="L2209" s="11"/>
      <c r="M2209" s="12"/>
      <c r="N2209" s="11"/>
      <c r="O2209" s="11"/>
    </row>
    <row r="2210" spans="1:15" ht="19.5" customHeight="1" x14ac:dyDescent="0.25">
      <c r="A2210" s="13" t="s">
        <v>2498</v>
      </c>
      <c r="B2210" s="13"/>
      <c r="C2210" s="13" t="s">
        <v>2515</v>
      </c>
      <c r="D2210" s="13" t="s">
        <v>1883</v>
      </c>
      <c r="E2210" s="13"/>
      <c r="F2210" s="13"/>
      <c r="G2210" s="13" t="s">
        <v>2498</v>
      </c>
      <c r="H2210" s="13"/>
      <c r="I2210" s="13"/>
      <c r="J2210" s="13"/>
      <c r="K2210" s="13"/>
      <c r="L2210" s="13"/>
      <c r="M2210" s="14"/>
      <c r="N2210" s="13"/>
      <c r="O2210" s="13"/>
    </row>
    <row r="2211" spans="1:15" ht="19.5" customHeight="1" x14ac:dyDescent="0.25">
      <c r="A2211" s="11" t="s">
        <v>2498</v>
      </c>
      <c r="B2211" s="11"/>
      <c r="C2211" s="11" t="s">
        <v>2514</v>
      </c>
      <c r="D2211" s="11" t="s">
        <v>1883</v>
      </c>
      <c r="E2211" s="11"/>
      <c r="F2211" s="11"/>
      <c r="G2211" s="11" t="s">
        <v>2498</v>
      </c>
      <c r="H2211" s="11"/>
      <c r="I2211" s="11"/>
      <c r="J2211" s="11"/>
      <c r="K2211" s="11"/>
      <c r="L2211" s="11"/>
      <c r="M2211" s="12"/>
      <c r="N2211" s="11"/>
      <c r="O2211" s="11"/>
    </row>
    <row r="2212" spans="1:15" ht="19.5" customHeight="1" x14ac:dyDescent="0.25">
      <c r="A2212" s="13" t="s">
        <v>2498</v>
      </c>
      <c r="B2212" s="13"/>
      <c r="C2212" s="13" t="s">
        <v>2513</v>
      </c>
      <c r="D2212" s="13" t="s">
        <v>1883</v>
      </c>
      <c r="E2212" s="13"/>
      <c r="F2212" s="13"/>
      <c r="G2212" s="13" t="s">
        <v>2498</v>
      </c>
      <c r="H2212" s="13"/>
      <c r="I2212" s="13"/>
      <c r="J2212" s="13"/>
      <c r="K2212" s="13"/>
      <c r="L2212" s="13"/>
      <c r="M2212" s="14"/>
      <c r="N2212" s="13"/>
      <c r="O2212" s="13"/>
    </row>
    <row r="2213" spans="1:15" ht="19.5" customHeight="1" x14ac:dyDescent="0.25">
      <c r="A2213" s="11" t="s">
        <v>2498</v>
      </c>
      <c r="B2213" s="11"/>
      <c r="C2213" s="11" t="s">
        <v>2512</v>
      </c>
      <c r="D2213" s="11" t="s">
        <v>1883</v>
      </c>
      <c r="E2213" s="11"/>
      <c r="F2213" s="11"/>
      <c r="G2213" s="11" t="s">
        <v>2498</v>
      </c>
      <c r="H2213" s="11"/>
      <c r="I2213" s="11"/>
      <c r="J2213" s="11"/>
      <c r="K2213" s="11"/>
      <c r="L2213" s="11"/>
      <c r="M2213" s="12"/>
      <c r="N2213" s="11"/>
      <c r="O2213" s="11"/>
    </row>
    <row r="2214" spans="1:15" ht="19.5" customHeight="1" x14ac:dyDescent="0.25">
      <c r="A2214" s="13" t="s">
        <v>2498</v>
      </c>
      <c r="B2214" s="13"/>
      <c r="C2214" s="13" t="s">
        <v>2511</v>
      </c>
      <c r="D2214" s="13" t="s">
        <v>1883</v>
      </c>
      <c r="E2214" s="13"/>
      <c r="F2214" s="13"/>
      <c r="G2214" s="13" t="s">
        <v>2498</v>
      </c>
      <c r="H2214" s="13"/>
      <c r="I2214" s="13"/>
      <c r="J2214" s="13"/>
      <c r="K2214" s="13"/>
      <c r="L2214" s="13"/>
      <c r="M2214" s="14"/>
      <c r="N2214" s="13"/>
      <c r="O2214" s="13"/>
    </row>
    <row r="2215" spans="1:15" ht="19.5" customHeight="1" x14ac:dyDescent="0.25">
      <c r="A2215" s="11" t="s">
        <v>2498</v>
      </c>
      <c r="B2215" s="11"/>
      <c r="C2215" s="11" t="s">
        <v>2510</v>
      </c>
      <c r="D2215" s="11" t="s">
        <v>1883</v>
      </c>
      <c r="E2215" s="11"/>
      <c r="F2215" s="11"/>
      <c r="G2215" s="11" t="s">
        <v>2498</v>
      </c>
      <c r="H2215" s="11"/>
      <c r="I2215" s="11"/>
      <c r="J2215" s="11"/>
      <c r="K2215" s="11"/>
      <c r="L2215" s="11"/>
      <c r="M2215" s="12"/>
      <c r="N2215" s="11"/>
      <c r="O2215" s="11"/>
    </row>
    <row r="2216" spans="1:15" ht="19.5" customHeight="1" x14ac:dyDescent="0.25">
      <c r="A2216" s="13" t="s">
        <v>2498</v>
      </c>
      <c r="B2216" s="13"/>
      <c r="C2216" s="13" t="s">
        <v>2509</v>
      </c>
      <c r="D2216" s="13" t="s">
        <v>1883</v>
      </c>
      <c r="E2216" s="13"/>
      <c r="F2216" s="13"/>
      <c r="G2216" s="13" t="s">
        <v>2498</v>
      </c>
      <c r="H2216" s="13"/>
      <c r="I2216" s="13"/>
      <c r="J2216" s="13"/>
      <c r="K2216" s="13"/>
      <c r="L2216" s="13"/>
      <c r="M2216" s="14"/>
      <c r="N2216" s="13"/>
      <c r="O2216" s="13"/>
    </row>
    <row r="2217" spans="1:15" ht="19.5" customHeight="1" x14ac:dyDescent="0.25">
      <c r="A2217" s="11" t="s">
        <v>2498</v>
      </c>
      <c r="B2217" s="11"/>
      <c r="C2217" s="11" t="s">
        <v>2508</v>
      </c>
      <c r="D2217" s="11" t="s">
        <v>1883</v>
      </c>
      <c r="E2217" s="11"/>
      <c r="F2217" s="11"/>
      <c r="G2217" s="11" t="s">
        <v>2498</v>
      </c>
      <c r="H2217" s="11"/>
      <c r="I2217" s="11"/>
      <c r="J2217" s="11"/>
      <c r="K2217" s="11"/>
      <c r="L2217" s="11"/>
      <c r="M2217" s="12"/>
      <c r="N2217" s="11"/>
      <c r="O2217" s="11"/>
    </row>
    <row r="2218" spans="1:15" ht="19.5" customHeight="1" x14ac:dyDescent="0.25">
      <c r="A2218" s="13" t="s">
        <v>2498</v>
      </c>
      <c r="B2218" s="13"/>
      <c r="C2218" s="13" t="s">
        <v>2507</v>
      </c>
      <c r="D2218" s="13" t="s">
        <v>1883</v>
      </c>
      <c r="E2218" s="13"/>
      <c r="F2218" s="13"/>
      <c r="G2218" s="13" t="s">
        <v>2498</v>
      </c>
      <c r="H2218" s="13"/>
      <c r="I2218" s="13"/>
      <c r="J2218" s="13"/>
      <c r="K2218" s="13"/>
      <c r="L2218" s="13"/>
      <c r="M2218" s="14"/>
      <c r="N2218" s="13"/>
      <c r="O2218" s="13"/>
    </row>
    <row r="2219" spans="1:15" ht="19.5" customHeight="1" x14ac:dyDescent="0.25">
      <c r="A2219" s="11" t="s">
        <v>2498</v>
      </c>
      <c r="B2219" s="11"/>
      <c r="C2219" s="11" t="s">
        <v>2506</v>
      </c>
      <c r="D2219" s="11" t="s">
        <v>1883</v>
      </c>
      <c r="E2219" s="11"/>
      <c r="F2219" s="11"/>
      <c r="G2219" s="11" t="s">
        <v>2498</v>
      </c>
      <c r="H2219" s="11"/>
      <c r="I2219" s="11"/>
      <c r="J2219" s="11"/>
      <c r="K2219" s="11"/>
      <c r="L2219" s="11"/>
      <c r="M2219" s="12"/>
      <c r="N2219" s="11"/>
      <c r="O2219" s="11"/>
    </row>
    <row r="2220" spans="1:15" ht="19.5" customHeight="1" x14ac:dyDescent="0.25">
      <c r="A2220" s="13" t="s">
        <v>2498</v>
      </c>
      <c r="B2220" s="13"/>
      <c r="C2220" s="13" t="s">
        <v>2505</v>
      </c>
      <c r="D2220" s="13" t="s">
        <v>1883</v>
      </c>
      <c r="E2220" s="13"/>
      <c r="F2220" s="13"/>
      <c r="G2220" s="13" t="s">
        <v>2498</v>
      </c>
      <c r="H2220" s="13"/>
      <c r="I2220" s="13"/>
      <c r="J2220" s="13"/>
      <c r="K2220" s="13"/>
      <c r="L2220" s="13"/>
      <c r="M2220" s="14"/>
      <c r="N2220" s="13"/>
      <c r="O2220" s="13"/>
    </row>
    <row r="2221" spans="1:15" ht="19.5" customHeight="1" x14ac:dyDescent="0.25">
      <c r="A2221" s="11" t="s">
        <v>2498</v>
      </c>
      <c r="B2221" s="11"/>
      <c r="C2221" s="11" t="s">
        <v>2504</v>
      </c>
      <c r="D2221" s="11" t="s">
        <v>1883</v>
      </c>
      <c r="E2221" s="11"/>
      <c r="F2221" s="11"/>
      <c r="G2221" s="11" t="s">
        <v>2498</v>
      </c>
      <c r="H2221" s="11"/>
      <c r="I2221" s="11"/>
      <c r="J2221" s="11"/>
      <c r="K2221" s="11"/>
      <c r="L2221" s="11"/>
      <c r="M2221" s="12"/>
      <c r="N2221" s="11"/>
      <c r="O2221" s="11"/>
    </row>
    <row r="2222" spans="1:15" ht="19.5" customHeight="1" x14ac:dyDescent="0.25">
      <c r="A2222" s="13" t="s">
        <v>2498</v>
      </c>
      <c r="B2222" s="13"/>
      <c r="C2222" s="13" t="s">
        <v>2503</v>
      </c>
      <c r="D2222" s="13" t="s">
        <v>1883</v>
      </c>
      <c r="E2222" s="13"/>
      <c r="F2222" s="13"/>
      <c r="G2222" s="13" t="s">
        <v>2498</v>
      </c>
      <c r="H2222" s="13"/>
      <c r="I2222" s="13"/>
      <c r="J2222" s="13"/>
      <c r="K2222" s="13"/>
      <c r="L2222" s="13"/>
      <c r="M2222" s="14"/>
      <c r="N2222" s="13"/>
      <c r="O2222" s="13"/>
    </row>
    <row r="2223" spans="1:15" ht="19.5" customHeight="1" x14ac:dyDescent="0.25">
      <c r="A2223" s="11" t="s">
        <v>2498</v>
      </c>
      <c r="B2223" s="11"/>
      <c r="C2223" s="11" t="s">
        <v>2502</v>
      </c>
      <c r="D2223" s="11" t="s">
        <v>1883</v>
      </c>
      <c r="E2223" s="11"/>
      <c r="F2223" s="11"/>
      <c r="G2223" s="11" t="s">
        <v>2498</v>
      </c>
      <c r="H2223" s="11"/>
      <c r="I2223" s="11"/>
      <c r="J2223" s="11"/>
      <c r="K2223" s="11"/>
      <c r="L2223" s="11"/>
      <c r="M2223" s="12"/>
      <c r="N2223" s="11"/>
      <c r="O2223" s="11"/>
    </row>
    <row r="2224" spans="1:15" ht="19.5" customHeight="1" x14ac:dyDescent="0.25">
      <c r="A2224" s="13" t="s">
        <v>2498</v>
      </c>
      <c r="B2224" s="13"/>
      <c r="C2224" s="13" t="s">
        <v>2501</v>
      </c>
      <c r="D2224" s="13" t="s">
        <v>1883</v>
      </c>
      <c r="E2224" s="13"/>
      <c r="F2224" s="13"/>
      <c r="G2224" s="13" t="s">
        <v>2498</v>
      </c>
      <c r="H2224" s="13"/>
      <c r="I2224" s="13"/>
      <c r="J2224" s="13"/>
      <c r="K2224" s="13"/>
      <c r="L2224" s="13"/>
      <c r="M2224" s="14"/>
      <c r="N2224" s="13"/>
      <c r="O2224" s="13"/>
    </row>
    <row r="2225" spans="1:15" ht="19.5" customHeight="1" x14ac:dyDescent="0.25">
      <c r="A2225" s="11" t="s">
        <v>2498</v>
      </c>
      <c r="B2225" s="11"/>
      <c r="C2225" s="11" t="s">
        <v>2500</v>
      </c>
      <c r="D2225" s="11" t="s">
        <v>1883</v>
      </c>
      <c r="E2225" s="11"/>
      <c r="F2225" s="11"/>
      <c r="G2225" s="11" t="s">
        <v>2498</v>
      </c>
      <c r="H2225" s="11"/>
      <c r="I2225" s="11"/>
      <c r="J2225" s="11"/>
      <c r="K2225" s="11"/>
      <c r="L2225" s="11"/>
      <c r="M2225" s="12"/>
      <c r="N2225" s="11"/>
      <c r="O2225" s="11"/>
    </row>
    <row r="2226" spans="1:15" ht="19.5" customHeight="1" x14ac:dyDescent="0.25">
      <c r="A2226" s="13" t="s">
        <v>2498</v>
      </c>
      <c r="B2226" s="13"/>
      <c r="C2226" s="13" t="s">
        <v>2499</v>
      </c>
      <c r="D2226" s="13" t="s">
        <v>1883</v>
      </c>
      <c r="E2226" s="13"/>
      <c r="F2226" s="13"/>
      <c r="G2226" s="13" t="s">
        <v>2498</v>
      </c>
      <c r="H2226" s="13"/>
      <c r="I2226" s="13"/>
      <c r="J2226" s="13"/>
      <c r="K2226" s="13"/>
      <c r="L2226" s="13"/>
      <c r="M2226" s="14"/>
      <c r="N2226" s="13"/>
      <c r="O2226" s="13"/>
    </row>
    <row r="2227" spans="1:15" ht="19.5" customHeight="1" x14ac:dyDescent="0.25">
      <c r="A2227" s="11" t="s">
        <v>2496</v>
      </c>
      <c r="B2227" s="11"/>
      <c r="C2227" s="11" t="s">
        <v>2497</v>
      </c>
      <c r="D2227" s="11" t="s">
        <v>1950</v>
      </c>
      <c r="E2227" s="11"/>
      <c r="F2227" s="11"/>
      <c r="G2227" s="11" t="s">
        <v>2496</v>
      </c>
      <c r="H2227" s="11"/>
      <c r="I2227" s="11" t="s">
        <v>2495</v>
      </c>
      <c r="J2227" s="11" t="s">
        <v>2494</v>
      </c>
      <c r="K2227" s="11" t="s">
        <v>2493</v>
      </c>
      <c r="L2227" s="11"/>
      <c r="M2227" s="12"/>
      <c r="N2227" s="11"/>
      <c r="O2227" s="11" t="s">
        <v>1877</v>
      </c>
    </row>
    <row r="2228" spans="1:15" ht="19.5" customHeight="1" x14ac:dyDescent="0.25">
      <c r="A2228" s="13" t="s">
        <v>950</v>
      </c>
      <c r="B2228" s="13"/>
      <c r="C2228" s="13" t="s">
        <v>2492</v>
      </c>
      <c r="D2228" s="13" t="s">
        <v>1883</v>
      </c>
      <c r="E2228" s="13" t="s">
        <v>2489</v>
      </c>
      <c r="F2228" s="13"/>
      <c r="G2228" s="13" t="s">
        <v>950</v>
      </c>
      <c r="H2228" s="13" t="s">
        <v>2488</v>
      </c>
      <c r="I2228" s="13"/>
      <c r="J2228" s="13"/>
      <c r="K2228" s="13"/>
      <c r="L2228" s="13"/>
      <c r="M2228" s="14"/>
      <c r="N2228" s="13"/>
      <c r="O2228" s="13" t="s">
        <v>1877</v>
      </c>
    </row>
    <row r="2229" spans="1:15" ht="19.5" customHeight="1" x14ac:dyDescent="0.25">
      <c r="A2229" s="11" t="s">
        <v>950</v>
      </c>
      <c r="B2229" s="11"/>
      <c r="C2229" s="11" t="s">
        <v>2491</v>
      </c>
      <c r="D2229" s="11" t="s">
        <v>1883</v>
      </c>
      <c r="E2229" s="11" t="s">
        <v>2489</v>
      </c>
      <c r="F2229" s="11"/>
      <c r="G2229" s="11" t="s">
        <v>950</v>
      </c>
      <c r="H2229" s="11" t="s">
        <v>2488</v>
      </c>
      <c r="I2229" s="11"/>
      <c r="J2229" s="11"/>
      <c r="K2229" s="11"/>
      <c r="L2229" s="11"/>
      <c r="M2229" s="12"/>
      <c r="N2229" s="11"/>
      <c r="O2229" s="11" t="s">
        <v>1877</v>
      </c>
    </row>
    <row r="2230" spans="1:15" ht="19.5" customHeight="1" x14ac:dyDescent="0.25">
      <c r="A2230" s="13" t="s">
        <v>950</v>
      </c>
      <c r="B2230" s="13"/>
      <c r="C2230" s="13" t="s">
        <v>2490</v>
      </c>
      <c r="D2230" s="13" t="s">
        <v>1883</v>
      </c>
      <c r="E2230" s="13" t="s">
        <v>2489</v>
      </c>
      <c r="F2230" s="13"/>
      <c r="G2230" s="13" t="s">
        <v>950</v>
      </c>
      <c r="H2230" s="13" t="s">
        <v>2488</v>
      </c>
      <c r="I2230" s="13"/>
      <c r="J2230" s="13"/>
      <c r="K2230" s="13"/>
      <c r="L2230" s="13"/>
      <c r="M2230" s="14"/>
      <c r="N2230" s="13"/>
      <c r="O2230" s="13" t="s">
        <v>1877</v>
      </c>
    </row>
    <row r="2231" spans="1:15" ht="19.5" customHeight="1" x14ac:dyDescent="0.25">
      <c r="A2231" s="11" t="s">
        <v>952</v>
      </c>
      <c r="B2231" s="11"/>
      <c r="C2231" s="11" t="s">
        <v>2487</v>
      </c>
      <c r="D2231" s="11" t="s">
        <v>1883</v>
      </c>
      <c r="E2231" s="11" t="s">
        <v>2484</v>
      </c>
      <c r="F2231" s="11"/>
      <c r="G2231" s="11" t="s">
        <v>952</v>
      </c>
      <c r="H2231" s="11" t="s">
        <v>2483</v>
      </c>
      <c r="I2231" s="11" t="s">
        <v>2482</v>
      </c>
      <c r="J2231" s="11" t="s">
        <v>2481</v>
      </c>
      <c r="K2231" s="11" t="s">
        <v>2480</v>
      </c>
      <c r="L2231" s="11"/>
      <c r="M2231" s="12"/>
      <c r="N2231" s="11"/>
      <c r="O2231" s="11" t="s">
        <v>1877</v>
      </c>
    </row>
    <row r="2232" spans="1:15" ht="19.5" customHeight="1" x14ac:dyDescent="0.25">
      <c r="A2232" s="13" t="s">
        <v>952</v>
      </c>
      <c r="B2232" s="13"/>
      <c r="C2232" s="13" t="s">
        <v>2486</v>
      </c>
      <c r="D2232" s="13" t="s">
        <v>1883</v>
      </c>
      <c r="E2232" s="13" t="s">
        <v>2484</v>
      </c>
      <c r="F2232" s="13"/>
      <c r="G2232" s="13" t="s">
        <v>952</v>
      </c>
      <c r="H2232" s="13" t="s">
        <v>2483</v>
      </c>
      <c r="I2232" s="13" t="s">
        <v>2482</v>
      </c>
      <c r="J2232" s="13" t="s">
        <v>2481</v>
      </c>
      <c r="K2232" s="13" t="s">
        <v>2480</v>
      </c>
      <c r="L2232" s="13"/>
      <c r="M2232" s="14"/>
      <c r="N2232" s="13"/>
      <c r="O2232" s="13" t="s">
        <v>1877</v>
      </c>
    </row>
    <row r="2233" spans="1:15" ht="19.5" customHeight="1" x14ac:dyDescent="0.25">
      <c r="A2233" s="11" t="s">
        <v>952</v>
      </c>
      <c r="B2233" s="11"/>
      <c r="C2233" s="11" t="s">
        <v>2485</v>
      </c>
      <c r="D2233" s="11" t="s">
        <v>1883</v>
      </c>
      <c r="E2233" s="11" t="s">
        <v>2484</v>
      </c>
      <c r="F2233" s="11"/>
      <c r="G2233" s="11" t="s">
        <v>952</v>
      </c>
      <c r="H2233" s="11" t="s">
        <v>2483</v>
      </c>
      <c r="I2233" s="11" t="s">
        <v>2482</v>
      </c>
      <c r="J2233" s="11" t="s">
        <v>2481</v>
      </c>
      <c r="K2233" s="11" t="s">
        <v>2480</v>
      </c>
      <c r="L2233" s="11"/>
      <c r="M2233" s="12"/>
      <c r="N2233" s="11"/>
      <c r="O2233" s="11" t="s">
        <v>1877</v>
      </c>
    </row>
    <row r="2234" spans="1:15" ht="19.5" customHeight="1" x14ac:dyDescent="0.25">
      <c r="A2234" s="13" t="s">
        <v>954</v>
      </c>
      <c r="B2234" s="13"/>
      <c r="C2234" s="13" t="s">
        <v>2479</v>
      </c>
      <c r="D2234" s="13" t="s">
        <v>2368</v>
      </c>
      <c r="E2234" s="13" t="s">
        <v>2474</v>
      </c>
      <c r="F2234" s="13"/>
      <c r="G2234" s="13" t="s">
        <v>954</v>
      </c>
      <c r="H2234" s="13" t="s">
        <v>2473</v>
      </c>
      <c r="I2234" s="13" t="s">
        <v>2472</v>
      </c>
      <c r="J2234" s="13" t="s">
        <v>2471</v>
      </c>
      <c r="K2234" s="13" t="s">
        <v>2467</v>
      </c>
      <c r="L2234" s="13"/>
      <c r="M2234" s="14"/>
      <c r="N2234" s="13"/>
      <c r="O2234" s="13" t="s">
        <v>2470</v>
      </c>
    </row>
    <row r="2235" spans="1:15" ht="19.5" customHeight="1" x14ac:dyDescent="0.25">
      <c r="A2235" s="11" t="s">
        <v>954</v>
      </c>
      <c r="B2235" s="11"/>
      <c r="C2235" s="11" t="s">
        <v>2478</v>
      </c>
      <c r="D2235" s="11" t="s">
        <v>2368</v>
      </c>
      <c r="E2235" s="11" t="s">
        <v>2474</v>
      </c>
      <c r="F2235" s="11"/>
      <c r="G2235" s="11" t="s">
        <v>954</v>
      </c>
      <c r="H2235" s="11" t="s">
        <v>2473</v>
      </c>
      <c r="I2235" s="11" t="s">
        <v>2477</v>
      </c>
      <c r="J2235" s="11" t="s">
        <v>2476</v>
      </c>
      <c r="K2235" s="11" t="s">
        <v>2467</v>
      </c>
      <c r="L2235" s="11"/>
      <c r="M2235" s="12"/>
      <c r="N2235" s="11"/>
      <c r="O2235" s="11" t="s">
        <v>2470</v>
      </c>
    </row>
    <row r="2236" spans="1:15" ht="19.5" customHeight="1" x14ac:dyDescent="0.25">
      <c r="A2236" s="13" t="s">
        <v>954</v>
      </c>
      <c r="B2236" s="13"/>
      <c r="C2236" s="13" t="s">
        <v>2475</v>
      </c>
      <c r="D2236" s="13" t="s">
        <v>2368</v>
      </c>
      <c r="E2236" s="13" t="s">
        <v>2474</v>
      </c>
      <c r="F2236" s="13"/>
      <c r="G2236" s="13" t="s">
        <v>954</v>
      </c>
      <c r="H2236" s="13" t="s">
        <v>2473</v>
      </c>
      <c r="I2236" s="13" t="s">
        <v>2472</v>
      </c>
      <c r="J2236" s="13" t="s">
        <v>2471</v>
      </c>
      <c r="K2236" s="13" t="s">
        <v>2467</v>
      </c>
      <c r="L2236" s="13"/>
      <c r="M2236" s="14"/>
      <c r="N2236" s="13"/>
      <c r="O2236" s="13" t="s">
        <v>2470</v>
      </c>
    </row>
    <row r="2237" spans="1:15" ht="19.5" customHeight="1" x14ac:dyDescent="0.25">
      <c r="A2237" s="11" t="s">
        <v>954</v>
      </c>
      <c r="B2237" s="11"/>
      <c r="C2237" s="11" t="s">
        <v>2469</v>
      </c>
      <c r="D2237" s="11" t="s">
        <v>2368</v>
      </c>
      <c r="E2237" s="11" t="s">
        <v>2468</v>
      </c>
      <c r="F2237" s="11"/>
      <c r="G2237" s="11" t="s">
        <v>954</v>
      </c>
      <c r="H2237" s="11"/>
      <c r="I2237" s="11"/>
      <c r="J2237" s="11"/>
      <c r="K2237" s="11" t="s">
        <v>2467</v>
      </c>
      <c r="L2237" s="11"/>
      <c r="M2237" s="12"/>
      <c r="N2237" s="11"/>
      <c r="O2237" s="11" t="s">
        <v>2466</v>
      </c>
    </row>
    <row r="2238" spans="1:15" ht="19.5" customHeight="1" x14ac:dyDescent="0.25">
      <c r="A2238" s="13" t="s">
        <v>958</v>
      </c>
      <c r="B2238" s="13"/>
      <c r="C2238" s="13" t="s">
        <v>2465</v>
      </c>
      <c r="D2238" s="13" t="s">
        <v>1883</v>
      </c>
      <c r="E2238" s="13" t="s">
        <v>2462</v>
      </c>
      <c r="F2238" s="13"/>
      <c r="G2238" s="13" t="s">
        <v>958</v>
      </c>
      <c r="H2238" s="13" t="s">
        <v>2461</v>
      </c>
      <c r="I2238" s="13" t="s">
        <v>2460</v>
      </c>
      <c r="J2238" s="13" t="s">
        <v>2459</v>
      </c>
      <c r="K2238" s="13" t="s">
        <v>2313</v>
      </c>
      <c r="L2238" s="13"/>
      <c r="M2238" s="14"/>
      <c r="N2238" s="13"/>
      <c r="O2238" s="13" t="s">
        <v>1877</v>
      </c>
    </row>
    <row r="2239" spans="1:15" ht="19.5" customHeight="1" x14ac:dyDescent="0.25">
      <c r="A2239" s="11" t="s">
        <v>958</v>
      </c>
      <c r="B2239" s="11"/>
      <c r="C2239" s="11" t="s">
        <v>2464</v>
      </c>
      <c r="D2239" s="11" t="s">
        <v>1883</v>
      </c>
      <c r="E2239" s="11" t="s">
        <v>2462</v>
      </c>
      <c r="F2239" s="11"/>
      <c r="G2239" s="11" t="s">
        <v>958</v>
      </c>
      <c r="H2239" s="11" t="s">
        <v>2461</v>
      </c>
      <c r="I2239" s="11" t="s">
        <v>2460</v>
      </c>
      <c r="J2239" s="11" t="s">
        <v>2459</v>
      </c>
      <c r="K2239" s="11" t="s">
        <v>2313</v>
      </c>
      <c r="L2239" s="11"/>
      <c r="M2239" s="12"/>
      <c r="N2239" s="11"/>
      <c r="O2239" s="11" t="s">
        <v>1877</v>
      </c>
    </row>
    <row r="2240" spans="1:15" ht="19.5" customHeight="1" x14ac:dyDescent="0.25">
      <c r="A2240" s="13" t="s">
        <v>958</v>
      </c>
      <c r="B2240" s="13"/>
      <c r="C2240" s="13" t="s">
        <v>2463</v>
      </c>
      <c r="D2240" s="13" t="s">
        <v>1883</v>
      </c>
      <c r="E2240" s="13" t="s">
        <v>2462</v>
      </c>
      <c r="F2240" s="13"/>
      <c r="G2240" s="13" t="s">
        <v>958</v>
      </c>
      <c r="H2240" s="13" t="s">
        <v>2461</v>
      </c>
      <c r="I2240" s="13" t="s">
        <v>2460</v>
      </c>
      <c r="J2240" s="13" t="s">
        <v>2459</v>
      </c>
      <c r="K2240" s="13" t="s">
        <v>2313</v>
      </c>
      <c r="L2240" s="13"/>
      <c r="M2240" s="14"/>
      <c r="N2240" s="13"/>
      <c r="O2240" s="13" t="s">
        <v>1877</v>
      </c>
    </row>
    <row r="2241" spans="1:15" ht="19.5" customHeight="1" x14ac:dyDescent="0.25">
      <c r="A2241" s="11" t="s">
        <v>2456</v>
      </c>
      <c r="B2241" s="11"/>
      <c r="C2241" s="11" t="s">
        <v>2458</v>
      </c>
      <c r="D2241" s="11" t="s">
        <v>1883</v>
      </c>
      <c r="E2241" s="11" t="s">
        <v>2457</v>
      </c>
      <c r="F2241" s="11"/>
      <c r="G2241" s="11" t="s">
        <v>2456</v>
      </c>
      <c r="H2241" s="11"/>
      <c r="I2241" s="11" t="s">
        <v>2455</v>
      </c>
      <c r="J2241" s="11" t="s">
        <v>2454</v>
      </c>
      <c r="K2241" s="11" t="s">
        <v>2453</v>
      </c>
      <c r="L2241" s="11"/>
      <c r="M2241" s="12"/>
      <c r="N2241" s="11"/>
      <c r="O2241" s="11" t="s">
        <v>1877</v>
      </c>
    </row>
    <row r="2242" spans="1:15" ht="19.5" customHeight="1" x14ac:dyDescent="0.25">
      <c r="A2242" s="13" t="s">
        <v>1546</v>
      </c>
      <c r="B2242" s="13"/>
      <c r="C2242" s="13" t="s">
        <v>2452</v>
      </c>
      <c r="D2242" s="13" t="s">
        <v>1883</v>
      </c>
      <c r="E2242" s="13" t="s">
        <v>2451</v>
      </c>
      <c r="F2242" s="13"/>
      <c r="G2242" s="13" t="s">
        <v>1546</v>
      </c>
      <c r="H2242" s="13"/>
      <c r="I2242" s="13" t="s">
        <v>2450</v>
      </c>
      <c r="J2242" s="13" t="s">
        <v>2449</v>
      </c>
      <c r="K2242" s="13" t="s">
        <v>2313</v>
      </c>
      <c r="L2242" s="13"/>
      <c r="M2242" s="14"/>
      <c r="N2242" s="13"/>
      <c r="O2242" s="13" t="s">
        <v>1877</v>
      </c>
    </row>
    <row r="2243" spans="1:15" ht="19.5" customHeight="1" x14ac:dyDescent="0.25">
      <c r="A2243" s="11" t="s">
        <v>2444</v>
      </c>
      <c r="B2243" s="11"/>
      <c r="C2243" s="11" t="s">
        <v>2448</v>
      </c>
      <c r="D2243" s="11" t="s">
        <v>1883</v>
      </c>
      <c r="E2243" s="11" t="s">
        <v>2445</v>
      </c>
      <c r="F2243" s="11"/>
      <c r="G2243" s="11" t="s">
        <v>2444</v>
      </c>
      <c r="H2243" s="11"/>
      <c r="I2243" s="11" t="s">
        <v>2443</v>
      </c>
      <c r="J2243" s="11" t="s">
        <v>2442</v>
      </c>
      <c r="K2243" s="11" t="s">
        <v>2441</v>
      </c>
      <c r="L2243" s="11"/>
      <c r="M2243" s="12"/>
      <c r="N2243" s="11"/>
      <c r="O2243" s="11" t="s">
        <v>1877</v>
      </c>
    </row>
    <row r="2244" spans="1:15" ht="19.5" customHeight="1" x14ac:dyDescent="0.25">
      <c r="A2244" s="13" t="s">
        <v>2444</v>
      </c>
      <c r="B2244" s="13"/>
      <c r="C2244" s="13" t="s">
        <v>2447</v>
      </c>
      <c r="D2244" s="13" t="s">
        <v>1883</v>
      </c>
      <c r="E2244" s="13" t="s">
        <v>2445</v>
      </c>
      <c r="F2244" s="13"/>
      <c r="G2244" s="13" t="s">
        <v>2444</v>
      </c>
      <c r="H2244" s="13"/>
      <c r="I2244" s="13" t="s">
        <v>2443</v>
      </c>
      <c r="J2244" s="13" t="s">
        <v>2442</v>
      </c>
      <c r="K2244" s="13" t="s">
        <v>2441</v>
      </c>
      <c r="L2244" s="13"/>
      <c r="M2244" s="14"/>
      <c r="N2244" s="13"/>
      <c r="O2244" s="13" t="s">
        <v>1877</v>
      </c>
    </row>
    <row r="2245" spans="1:15" ht="19.5" customHeight="1" x14ac:dyDescent="0.25">
      <c r="A2245" s="11" t="s">
        <v>2444</v>
      </c>
      <c r="B2245" s="11"/>
      <c r="C2245" s="11" t="s">
        <v>2446</v>
      </c>
      <c r="D2245" s="11" t="s">
        <v>1883</v>
      </c>
      <c r="E2245" s="11" t="s">
        <v>2445</v>
      </c>
      <c r="F2245" s="11"/>
      <c r="G2245" s="11" t="s">
        <v>2444</v>
      </c>
      <c r="H2245" s="11"/>
      <c r="I2245" s="11" t="s">
        <v>2443</v>
      </c>
      <c r="J2245" s="11" t="s">
        <v>2442</v>
      </c>
      <c r="K2245" s="11" t="s">
        <v>2441</v>
      </c>
      <c r="L2245" s="11"/>
      <c r="M2245" s="12"/>
      <c r="N2245" s="11"/>
      <c r="O2245" s="11" t="s">
        <v>1877</v>
      </c>
    </row>
    <row r="2246" spans="1:15" ht="19.5" customHeight="1" x14ac:dyDescent="0.25">
      <c r="A2246" s="13" t="s">
        <v>2439</v>
      </c>
      <c r="B2246" s="13"/>
      <c r="C2246" s="13" t="s">
        <v>2440</v>
      </c>
      <c r="D2246" s="13" t="s">
        <v>1883</v>
      </c>
      <c r="E2246" s="13"/>
      <c r="F2246" s="13"/>
      <c r="G2246" s="13" t="s">
        <v>2439</v>
      </c>
      <c r="H2246" s="13"/>
      <c r="I2246" s="13"/>
      <c r="J2246" s="13"/>
      <c r="K2246" s="13"/>
      <c r="L2246" s="13"/>
      <c r="M2246" s="14"/>
      <c r="N2246" s="13"/>
      <c r="O2246" s="13"/>
    </row>
    <row r="2247" spans="1:15" ht="19.5" customHeight="1" x14ac:dyDescent="0.25">
      <c r="A2247" s="11" t="s">
        <v>2437</v>
      </c>
      <c r="B2247" s="11"/>
      <c r="C2247" s="11" t="s">
        <v>2438</v>
      </c>
      <c r="D2247" s="11" t="s">
        <v>1883</v>
      </c>
      <c r="E2247" s="11"/>
      <c r="F2247" s="11"/>
      <c r="G2247" s="11" t="s">
        <v>2437</v>
      </c>
      <c r="H2247" s="11"/>
      <c r="I2247" s="11"/>
      <c r="J2247" s="11"/>
      <c r="K2247" s="11"/>
      <c r="L2247" s="11"/>
      <c r="M2247" s="12"/>
      <c r="N2247" s="11"/>
      <c r="O2247" s="11"/>
    </row>
    <row r="2248" spans="1:15" ht="19.5" customHeight="1" x14ac:dyDescent="0.25">
      <c r="A2248" s="13" t="s">
        <v>2419</v>
      </c>
      <c r="B2248" s="13"/>
      <c r="C2248" s="13" t="s">
        <v>2436</v>
      </c>
      <c r="D2248" s="13" t="s">
        <v>1883</v>
      </c>
      <c r="E2248" s="13"/>
      <c r="F2248" s="13"/>
      <c r="G2248" s="13" t="s">
        <v>2419</v>
      </c>
      <c r="H2248" s="13"/>
      <c r="I2248" s="13"/>
      <c r="J2248" s="13"/>
      <c r="K2248" s="13"/>
      <c r="L2248" s="13"/>
      <c r="M2248" s="14"/>
      <c r="N2248" s="13"/>
      <c r="O2248" s="13"/>
    </row>
    <row r="2249" spans="1:15" ht="19.5" customHeight="1" x14ac:dyDescent="0.25">
      <c r="A2249" s="11" t="s">
        <v>2419</v>
      </c>
      <c r="B2249" s="11"/>
      <c r="C2249" s="11" t="s">
        <v>2435</v>
      </c>
      <c r="D2249" s="11" t="s">
        <v>1883</v>
      </c>
      <c r="E2249" s="11"/>
      <c r="F2249" s="11"/>
      <c r="G2249" s="11" t="s">
        <v>2419</v>
      </c>
      <c r="H2249" s="11"/>
      <c r="I2249" s="11"/>
      <c r="J2249" s="11"/>
      <c r="K2249" s="11"/>
      <c r="L2249" s="11"/>
      <c r="M2249" s="12"/>
      <c r="N2249" s="11"/>
      <c r="O2249" s="11"/>
    </row>
    <row r="2250" spans="1:15" ht="19.5" customHeight="1" x14ac:dyDescent="0.25">
      <c r="A2250" s="13" t="s">
        <v>2419</v>
      </c>
      <c r="B2250" s="13"/>
      <c r="C2250" s="13" t="s">
        <v>2434</v>
      </c>
      <c r="D2250" s="13" t="s">
        <v>1883</v>
      </c>
      <c r="E2250" s="13"/>
      <c r="F2250" s="13"/>
      <c r="G2250" s="13" t="s">
        <v>2419</v>
      </c>
      <c r="H2250" s="13"/>
      <c r="I2250" s="13"/>
      <c r="J2250" s="13"/>
      <c r="K2250" s="13"/>
      <c r="L2250" s="13"/>
      <c r="M2250" s="14"/>
      <c r="N2250" s="13"/>
      <c r="O2250" s="13"/>
    </row>
    <row r="2251" spans="1:15" ht="19.5" customHeight="1" x14ac:dyDescent="0.25">
      <c r="A2251" s="11" t="s">
        <v>2419</v>
      </c>
      <c r="B2251" s="11"/>
      <c r="C2251" s="11" t="s">
        <v>2433</v>
      </c>
      <c r="D2251" s="11" t="s">
        <v>1883</v>
      </c>
      <c r="E2251" s="11"/>
      <c r="F2251" s="11"/>
      <c r="G2251" s="11" t="s">
        <v>2419</v>
      </c>
      <c r="H2251" s="11"/>
      <c r="I2251" s="11"/>
      <c r="J2251" s="11"/>
      <c r="K2251" s="11"/>
      <c r="L2251" s="11"/>
      <c r="M2251" s="12"/>
      <c r="N2251" s="11"/>
      <c r="O2251" s="11"/>
    </row>
    <row r="2252" spans="1:15" ht="19.5" customHeight="1" x14ac:dyDescent="0.25">
      <c r="A2252" s="13" t="s">
        <v>2419</v>
      </c>
      <c r="B2252" s="13"/>
      <c r="C2252" s="13" t="s">
        <v>2432</v>
      </c>
      <c r="D2252" s="13" t="s">
        <v>1883</v>
      </c>
      <c r="E2252" s="13"/>
      <c r="F2252" s="13"/>
      <c r="G2252" s="13" t="s">
        <v>2419</v>
      </c>
      <c r="H2252" s="13"/>
      <c r="I2252" s="13"/>
      <c r="J2252" s="13"/>
      <c r="K2252" s="13"/>
      <c r="L2252" s="13"/>
      <c r="M2252" s="14"/>
      <c r="N2252" s="13"/>
      <c r="O2252" s="13"/>
    </row>
    <row r="2253" spans="1:15" ht="19.5" customHeight="1" x14ac:dyDescent="0.25">
      <c r="A2253" s="11" t="s">
        <v>2419</v>
      </c>
      <c r="B2253" s="11"/>
      <c r="C2253" s="11" t="s">
        <v>2431</v>
      </c>
      <c r="D2253" s="11" t="s">
        <v>1883</v>
      </c>
      <c r="E2253" s="11"/>
      <c r="F2253" s="11"/>
      <c r="G2253" s="11" t="s">
        <v>2419</v>
      </c>
      <c r="H2253" s="11"/>
      <c r="I2253" s="11"/>
      <c r="J2253" s="11"/>
      <c r="K2253" s="11"/>
      <c r="L2253" s="11"/>
      <c r="M2253" s="12"/>
      <c r="N2253" s="11"/>
      <c r="O2253" s="11"/>
    </row>
    <row r="2254" spans="1:15" ht="19.5" customHeight="1" x14ac:dyDescent="0.25">
      <c r="A2254" s="13" t="s">
        <v>2419</v>
      </c>
      <c r="B2254" s="13"/>
      <c r="C2254" s="13" t="s">
        <v>2430</v>
      </c>
      <c r="D2254" s="13" t="s">
        <v>1883</v>
      </c>
      <c r="E2254" s="13"/>
      <c r="F2254" s="13"/>
      <c r="G2254" s="13" t="s">
        <v>2419</v>
      </c>
      <c r="H2254" s="13"/>
      <c r="I2254" s="13"/>
      <c r="J2254" s="13"/>
      <c r="K2254" s="13"/>
      <c r="L2254" s="13"/>
      <c r="M2254" s="14"/>
      <c r="N2254" s="13"/>
      <c r="O2254" s="13"/>
    </row>
    <row r="2255" spans="1:15" ht="19.5" customHeight="1" x14ac:dyDescent="0.25">
      <c r="A2255" s="11" t="s">
        <v>2419</v>
      </c>
      <c r="B2255" s="11"/>
      <c r="C2255" s="11" t="s">
        <v>2429</v>
      </c>
      <c r="D2255" s="11" t="s">
        <v>1883</v>
      </c>
      <c r="E2255" s="11"/>
      <c r="F2255" s="11"/>
      <c r="G2255" s="11" t="s">
        <v>2419</v>
      </c>
      <c r="H2255" s="11"/>
      <c r="I2255" s="11"/>
      <c r="J2255" s="11"/>
      <c r="K2255" s="11"/>
      <c r="L2255" s="11"/>
      <c r="M2255" s="12"/>
      <c r="N2255" s="11"/>
      <c r="O2255" s="11"/>
    </row>
    <row r="2256" spans="1:15" ht="19.5" customHeight="1" x14ac:dyDescent="0.25">
      <c r="A2256" s="13" t="s">
        <v>2419</v>
      </c>
      <c r="B2256" s="13"/>
      <c r="C2256" s="13" t="s">
        <v>2428</v>
      </c>
      <c r="D2256" s="13" t="s">
        <v>1883</v>
      </c>
      <c r="E2256" s="13"/>
      <c r="F2256" s="13"/>
      <c r="G2256" s="13" t="s">
        <v>2419</v>
      </c>
      <c r="H2256" s="13"/>
      <c r="I2256" s="13"/>
      <c r="J2256" s="13"/>
      <c r="K2256" s="13"/>
      <c r="L2256" s="13"/>
      <c r="M2256" s="14"/>
      <c r="N2256" s="13"/>
      <c r="O2256" s="13"/>
    </row>
    <row r="2257" spans="1:15" ht="19.5" customHeight="1" x14ac:dyDescent="0.25">
      <c r="A2257" s="11" t="s">
        <v>2419</v>
      </c>
      <c r="B2257" s="11"/>
      <c r="C2257" s="11" t="s">
        <v>2427</v>
      </c>
      <c r="D2257" s="11" t="s">
        <v>1883</v>
      </c>
      <c r="E2257" s="11"/>
      <c r="F2257" s="11"/>
      <c r="G2257" s="11" t="s">
        <v>2419</v>
      </c>
      <c r="H2257" s="11"/>
      <c r="I2257" s="11"/>
      <c r="J2257" s="11"/>
      <c r="K2257" s="11"/>
      <c r="L2257" s="11"/>
      <c r="M2257" s="12"/>
      <c r="N2257" s="11"/>
      <c r="O2257" s="11"/>
    </row>
    <row r="2258" spans="1:15" ht="19.5" customHeight="1" x14ac:dyDescent="0.25">
      <c r="A2258" s="13" t="s">
        <v>2419</v>
      </c>
      <c r="B2258" s="13"/>
      <c r="C2258" s="13" t="s">
        <v>2426</v>
      </c>
      <c r="D2258" s="13" t="s">
        <v>1883</v>
      </c>
      <c r="E2258" s="13"/>
      <c r="F2258" s="13"/>
      <c r="G2258" s="13" t="s">
        <v>2419</v>
      </c>
      <c r="H2258" s="13"/>
      <c r="I2258" s="13"/>
      <c r="J2258" s="13"/>
      <c r="K2258" s="13"/>
      <c r="L2258" s="13"/>
      <c r="M2258" s="14"/>
      <c r="N2258" s="13"/>
      <c r="O2258" s="13"/>
    </row>
    <row r="2259" spans="1:15" ht="19.5" customHeight="1" x14ac:dyDescent="0.25">
      <c r="A2259" s="11" t="s">
        <v>2419</v>
      </c>
      <c r="B2259" s="11"/>
      <c r="C2259" s="11" t="s">
        <v>2425</v>
      </c>
      <c r="D2259" s="11" t="s">
        <v>1883</v>
      </c>
      <c r="E2259" s="11"/>
      <c r="F2259" s="11"/>
      <c r="G2259" s="11" t="s">
        <v>2419</v>
      </c>
      <c r="H2259" s="11"/>
      <c r="I2259" s="11"/>
      <c r="J2259" s="11"/>
      <c r="K2259" s="11"/>
      <c r="L2259" s="11"/>
      <c r="M2259" s="12"/>
      <c r="N2259" s="11"/>
      <c r="O2259" s="11"/>
    </row>
    <row r="2260" spans="1:15" ht="19.5" customHeight="1" x14ac:dyDescent="0.25">
      <c r="A2260" s="13" t="s">
        <v>2419</v>
      </c>
      <c r="B2260" s="13"/>
      <c r="C2260" s="13" t="s">
        <v>2424</v>
      </c>
      <c r="D2260" s="13" t="s">
        <v>1883</v>
      </c>
      <c r="E2260" s="13"/>
      <c r="F2260" s="13"/>
      <c r="G2260" s="13" t="s">
        <v>2419</v>
      </c>
      <c r="H2260" s="13"/>
      <c r="I2260" s="13"/>
      <c r="J2260" s="13"/>
      <c r="K2260" s="13"/>
      <c r="L2260" s="13"/>
      <c r="M2260" s="14"/>
      <c r="N2260" s="13"/>
      <c r="O2260" s="13"/>
    </row>
    <row r="2261" spans="1:15" ht="19.5" customHeight="1" x14ac:dyDescent="0.25">
      <c r="A2261" s="11" t="s">
        <v>2419</v>
      </c>
      <c r="B2261" s="11"/>
      <c r="C2261" s="11" t="s">
        <v>2423</v>
      </c>
      <c r="D2261" s="11" t="s">
        <v>1883</v>
      </c>
      <c r="E2261" s="11"/>
      <c r="F2261" s="11"/>
      <c r="G2261" s="11" t="s">
        <v>2419</v>
      </c>
      <c r="H2261" s="11"/>
      <c r="I2261" s="11"/>
      <c r="J2261" s="11"/>
      <c r="K2261" s="11"/>
      <c r="L2261" s="11"/>
      <c r="M2261" s="12"/>
      <c r="N2261" s="11"/>
      <c r="O2261" s="11"/>
    </row>
    <row r="2262" spans="1:15" ht="19.5" customHeight="1" x14ac:dyDescent="0.25">
      <c r="A2262" s="13" t="s">
        <v>2419</v>
      </c>
      <c r="B2262" s="13"/>
      <c r="C2262" s="13" t="s">
        <v>2422</v>
      </c>
      <c r="D2262" s="13" t="s">
        <v>1883</v>
      </c>
      <c r="E2262" s="13"/>
      <c r="F2262" s="13"/>
      <c r="G2262" s="13" t="s">
        <v>2419</v>
      </c>
      <c r="H2262" s="13"/>
      <c r="I2262" s="13"/>
      <c r="J2262" s="13"/>
      <c r="K2262" s="13"/>
      <c r="L2262" s="13"/>
      <c r="M2262" s="14"/>
      <c r="N2262" s="13"/>
      <c r="O2262" s="13"/>
    </row>
    <row r="2263" spans="1:15" ht="19.5" customHeight="1" x14ac:dyDescent="0.25">
      <c r="A2263" s="11" t="s">
        <v>2419</v>
      </c>
      <c r="B2263" s="11"/>
      <c r="C2263" s="11" t="s">
        <v>2421</v>
      </c>
      <c r="D2263" s="11" t="s">
        <v>1883</v>
      </c>
      <c r="E2263" s="11"/>
      <c r="F2263" s="11"/>
      <c r="G2263" s="11" t="s">
        <v>2419</v>
      </c>
      <c r="H2263" s="11"/>
      <c r="I2263" s="11"/>
      <c r="J2263" s="11"/>
      <c r="K2263" s="11"/>
      <c r="L2263" s="11"/>
      <c r="M2263" s="12"/>
      <c r="N2263" s="11"/>
      <c r="O2263" s="11"/>
    </row>
    <row r="2264" spans="1:15" ht="19.5" customHeight="1" x14ac:dyDescent="0.25">
      <c r="A2264" s="13" t="s">
        <v>2419</v>
      </c>
      <c r="B2264" s="13"/>
      <c r="C2264" s="13" t="s">
        <v>2420</v>
      </c>
      <c r="D2264" s="13" t="s">
        <v>1950</v>
      </c>
      <c r="E2264" s="13"/>
      <c r="F2264" s="13"/>
      <c r="G2264" s="13" t="s">
        <v>2419</v>
      </c>
      <c r="H2264" s="13"/>
      <c r="I2264" s="13"/>
      <c r="J2264" s="13"/>
      <c r="K2264" s="13"/>
      <c r="L2264" s="13"/>
      <c r="M2264" s="14"/>
      <c r="N2264" s="13"/>
      <c r="O2264" s="13"/>
    </row>
    <row r="2265" spans="1:15" ht="19.5" customHeight="1" x14ac:dyDescent="0.25">
      <c r="A2265" s="11" t="s">
        <v>2416</v>
      </c>
      <c r="B2265" s="11"/>
      <c r="C2265" s="11" t="s">
        <v>2418</v>
      </c>
      <c r="D2265" s="11" t="s">
        <v>1883</v>
      </c>
      <c r="E2265" s="11" t="s">
        <v>2417</v>
      </c>
      <c r="F2265" s="11"/>
      <c r="G2265" s="11" t="s">
        <v>2416</v>
      </c>
      <c r="H2265" s="11"/>
      <c r="I2265" s="11" t="s">
        <v>2415</v>
      </c>
      <c r="J2265" s="11" t="s">
        <v>2414</v>
      </c>
      <c r="K2265" s="11" t="s">
        <v>2033</v>
      </c>
      <c r="L2265" s="11"/>
      <c r="M2265" s="12"/>
      <c r="N2265" s="11"/>
      <c r="O2265" s="11" t="s">
        <v>1945</v>
      </c>
    </row>
    <row r="2266" spans="1:15" ht="19.5" customHeight="1" x14ac:dyDescent="0.25">
      <c r="A2266" s="13" t="s">
        <v>1318</v>
      </c>
      <c r="B2266" s="13"/>
      <c r="C2266" s="13" t="s">
        <v>1317</v>
      </c>
      <c r="D2266" s="13" t="s">
        <v>1883</v>
      </c>
      <c r="E2266" s="13"/>
      <c r="F2266" s="13"/>
      <c r="G2266" s="13" t="s">
        <v>2413</v>
      </c>
      <c r="H2266" s="13"/>
      <c r="I2266" s="13" t="s">
        <v>2412</v>
      </c>
      <c r="J2266" s="13" t="s">
        <v>2411</v>
      </c>
      <c r="K2266" s="13" t="s">
        <v>2033</v>
      </c>
      <c r="L2266" s="13"/>
      <c r="M2266" s="14"/>
      <c r="N2266" s="13"/>
      <c r="O2266" s="13" t="s">
        <v>1945</v>
      </c>
    </row>
    <row r="2267" spans="1:15" ht="19.5" customHeight="1" x14ac:dyDescent="0.25">
      <c r="A2267" s="11" t="s">
        <v>2409</v>
      </c>
      <c r="B2267" s="11"/>
      <c r="C2267" s="11" t="s">
        <v>2410</v>
      </c>
      <c r="D2267" s="11" t="s">
        <v>1883</v>
      </c>
      <c r="E2267" s="11"/>
      <c r="F2267" s="11"/>
      <c r="G2267" s="11" t="s">
        <v>2409</v>
      </c>
      <c r="H2267" s="11"/>
      <c r="I2267" s="11"/>
      <c r="J2267" s="11"/>
      <c r="K2267" s="11"/>
      <c r="L2267" s="11"/>
      <c r="M2267" s="12"/>
      <c r="N2267" s="11"/>
      <c r="O2267" s="11"/>
    </row>
    <row r="2268" spans="1:15" ht="19.5" customHeight="1" x14ac:dyDescent="0.25">
      <c r="A2268" s="13" t="s">
        <v>961</v>
      </c>
      <c r="B2268" s="13"/>
      <c r="C2268" s="13" t="s">
        <v>2408</v>
      </c>
      <c r="D2268" s="13" t="s">
        <v>1883</v>
      </c>
      <c r="E2268" s="13" t="s">
        <v>2405</v>
      </c>
      <c r="F2268" s="13"/>
      <c r="G2268" s="13" t="s">
        <v>961</v>
      </c>
      <c r="H2268" s="13" t="s">
        <v>2404</v>
      </c>
      <c r="I2268" s="13" t="s">
        <v>2403</v>
      </c>
      <c r="J2268" s="13" t="s">
        <v>2402</v>
      </c>
      <c r="K2268" s="13" t="s">
        <v>2401</v>
      </c>
      <c r="L2268" s="13"/>
      <c r="M2268" s="14"/>
      <c r="N2268" s="13"/>
      <c r="O2268" s="13" t="s">
        <v>1877</v>
      </c>
    </row>
    <row r="2269" spans="1:15" ht="19.5" customHeight="1" x14ac:dyDescent="0.25">
      <c r="A2269" s="11" t="s">
        <v>961</v>
      </c>
      <c r="B2269" s="11"/>
      <c r="C2269" s="11" t="s">
        <v>2407</v>
      </c>
      <c r="D2269" s="11" t="s">
        <v>1883</v>
      </c>
      <c r="E2269" s="11" t="s">
        <v>2405</v>
      </c>
      <c r="F2269" s="11"/>
      <c r="G2269" s="11" t="s">
        <v>961</v>
      </c>
      <c r="H2269" s="11" t="s">
        <v>2404</v>
      </c>
      <c r="I2269" s="11" t="s">
        <v>2403</v>
      </c>
      <c r="J2269" s="11" t="s">
        <v>2402</v>
      </c>
      <c r="K2269" s="11" t="s">
        <v>2401</v>
      </c>
      <c r="L2269" s="11"/>
      <c r="M2269" s="12"/>
      <c r="N2269" s="11"/>
      <c r="O2269" s="11" t="s">
        <v>1877</v>
      </c>
    </row>
    <row r="2270" spans="1:15" ht="19.5" customHeight="1" x14ac:dyDescent="0.25">
      <c r="A2270" s="13" t="s">
        <v>961</v>
      </c>
      <c r="B2270" s="13"/>
      <c r="C2270" s="13" t="s">
        <v>2406</v>
      </c>
      <c r="D2270" s="13" t="s">
        <v>1883</v>
      </c>
      <c r="E2270" s="13" t="s">
        <v>2405</v>
      </c>
      <c r="F2270" s="13"/>
      <c r="G2270" s="13" t="s">
        <v>961</v>
      </c>
      <c r="H2270" s="13" t="s">
        <v>2404</v>
      </c>
      <c r="I2270" s="13" t="s">
        <v>2403</v>
      </c>
      <c r="J2270" s="13" t="s">
        <v>2402</v>
      </c>
      <c r="K2270" s="13" t="s">
        <v>2401</v>
      </c>
      <c r="L2270" s="13"/>
      <c r="M2270" s="14"/>
      <c r="N2270" s="13"/>
      <c r="O2270" s="13" t="s">
        <v>1877</v>
      </c>
    </row>
    <row r="2271" spans="1:15" ht="19.5" customHeight="1" x14ac:dyDescent="0.25">
      <c r="A2271" s="11" t="s">
        <v>963</v>
      </c>
      <c r="B2271" s="11"/>
      <c r="C2271" s="11" t="s">
        <v>2400</v>
      </c>
      <c r="D2271" s="11" t="s">
        <v>1883</v>
      </c>
      <c r="E2271" s="11" t="s">
        <v>2390</v>
      </c>
      <c r="F2271" s="11"/>
      <c r="G2271" s="11" t="s">
        <v>963</v>
      </c>
      <c r="H2271" s="11"/>
      <c r="I2271" s="11"/>
      <c r="J2271" s="11"/>
      <c r="K2271" s="11" t="s">
        <v>1878</v>
      </c>
      <c r="L2271" s="11"/>
      <c r="M2271" s="12"/>
      <c r="N2271" s="11"/>
      <c r="O2271" s="11" t="s">
        <v>1916</v>
      </c>
    </row>
    <row r="2272" spans="1:15" ht="19.5" customHeight="1" x14ac:dyDescent="0.25">
      <c r="A2272" s="13" t="s">
        <v>963</v>
      </c>
      <c r="B2272" s="13"/>
      <c r="C2272" s="13" t="s">
        <v>2399</v>
      </c>
      <c r="D2272" s="13" t="s">
        <v>1883</v>
      </c>
      <c r="E2272" s="13" t="s">
        <v>2390</v>
      </c>
      <c r="F2272" s="13"/>
      <c r="G2272" s="13" t="s">
        <v>963</v>
      </c>
      <c r="H2272" s="13"/>
      <c r="I2272" s="13" t="s">
        <v>2396</v>
      </c>
      <c r="J2272" s="13" t="s">
        <v>2395</v>
      </c>
      <c r="K2272" s="13" t="s">
        <v>1878</v>
      </c>
      <c r="L2272" s="13"/>
      <c r="M2272" s="14"/>
      <c r="N2272" s="13"/>
      <c r="O2272" s="13" t="s">
        <v>1877</v>
      </c>
    </row>
    <row r="2273" spans="1:15" ht="19.5" customHeight="1" x14ac:dyDescent="0.25">
      <c r="A2273" s="11" t="s">
        <v>963</v>
      </c>
      <c r="B2273" s="11"/>
      <c r="C2273" s="11" t="s">
        <v>2398</v>
      </c>
      <c r="D2273" s="11" t="s">
        <v>1883</v>
      </c>
      <c r="E2273" s="11" t="s">
        <v>2390</v>
      </c>
      <c r="F2273" s="11"/>
      <c r="G2273" s="11" t="s">
        <v>963</v>
      </c>
      <c r="H2273" s="11"/>
      <c r="I2273" s="11" t="s">
        <v>2396</v>
      </c>
      <c r="J2273" s="11" t="s">
        <v>2395</v>
      </c>
      <c r="K2273" s="11" t="s">
        <v>1878</v>
      </c>
      <c r="L2273" s="11"/>
      <c r="M2273" s="12"/>
      <c r="N2273" s="11"/>
      <c r="O2273" s="11" t="s">
        <v>1877</v>
      </c>
    </row>
    <row r="2274" spans="1:15" ht="19.5" customHeight="1" x14ac:dyDescent="0.25">
      <c r="A2274" s="13" t="s">
        <v>963</v>
      </c>
      <c r="B2274" s="13"/>
      <c r="C2274" s="13" t="s">
        <v>2397</v>
      </c>
      <c r="D2274" s="13" t="s">
        <v>1883</v>
      </c>
      <c r="E2274" s="13" t="s">
        <v>2390</v>
      </c>
      <c r="F2274" s="13"/>
      <c r="G2274" s="13" t="s">
        <v>963</v>
      </c>
      <c r="H2274" s="13"/>
      <c r="I2274" s="13" t="s">
        <v>2396</v>
      </c>
      <c r="J2274" s="13" t="s">
        <v>2395</v>
      </c>
      <c r="K2274" s="13" t="s">
        <v>1878</v>
      </c>
      <c r="L2274" s="13"/>
      <c r="M2274" s="14"/>
      <c r="N2274" s="13"/>
      <c r="O2274" s="13" t="s">
        <v>1877</v>
      </c>
    </row>
    <row r="2275" spans="1:15" ht="19.5" customHeight="1" x14ac:dyDescent="0.25">
      <c r="A2275" s="11" t="s">
        <v>965</v>
      </c>
      <c r="B2275" s="11"/>
      <c r="C2275" s="11" t="s">
        <v>2394</v>
      </c>
      <c r="D2275" s="11" t="s">
        <v>1883</v>
      </c>
      <c r="E2275" s="11" t="s">
        <v>2390</v>
      </c>
      <c r="F2275" s="11"/>
      <c r="G2275" s="11" t="s">
        <v>965</v>
      </c>
      <c r="H2275" s="11"/>
      <c r="I2275" s="11" t="s">
        <v>2389</v>
      </c>
      <c r="J2275" s="11" t="s">
        <v>2388</v>
      </c>
      <c r="K2275" s="11" t="s">
        <v>1878</v>
      </c>
      <c r="L2275" s="11"/>
      <c r="M2275" s="12"/>
      <c r="N2275" s="11"/>
      <c r="O2275" s="11" t="s">
        <v>1877</v>
      </c>
    </row>
    <row r="2276" spans="1:15" ht="19.5" customHeight="1" x14ac:dyDescent="0.25">
      <c r="A2276" s="13" t="s">
        <v>965</v>
      </c>
      <c r="B2276" s="13"/>
      <c r="C2276" s="13" t="s">
        <v>2393</v>
      </c>
      <c r="D2276" s="13" t="s">
        <v>1883</v>
      </c>
      <c r="E2276" s="13" t="s">
        <v>2390</v>
      </c>
      <c r="F2276" s="13"/>
      <c r="G2276" s="13" t="s">
        <v>965</v>
      </c>
      <c r="H2276" s="13"/>
      <c r="I2276" s="13"/>
      <c r="J2276" s="13"/>
      <c r="K2276" s="13" t="s">
        <v>1878</v>
      </c>
      <c r="L2276" s="13"/>
      <c r="M2276" s="14"/>
      <c r="N2276" s="13"/>
      <c r="O2276" s="13" t="s">
        <v>1916</v>
      </c>
    </row>
    <row r="2277" spans="1:15" ht="19.5" customHeight="1" x14ac:dyDescent="0.25">
      <c r="A2277" s="11" t="s">
        <v>965</v>
      </c>
      <c r="B2277" s="11"/>
      <c r="C2277" s="11" t="s">
        <v>2392</v>
      </c>
      <c r="D2277" s="11" t="s">
        <v>1883</v>
      </c>
      <c r="E2277" s="11" t="s">
        <v>2390</v>
      </c>
      <c r="F2277" s="11"/>
      <c r="G2277" s="11" t="s">
        <v>965</v>
      </c>
      <c r="H2277" s="11"/>
      <c r="I2277" s="11" t="s">
        <v>2389</v>
      </c>
      <c r="J2277" s="11" t="s">
        <v>2388</v>
      </c>
      <c r="K2277" s="11" t="s">
        <v>1878</v>
      </c>
      <c r="L2277" s="11"/>
      <c r="M2277" s="12"/>
      <c r="N2277" s="11"/>
      <c r="O2277" s="11" t="s">
        <v>1877</v>
      </c>
    </row>
    <row r="2278" spans="1:15" ht="19.5" customHeight="1" x14ac:dyDescent="0.25">
      <c r="A2278" s="13" t="s">
        <v>965</v>
      </c>
      <c r="B2278" s="13"/>
      <c r="C2278" s="13" t="s">
        <v>2391</v>
      </c>
      <c r="D2278" s="13" t="s">
        <v>1883</v>
      </c>
      <c r="E2278" s="13" t="s">
        <v>2390</v>
      </c>
      <c r="F2278" s="13"/>
      <c r="G2278" s="13" t="s">
        <v>965</v>
      </c>
      <c r="H2278" s="13"/>
      <c r="I2278" s="13" t="s">
        <v>2389</v>
      </c>
      <c r="J2278" s="13" t="s">
        <v>2388</v>
      </c>
      <c r="K2278" s="13" t="s">
        <v>1878</v>
      </c>
      <c r="L2278" s="13"/>
      <c r="M2278" s="14"/>
      <c r="N2278" s="13"/>
      <c r="O2278" s="13" t="s">
        <v>1877</v>
      </c>
    </row>
    <row r="2279" spans="1:15" ht="19.5" customHeight="1" x14ac:dyDescent="0.25">
      <c r="A2279" s="11" t="s">
        <v>1679</v>
      </c>
      <c r="B2279" s="11"/>
      <c r="C2279" s="11" t="s">
        <v>2387</v>
      </c>
      <c r="D2279" s="11" t="s">
        <v>1883</v>
      </c>
      <c r="E2279" s="11" t="s">
        <v>2385</v>
      </c>
      <c r="F2279" s="11"/>
      <c r="G2279" s="11" t="s">
        <v>1679</v>
      </c>
      <c r="H2279" s="11"/>
      <c r="I2279" s="11" t="s">
        <v>2384</v>
      </c>
      <c r="J2279" s="11" t="s">
        <v>2383</v>
      </c>
      <c r="K2279" s="11" t="s">
        <v>2342</v>
      </c>
      <c r="L2279" s="11"/>
      <c r="M2279" s="12"/>
      <c r="N2279" s="11"/>
      <c r="O2279" s="11" t="s">
        <v>1877</v>
      </c>
    </row>
    <row r="2280" spans="1:15" ht="19.5" customHeight="1" x14ac:dyDescent="0.25">
      <c r="A2280" s="13" t="s">
        <v>1679</v>
      </c>
      <c r="B2280" s="13"/>
      <c r="C2280" s="13" t="s">
        <v>2386</v>
      </c>
      <c r="D2280" s="13" t="s">
        <v>1883</v>
      </c>
      <c r="E2280" s="13" t="s">
        <v>2385</v>
      </c>
      <c r="F2280" s="13"/>
      <c r="G2280" s="13" t="s">
        <v>1679</v>
      </c>
      <c r="H2280" s="13"/>
      <c r="I2280" s="13" t="s">
        <v>2384</v>
      </c>
      <c r="J2280" s="13" t="s">
        <v>2383</v>
      </c>
      <c r="K2280" s="13" t="s">
        <v>2342</v>
      </c>
      <c r="L2280" s="13"/>
      <c r="M2280" s="14"/>
      <c r="N2280" s="13"/>
      <c r="O2280" s="13" t="s">
        <v>1877</v>
      </c>
    </row>
    <row r="2281" spans="1:15" ht="19.5" customHeight="1" x14ac:dyDescent="0.25">
      <c r="A2281" s="11" t="s">
        <v>967</v>
      </c>
      <c r="B2281" s="11"/>
      <c r="C2281" s="11" t="s">
        <v>2382</v>
      </c>
      <c r="D2281" s="11" t="s">
        <v>1883</v>
      </c>
      <c r="E2281" s="11" t="s">
        <v>2379</v>
      </c>
      <c r="F2281" s="11"/>
      <c r="G2281" s="11" t="s">
        <v>967</v>
      </c>
      <c r="H2281" s="11" t="s">
        <v>2378</v>
      </c>
      <c r="I2281" s="11" t="s">
        <v>2377</v>
      </c>
      <c r="J2281" s="11" t="s">
        <v>2376</v>
      </c>
      <c r="K2281" s="11" t="s">
        <v>2342</v>
      </c>
      <c r="L2281" s="11"/>
      <c r="M2281" s="12"/>
      <c r="N2281" s="11"/>
      <c r="O2281" s="11" t="s">
        <v>1877</v>
      </c>
    </row>
    <row r="2282" spans="1:15" ht="19.5" customHeight="1" x14ac:dyDescent="0.25">
      <c r="A2282" s="13" t="s">
        <v>967</v>
      </c>
      <c r="B2282" s="13"/>
      <c r="C2282" s="13" t="s">
        <v>2381</v>
      </c>
      <c r="D2282" s="13" t="s">
        <v>1883</v>
      </c>
      <c r="E2282" s="13" t="s">
        <v>2379</v>
      </c>
      <c r="F2282" s="13"/>
      <c r="G2282" s="13" t="s">
        <v>967</v>
      </c>
      <c r="H2282" s="13" t="s">
        <v>2378</v>
      </c>
      <c r="I2282" s="13" t="s">
        <v>2377</v>
      </c>
      <c r="J2282" s="13" t="s">
        <v>2376</v>
      </c>
      <c r="K2282" s="13" t="s">
        <v>2342</v>
      </c>
      <c r="L2282" s="13"/>
      <c r="M2282" s="14"/>
      <c r="N2282" s="13"/>
      <c r="O2282" s="13" t="s">
        <v>1877</v>
      </c>
    </row>
    <row r="2283" spans="1:15" ht="19.5" customHeight="1" x14ac:dyDescent="0.25">
      <c r="A2283" s="11" t="s">
        <v>967</v>
      </c>
      <c r="B2283" s="11"/>
      <c r="C2283" s="11" t="s">
        <v>2380</v>
      </c>
      <c r="D2283" s="11" t="s">
        <v>1883</v>
      </c>
      <c r="E2283" s="11" t="s">
        <v>2379</v>
      </c>
      <c r="F2283" s="11"/>
      <c r="G2283" s="11" t="s">
        <v>967</v>
      </c>
      <c r="H2283" s="11" t="s">
        <v>2378</v>
      </c>
      <c r="I2283" s="11" t="s">
        <v>2377</v>
      </c>
      <c r="J2283" s="11" t="s">
        <v>2376</v>
      </c>
      <c r="K2283" s="11" t="s">
        <v>2342</v>
      </c>
      <c r="L2283" s="11"/>
      <c r="M2283" s="12"/>
      <c r="N2283" s="11"/>
      <c r="O2283" s="11" t="s">
        <v>1877</v>
      </c>
    </row>
    <row r="2284" spans="1:15" ht="19.5" customHeight="1" x14ac:dyDescent="0.25">
      <c r="A2284" s="13" t="s">
        <v>2373</v>
      </c>
      <c r="B2284" s="13"/>
      <c r="C2284" s="13" t="s">
        <v>2375</v>
      </c>
      <c r="D2284" s="13" t="s">
        <v>1883</v>
      </c>
      <c r="E2284" s="13" t="s">
        <v>2374</v>
      </c>
      <c r="F2284" s="13"/>
      <c r="G2284" s="13" t="s">
        <v>2373</v>
      </c>
      <c r="H2284" s="13"/>
      <c r="I2284" s="13"/>
      <c r="J2284" s="13"/>
      <c r="K2284" s="13" t="s">
        <v>2342</v>
      </c>
      <c r="L2284" s="13"/>
      <c r="M2284" s="14"/>
      <c r="N2284" s="13"/>
      <c r="O2284" s="13" t="s">
        <v>1916</v>
      </c>
    </row>
    <row r="2285" spans="1:15" ht="19.5" customHeight="1" x14ac:dyDescent="0.25">
      <c r="A2285" s="11" t="s">
        <v>2370</v>
      </c>
      <c r="B2285" s="11"/>
      <c r="C2285" s="11" t="s">
        <v>2372</v>
      </c>
      <c r="D2285" s="11" t="s">
        <v>1883</v>
      </c>
      <c r="E2285" s="11"/>
      <c r="F2285" s="11"/>
      <c r="G2285" s="11" t="s">
        <v>2370</v>
      </c>
      <c r="H2285" s="11"/>
      <c r="I2285" s="11"/>
      <c r="J2285" s="11"/>
      <c r="K2285" s="11"/>
      <c r="L2285" s="11"/>
      <c r="M2285" s="12"/>
      <c r="N2285" s="11"/>
      <c r="O2285" s="11"/>
    </row>
    <row r="2286" spans="1:15" ht="19.5" customHeight="1" x14ac:dyDescent="0.25">
      <c r="A2286" s="13" t="s">
        <v>2370</v>
      </c>
      <c r="B2286" s="13"/>
      <c r="C2286" s="13" t="s">
        <v>2371</v>
      </c>
      <c r="D2286" s="13" t="s">
        <v>1883</v>
      </c>
      <c r="E2286" s="13"/>
      <c r="F2286" s="13"/>
      <c r="G2286" s="13" t="s">
        <v>2370</v>
      </c>
      <c r="H2286" s="13"/>
      <c r="I2286" s="13"/>
      <c r="J2286" s="13"/>
      <c r="K2286" s="13"/>
      <c r="L2286" s="13"/>
      <c r="M2286" s="14"/>
      <c r="N2286" s="13"/>
      <c r="O2286" s="13"/>
    </row>
    <row r="2287" spans="1:15" ht="19.5" customHeight="1" x14ac:dyDescent="0.25">
      <c r="A2287" s="11" t="s">
        <v>969</v>
      </c>
      <c r="B2287" s="11"/>
      <c r="C2287" s="11" t="s">
        <v>2369</v>
      </c>
      <c r="D2287" s="11" t="s">
        <v>2368</v>
      </c>
      <c r="E2287" s="11" t="s">
        <v>2367</v>
      </c>
      <c r="F2287" s="11"/>
      <c r="G2287" s="11" t="s">
        <v>969</v>
      </c>
      <c r="H2287" s="11"/>
      <c r="I2287" s="11" t="s">
        <v>2366</v>
      </c>
      <c r="J2287" s="11" t="s">
        <v>2365</v>
      </c>
      <c r="K2287" s="11" t="s">
        <v>2313</v>
      </c>
      <c r="L2287" s="11"/>
      <c r="M2287" s="12"/>
      <c r="N2287" s="11"/>
      <c r="O2287" s="11" t="s">
        <v>2364</v>
      </c>
    </row>
    <row r="2288" spans="1:15" ht="19.5" customHeight="1" x14ac:dyDescent="0.25">
      <c r="A2288" s="13" t="s">
        <v>971</v>
      </c>
      <c r="B2288" s="13"/>
      <c r="C2288" s="13" t="s">
        <v>2363</v>
      </c>
      <c r="D2288" s="13" t="s">
        <v>1883</v>
      </c>
      <c r="E2288" s="13" t="s">
        <v>2362</v>
      </c>
      <c r="F2288" s="13"/>
      <c r="G2288" s="13" t="s">
        <v>971</v>
      </c>
      <c r="H2288" s="13"/>
      <c r="I2288" s="13" t="s">
        <v>2361</v>
      </c>
      <c r="J2288" s="13" t="s">
        <v>2360</v>
      </c>
      <c r="K2288" s="13" t="s">
        <v>2093</v>
      </c>
      <c r="L2288" s="13"/>
      <c r="M2288" s="14"/>
      <c r="N2288" s="13"/>
      <c r="O2288" s="13" t="s">
        <v>1877</v>
      </c>
    </row>
    <row r="2289" spans="1:15" ht="19.5" customHeight="1" x14ac:dyDescent="0.25">
      <c r="A2289" s="11" t="s">
        <v>973</v>
      </c>
      <c r="B2289" s="11"/>
      <c r="C2289" s="11" t="s">
        <v>2359</v>
      </c>
      <c r="D2289" s="11" t="s">
        <v>1883</v>
      </c>
      <c r="E2289" s="11" t="s">
        <v>2356</v>
      </c>
      <c r="F2289" s="11" t="s">
        <v>2355</v>
      </c>
      <c r="G2289" s="11" t="s">
        <v>973</v>
      </c>
      <c r="H2289" s="11" t="s">
        <v>2354</v>
      </c>
      <c r="I2289" s="11" t="s">
        <v>2353</v>
      </c>
      <c r="J2289" s="11" t="s">
        <v>2352</v>
      </c>
      <c r="K2289" s="11" t="s">
        <v>2033</v>
      </c>
      <c r="L2289" s="11"/>
      <c r="M2289" s="12"/>
      <c r="N2289" s="11"/>
      <c r="O2289" s="11" t="s">
        <v>2028</v>
      </c>
    </row>
    <row r="2290" spans="1:15" ht="19.5" customHeight="1" x14ac:dyDescent="0.25">
      <c r="A2290" s="13" t="s">
        <v>973</v>
      </c>
      <c r="B2290" s="13"/>
      <c r="C2290" s="13" t="s">
        <v>2358</v>
      </c>
      <c r="D2290" s="13" t="s">
        <v>1883</v>
      </c>
      <c r="E2290" s="13" t="s">
        <v>2356</v>
      </c>
      <c r="F2290" s="13" t="s">
        <v>2355</v>
      </c>
      <c r="G2290" s="13" t="s">
        <v>973</v>
      </c>
      <c r="H2290" s="13" t="s">
        <v>2354</v>
      </c>
      <c r="I2290" s="13" t="s">
        <v>2353</v>
      </c>
      <c r="J2290" s="13" t="s">
        <v>2352</v>
      </c>
      <c r="K2290" s="13" t="s">
        <v>2033</v>
      </c>
      <c r="L2290" s="13"/>
      <c r="M2290" s="14"/>
      <c r="N2290" s="13"/>
      <c r="O2290" s="13" t="s">
        <v>2028</v>
      </c>
    </row>
    <row r="2291" spans="1:15" ht="19.5" customHeight="1" x14ac:dyDescent="0.25">
      <c r="A2291" s="11" t="s">
        <v>973</v>
      </c>
      <c r="B2291" s="11"/>
      <c r="C2291" s="11" t="s">
        <v>2357</v>
      </c>
      <c r="D2291" s="11" t="s">
        <v>1883</v>
      </c>
      <c r="E2291" s="11" t="s">
        <v>2356</v>
      </c>
      <c r="F2291" s="11" t="s">
        <v>2355</v>
      </c>
      <c r="G2291" s="11" t="s">
        <v>973</v>
      </c>
      <c r="H2291" s="11" t="s">
        <v>2354</v>
      </c>
      <c r="I2291" s="11" t="s">
        <v>2353</v>
      </c>
      <c r="J2291" s="11" t="s">
        <v>2352</v>
      </c>
      <c r="K2291" s="11" t="s">
        <v>2033</v>
      </c>
      <c r="L2291" s="11"/>
      <c r="M2291" s="12"/>
      <c r="N2291" s="11"/>
      <c r="O2291" s="11" t="s">
        <v>2028</v>
      </c>
    </row>
    <row r="2292" spans="1:15" ht="19.5" customHeight="1" x14ac:dyDescent="0.25">
      <c r="A2292" s="13" t="s">
        <v>975</v>
      </c>
      <c r="B2292" s="13"/>
      <c r="C2292" s="13" t="s">
        <v>2351</v>
      </c>
      <c r="D2292" s="13" t="s">
        <v>1883</v>
      </c>
      <c r="E2292" s="13" t="s">
        <v>2347</v>
      </c>
      <c r="F2292" s="13"/>
      <c r="G2292" s="13" t="s">
        <v>2346</v>
      </c>
      <c r="H2292" s="13" t="s">
        <v>2345</v>
      </c>
      <c r="I2292" s="13" t="s">
        <v>2344</v>
      </c>
      <c r="J2292" s="13" t="s">
        <v>2343</v>
      </c>
      <c r="K2292" s="13" t="s">
        <v>2342</v>
      </c>
      <c r="L2292" s="13"/>
      <c r="M2292" s="14"/>
      <c r="N2292" s="13"/>
      <c r="O2292" s="13" t="s">
        <v>1877</v>
      </c>
    </row>
    <row r="2293" spans="1:15" ht="19.5" customHeight="1" x14ac:dyDescent="0.25">
      <c r="A2293" s="11" t="s">
        <v>975</v>
      </c>
      <c r="B2293" s="11"/>
      <c r="C2293" s="11" t="s">
        <v>2350</v>
      </c>
      <c r="D2293" s="11" t="s">
        <v>1883</v>
      </c>
      <c r="E2293" s="11" t="s">
        <v>2347</v>
      </c>
      <c r="F2293" s="11"/>
      <c r="G2293" s="11" t="s">
        <v>975</v>
      </c>
      <c r="H2293" s="11"/>
      <c r="I2293" s="11"/>
      <c r="J2293" s="11"/>
      <c r="K2293" s="11" t="s">
        <v>2342</v>
      </c>
      <c r="L2293" s="11"/>
      <c r="M2293" s="12"/>
      <c r="N2293" s="11"/>
      <c r="O2293" s="11" t="s">
        <v>1916</v>
      </c>
    </row>
    <row r="2294" spans="1:15" ht="19.5" customHeight="1" x14ac:dyDescent="0.25">
      <c r="A2294" s="13" t="s">
        <v>975</v>
      </c>
      <c r="B2294" s="13"/>
      <c r="C2294" s="13" t="s">
        <v>2349</v>
      </c>
      <c r="D2294" s="13" t="s">
        <v>1883</v>
      </c>
      <c r="E2294" s="13" t="s">
        <v>2347</v>
      </c>
      <c r="F2294" s="13"/>
      <c r="G2294" s="13" t="s">
        <v>2346</v>
      </c>
      <c r="H2294" s="13" t="s">
        <v>2345</v>
      </c>
      <c r="I2294" s="13" t="s">
        <v>2344</v>
      </c>
      <c r="J2294" s="13" t="s">
        <v>2343</v>
      </c>
      <c r="K2294" s="13" t="s">
        <v>2342</v>
      </c>
      <c r="L2294" s="13"/>
      <c r="M2294" s="14"/>
      <c r="N2294" s="13"/>
      <c r="O2294" s="13" t="s">
        <v>1877</v>
      </c>
    </row>
    <row r="2295" spans="1:15" ht="19.5" customHeight="1" x14ac:dyDescent="0.25">
      <c r="A2295" s="11" t="s">
        <v>975</v>
      </c>
      <c r="B2295" s="11"/>
      <c r="C2295" s="11" t="s">
        <v>2348</v>
      </c>
      <c r="D2295" s="11" t="s">
        <v>1883</v>
      </c>
      <c r="E2295" s="11" t="s">
        <v>2347</v>
      </c>
      <c r="F2295" s="11"/>
      <c r="G2295" s="11" t="s">
        <v>2346</v>
      </c>
      <c r="H2295" s="11" t="s">
        <v>2345</v>
      </c>
      <c r="I2295" s="11" t="s">
        <v>2344</v>
      </c>
      <c r="J2295" s="11" t="s">
        <v>2343</v>
      </c>
      <c r="K2295" s="11" t="s">
        <v>2342</v>
      </c>
      <c r="L2295" s="11"/>
      <c r="M2295" s="12"/>
      <c r="N2295" s="11"/>
      <c r="O2295" s="11" t="s">
        <v>1877</v>
      </c>
    </row>
    <row r="2296" spans="1:15" ht="19.5" customHeight="1" x14ac:dyDescent="0.25">
      <c r="A2296" s="13" t="s">
        <v>2340</v>
      </c>
      <c r="B2296" s="13"/>
      <c r="C2296" s="13" t="s">
        <v>2341</v>
      </c>
      <c r="D2296" s="13" t="s">
        <v>1883</v>
      </c>
      <c r="E2296" s="13"/>
      <c r="F2296" s="13"/>
      <c r="G2296" s="13" t="s">
        <v>2340</v>
      </c>
      <c r="H2296" s="13"/>
      <c r="I2296" s="13"/>
      <c r="J2296" s="13"/>
      <c r="K2296" s="13"/>
      <c r="L2296" s="13"/>
      <c r="M2296" s="14"/>
      <c r="N2296" s="13"/>
      <c r="O2296" s="13" t="s">
        <v>1916</v>
      </c>
    </row>
    <row r="2297" spans="1:15" ht="19.5" customHeight="1" x14ac:dyDescent="0.25">
      <c r="A2297" s="11" t="s">
        <v>977</v>
      </c>
      <c r="B2297" s="11"/>
      <c r="C2297" s="11" t="s">
        <v>2339</v>
      </c>
      <c r="D2297" s="11" t="s">
        <v>1883</v>
      </c>
      <c r="E2297" s="11" t="s">
        <v>2338</v>
      </c>
      <c r="F2297" s="11" t="s">
        <v>2337</v>
      </c>
      <c r="G2297" s="11" t="s">
        <v>977</v>
      </c>
      <c r="H2297" s="11" t="s">
        <v>2336</v>
      </c>
      <c r="I2297" s="11" t="s">
        <v>2335</v>
      </c>
      <c r="J2297" s="11" t="s">
        <v>2334</v>
      </c>
      <c r="K2297" s="11" t="s">
        <v>1878</v>
      </c>
      <c r="L2297" s="11"/>
      <c r="M2297" s="12"/>
      <c r="N2297" s="11"/>
      <c r="O2297" s="11" t="s">
        <v>1877</v>
      </c>
    </row>
    <row r="2298" spans="1:15" ht="19.5" customHeight="1" x14ac:dyDescent="0.25">
      <c r="A2298" s="13" t="s">
        <v>979</v>
      </c>
      <c r="B2298" s="13" t="s">
        <v>2333</v>
      </c>
      <c r="C2298" s="13" t="s">
        <v>2332</v>
      </c>
      <c r="D2298" s="13" t="s">
        <v>1883</v>
      </c>
      <c r="E2298" s="13" t="s">
        <v>2331</v>
      </c>
      <c r="F2298" s="13"/>
      <c r="G2298" s="13" t="s">
        <v>979</v>
      </c>
      <c r="H2298" s="13" t="s">
        <v>2330</v>
      </c>
      <c r="I2298" s="13" t="s">
        <v>2329</v>
      </c>
      <c r="J2298" s="13" t="s">
        <v>2328</v>
      </c>
      <c r="K2298" s="13" t="s">
        <v>2327</v>
      </c>
      <c r="L2298" s="13"/>
      <c r="M2298" s="14"/>
      <c r="N2298" s="13"/>
      <c r="O2298" s="13" t="s">
        <v>1877</v>
      </c>
    </row>
    <row r="2299" spans="1:15" ht="19.5" customHeight="1" x14ac:dyDescent="0.25">
      <c r="A2299" s="11" t="s">
        <v>981</v>
      </c>
      <c r="B2299" s="11"/>
      <c r="C2299" s="11" t="s">
        <v>2326</v>
      </c>
      <c r="D2299" s="11" t="s">
        <v>1883</v>
      </c>
      <c r="E2299" s="11" t="s">
        <v>2323</v>
      </c>
      <c r="F2299" s="11"/>
      <c r="G2299" s="11" t="s">
        <v>981</v>
      </c>
      <c r="H2299" s="11"/>
      <c r="I2299" s="11" t="s">
        <v>2322</v>
      </c>
      <c r="J2299" s="11" t="s">
        <v>2321</v>
      </c>
      <c r="K2299" s="11" t="s">
        <v>1878</v>
      </c>
      <c r="L2299" s="11"/>
      <c r="M2299" s="12"/>
      <c r="N2299" s="11"/>
      <c r="O2299" s="11" t="s">
        <v>1877</v>
      </c>
    </row>
    <row r="2300" spans="1:15" ht="19.5" customHeight="1" x14ac:dyDescent="0.25">
      <c r="A2300" s="13" t="s">
        <v>981</v>
      </c>
      <c r="B2300" s="13"/>
      <c r="C2300" s="13" t="s">
        <v>2325</v>
      </c>
      <c r="D2300" s="13" t="s">
        <v>1883</v>
      </c>
      <c r="E2300" s="13" t="s">
        <v>2323</v>
      </c>
      <c r="F2300" s="13"/>
      <c r="G2300" s="13" t="s">
        <v>981</v>
      </c>
      <c r="H2300" s="13"/>
      <c r="I2300" s="13" t="s">
        <v>2322</v>
      </c>
      <c r="J2300" s="13" t="s">
        <v>2321</v>
      </c>
      <c r="K2300" s="13" t="s">
        <v>1878</v>
      </c>
      <c r="L2300" s="13"/>
      <c r="M2300" s="14"/>
      <c r="N2300" s="13"/>
      <c r="O2300" s="13" t="s">
        <v>1877</v>
      </c>
    </row>
    <row r="2301" spans="1:15" ht="19.5" customHeight="1" x14ac:dyDescent="0.25">
      <c r="A2301" s="11" t="s">
        <v>981</v>
      </c>
      <c r="B2301" s="11"/>
      <c r="C2301" s="11" t="s">
        <v>2324</v>
      </c>
      <c r="D2301" s="11" t="s">
        <v>1883</v>
      </c>
      <c r="E2301" s="11" t="s">
        <v>2323</v>
      </c>
      <c r="F2301" s="11"/>
      <c r="G2301" s="11" t="s">
        <v>981</v>
      </c>
      <c r="H2301" s="11"/>
      <c r="I2301" s="11" t="s">
        <v>2322</v>
      </c>
      <c r="J2301" s="11" t="s">
        <v>2321</v>
      </c>
      <c r="K2301" s="11" t="s">
        <v>1878</v>
      </c>
      <c r="L2301" s="11"/>
      <c r="M2301" s="12"/>
      <c r="N2301" s="11"/>
      <c r="O2301" s="11" t="s">
        <v>1877</v>
      </c>
    </row>
    <row r="2302" spans="1:15" ht="19.5" customHeight="1" x14ac:dyDescent="0.25">
      <c r="A2302" s="13" t="s">
        <v>2317</v>
      </c>
      <c r="B2302" s="13"/>
      <c r="C2302" s="13" t="s">
        <v>2320</v>
      </c>
      <c r="D2302" s="13" t="s">
        <v>1883</v>
      </c>
      <c r="E2302" s="13" t="s">
        <v>2318</v>
      </c>
      <c r="F2302" s="13"/>
      <c r="G2302" s="13" t="s">
        <v>2317</v>
      </c>
      <c r="H2302" s="13" t="s">
        <v>2316</v>
      </c>
      <c r="I2302" s="13" t="s">
        <v>2315</v>
      </c>
      <c r="J2302" s="13" t="s">
        <v>2314</v>
      </c>
      <c r="K2302" s="13" t="s">
        <v>2313</v>
      </c>
      <c r="L2302" s="13"/>
      <c r="M2302" s="14"/>
      <c r="N2302" s="13"/>
      <c r="O2302" s="13" t="s">
        <v>1877</v>
      </c>
    </row>
    <row r="2303" spans="1:15" ht="19.5" customHeight="1" x14ac:dyDescent="0.25">
      <c r="A2303" s="11" t="s">
        <v>2317</v>
      </c>
      <c r="B2303" s="11"/>
      <c r="C2303" s="11" t="s">
        <v>2319</v>
      </c>
      <c r="D2303" s="11" t="s">
        <v>1883</v>
      </c>
      <c r="E2303" s="11" t="s">
        <v>2318</v>
      </c>
      <c r="F2303" s="11"/>
      <c r="G2303" s="11" t="s">
        <v>2317</v>
      </c>
      <c r="H2303" s="11" t="s">
        <v>2316</v>
      </c>
      <c r="I2303" s="11" t="s">
        <v>2315</v>
      </c>
      <c r="J2303" s="11" t="s">
        <v>2314</v>
      </c>
      <c r="K2303" s="11" t="s">
        <v>2313</v>
      </c>
      <c r="L2303" s="11"/>
      <c r="M2303" s="12"/>
      <c r="N2303" s="11"/>
      <c r="O2303" s="11" t="s">
        <v>1877</v>
      </c>
    </row>
    <row r="2304" spans="1:15" ht="19.5" customHeight="1" x14ac:dyDescent="0.25">
      <c r="A2304" s="13" t="s">
        <v>1626</v>
      </c>
      <c r="B2304" s="13"/>
      <c r="C2304" s="13" t="s">
        <v>2312</v>
      </c>
      <c r="D2304" s="13" t="s">
        <v>1883</v>
      </c>
      <c r="E2304" s="13" t="s">
        <v>2311</v>
      </c>
      <c r="F2304" s="13"/>
      <c r="G2304" s="13" t="s">
        <v>1626</v>
      </c>
      <c r="H2304" s="13"/>
      <c r="I2304" s="13" t="s">
        <v>2310</v>
      </c>
      <c r="J2304" s="13" t="s">
        <v>2309</v>
      </c>
      <c r="K2304" s="13" t="s">
        <v>2093</v>
      </c>
      <c r="L2304" s="13"/>
      <c r="M2304" s="14"/>
      <c r="N2304" s="13"/>
      <c r="O2304" s="13" t="s">
        <v>1877</v>
      </c>
    </row>
    <row r="2305" spans="1:15" ht="19.5" customHeight="1" x14ac:dyDescent="0.25">
      <c r="A2305" s="11" t="s">
        <v>983</v>
      </c>
      <c r="B2305" s="11"/>
      <c r="C2305" s="11" t="s">
        <v>2308</v>
      </c>
      <c r="D2305" s="11" t="s">
        <v>1950</v>
      </c>
      <c r="E2305" s="11" t="s">
        <v>2307</v>
      </c>
      <c r="F2305" s="11"/>
      <c r="G2305" s="11" t="s">
        <v>983</v>
      </c>
      <c r="H2305" s="11"/>
      <c r="I2305" s="11" t="s">
        <v>2306</v>
      </c>
      <c r="J2305" s="11" t="s">
        <v>2305</v>
      </c>
      <c r="K2305" s="11" t="s">
        <v>1887</v>
      </c>
      <c r="L2305" s="11"/>
      <c r="M2305" s="12"/>
      <c r="N2305" s="11"/>
      <c r="O2305" s="11" t="s">
        <v>1877</v>
      </c>
    </row>
    <row r="2306" spans="1:15" ht="19.5" customHeight="1" x14ac:dyDescent="0.25">
      <c r="A2306" s="13" t="s">
        <v>985</v>
      </c>
      <c r="B2306" s="13"/>
      <c r="C2306" s="13" t="s">
        <v>2304</v>
      </c>
      <c r="D2306" s="13" t="s">
        <v>1883</v>
      </c>
      <c r="E2306" s="13" t="s">
        <v>2300</v>
      </c>
      <c r="F2306" s="13"/>
      <c r="G2306" s="13" t="s">
        <v>985</v>
      </c>
      <c r="H2306" s="13" t="s">
        <v>2299</v>
      </c>
      <c r="I2306" s="13" t="s">
        <v>2302</v>
      </c>
      <c r="J2306" s="13" t="s">
        <v>2297</v>
      </c>
      <c r="K2306" s="13" t="s">
        <v>1878</v>
      </c>
      <c r="L2306" s="13"/>
      <c r="M2306" s="14"/>
      <c r="N2306" s="13"/>
      <c r="O2306" s="13" t="s">
        <v>1877</v>
      </c>
    </row>
    <row r="2307" spans="1:15" ht="19.5" customHeight="1" x14ac:dyDescent="0.25">
      <c r="A2307" s="11" t="s">
        <v>985</v>
      </c>
      <c r="B2307" s="11"/>
      <c r="C2307" s="11" t="s">
        <v>2303</v>
      </c>
      <c r="D2307" s="11" t="s">
        <v>1883</v>
      </c>
      <c r="E2307" s="11" t="s">
        <v>2300</v>
      </c>
      <c r="F2307" s="11"/>
      <c r="G2307" s="11" t="s">
        <v>985</v>
      </c>
      <c r="H2307" s="11" t="s">
        <v>2299</v>
      </c>
      <c r="I2307" s="11" t="s">
        <v>2302</v>
      </c>
      <c r="J2307" s="11" t="s">
        <v>2297</v>
      </c>
      <c r="K2307" s="11" t="s">
        <v>1878</v>
      </c>
      <c r="L2307" s="11"/>
      <c r="M2307" s="12"/>
      <c r="N2307" s="11"/>
      <c r="O2307" s="11" t="s">
        <v>1877</v>
      </c>
    </row>
    <row r="2308" spans="1:15" ht="19.5" customHeight="1" x14ac:dyDescent="0.25">
      <c r="A2308" s="13" t="s">
        <v>985</v>
      </c>
      <c r="B2308" s="13"/>
      <c r="C2308" s="13" t="s">
        <v>2301</v>
      </c>
      <c r="D2308" s="13" t="s">
        <v>1883</v>
      </c>
      <c r="E2308" s="13" t="s">
        <v>2300</v>
      </c>
      <c r="F2308" s="13"/>
      <c r="G2308" s="13" t="s">
        <v>985</v>
      </c>
      <c r="H2308" s="13" t="s">
        <v>2299</v>
      </c>
      <c r="I2308" s="13" t="s">
        <v>2298</v>
      </c>
      <c r="J2308" s="13" t="s">
        <v>2297</v>
      </c>
      <c r="K2308" s="13" t="s">
        <v>1878</v>
      </c>
      <c r="L2308" s="13"/>
      <c r="M2308" s="14"/>
      <c r="N2308" s="13"/>
      <c r="O2308" s="13" t="s">
        <v>1877</v>
      </c>
    </row>
    <row r="2309" spans="1:15" ht="19.5" customHeight="1" x14ac:dyDescent="0.25">
      <c r="A2309" s="11" t="s">
        <v>987</v>
      </c>
      <c r="B2309" s="11"/>
      <c r="C2309" s="11" t="s">
        <v>2296</v>
      </c>
      <c r="D2309" s="11" t="s">
        <v>1883</v>
      </c>
      <c r="E2309" s="11" t="s">
        <v>2293</v>
      </c>
      <c r="F2309" s="11"/>
      <c r="G2309" s="11" t="s">
        <v>987</v>
      </c>
      <c r="H2309" s="11" t="s">
        <v>2292</v>
      </c>
      <c r="I2309" s="11" t="s">
        <v>2291</v>
      </c>
      <c r="J2309" s="11" t="s">
        <v>2290</v>
      </c>
      <c r="K2309" s="11" t="s">
        <v>1878</v>
      </c>
      <c r="L2309" s="11"/>
      <c r="M2309" s="12"/>
      <c r="N2309" s="11"/>
      <c r="O2309" s="11" t="s">
        <v>1877</v>
      </c>
    </row>
    <row r="2310" spans="1:15" ht="19.5" customHeight="1" x14ac:dyDescent="0.25">
      <c r="A2310" s="13" t="s">
        <v>987</v>
      </c>
      <c r="B2310" s="13"/>
      <c r="C2310" s="13" t="s">
        <v>2295</v>
      </c>
      <c r="D2310" s="13" t="s">
        <v>1883</v>
      </c>
      <c r="E2310" s="13" t="s">
        <v>2293</v>
      </c>
      <c r="F2310" s="13"/>
      <c r="G2310" s="13" t="s">
        <v>987</v>
      </c>
      <c r="H2310" s="13" t="s">
        <v>2292</v>
      </c>
      <c r="I2310" s="13" t="s">
        <v>2291</v>
      </c>
      <c r="J2310" s="13" t="s">
        <v>2290</v>
      </c>
      <c r="K2310" s="13" t="s">
        <v>1878</v>
      </c>
      <c r="L2310" s="13"/>
      <c r="M2310" s="14"/>
      <c r="N2310" s="13"/>
      <c r="O2310" s="13" t="s">
        <v>1877</v>
      </c>
    </row>
    <row r="2311" spans="1:15" ht="19.5" customHeight="1" x14ac:dyDescent="0.25">
      <c r="A2311" s="11" t="s">
        <v>987</v>
      </c>
      <c r="B2311" s="11"/>
      <c r="C2311" s="11" t="s">
        <v>2294</v>
      </c>
      <c r="D2311" s="11" t="s">
        <v>1883</v>
      </c>
      <c r="E2311" s="11" t="s">
        <v>2293</v>
      </c>
      <c r="F2311" s="11"/>
      <c r="G2311" s="11" t="s">
        <v>987</v>
      </c>
      <c r="H2311" s="11" t="s">
        <v>2292</v>
      </c>
      <c r="I2311" s="11" t="s">
        <v>2291</v>
      </c>
      <c r="J2311" s="11" t="s">
        <v>2290</v>
      </c>
      <c r="K2311" s="11" t="s">
        <v>1878</v>
      </c>
      <c r="L2311" s="11"/>
      <c r="M2311" s="12"/>
      <c r="N2311" s="11"/>
      <c r="O2311" s="11" t="s">
        <v>1877</v>
      </c>
    </row>
    <row r="2312" spans="1:15" ht="19.5" customHeight="1" x14ac:dyDescent="0.25">
      <c r="A2312" s="13" t="s">
        <v>2287</v>
      </c>
      <c r="B2312" s="13"/>
      <c r="C2312" s="13" t="s">
        <v>2289</v>
      </c>
      <c r="D2312" s="13" t="s">
        <v>1950</v>
      </c>
      <c r="E2312" s="13" t="s">
        <v>2288</v>
      </c>
      <c r="F2312" s="13"/>
      <c r="G2312" s="13" t="s">
        <v>2287</v>
      </c>
      <c r="H2312" s="13"/>
      <c r="I2312" s="13" t="s">
        <v>2286</v>
      </c>
      <c r="J2312" s="13" t="s">
        <v>2285</v>
      </c>
      <c r="K2312" s="13" t="s">
        <v>1952</v>
      </c>
      <c r="L2312" s="13"/>
      <c r="M2312" s="14"/>
      <c r="N2312" s="13"/>
      <c r="O2312" s="13" t="s">
        <v>1945</v>
      </c>
    </row>
    <row r="2313" spans="1:15" ht="19.5" customHeight="1" x14ac:dyDescent="0.25">
      <c r="A2313" s="11" t="s">
        <v>989</v>
      </c>
      <c r="B2313" s="11"/>
      <c r="C2313" s="11" t="s">
        <v>2284</v>
      </c>
      <c r="D2313" s="11" t="s">
        <v>1883</v>
      </c>
      <c r="E2313" s="11" t="s">
        <v>2281</v>
      </c>
      <c r="F2313" s="11"/>
      <c r="G2313" s="11" t="s">
        <v>989</v>
      </c>
      <c r="H2313" s="11" t="s">
        <v>2280</v>
      </c>
      <c r="I2313" s="11" t="s">
        <v>2279</v>
      </c>
      <c r="J2313" s="11" t="s">
        <v>2278</v>
      </c>
      <c r="K2313" s="11" t="s">
        <v>2277</v>
      </c>
      <c r="L2313" s="11"/>
      <c r="M2313" s="12"/>
      <c r="N2313" s="11"/>
      <c r="O2313" s="11" t="s">
        <v>1877</v>
      </c>
    </row>
    <row r="2314" spans="1:15" ht="19.5" customHeight="1" x14ac:dyDescent="0.25">
      <c r="A2314" s="13" t="s">
        <v>989</v>
      </c>
      <c r="B2314" s="13"/>
      <c r="C2314" s="13" t="s">
        <v>2283</v>
      </c>
      <c r="D2314" s="13" t="s">
        <v>1883</v>
      </c>
      <c r="E2314" s="13" t="s">
        <v>2281</v>
      </c>
      <c r="F2314" s="13"/>
      <c r="G2314" s="13" t="s">
        <v>989</v>
      </c>
      <c r="H2314" s="13" t="s">
        <v>2280</v>
      </c>
      <c r="I2314" s="13" t="s">
        <v>2279</v>
      </c>
      <c r="J2314" s="13" t="s">
        <v>2278</v>
      </c>
      <c r="K2314" s="13" t="s">
        <v>2277</v>
      </c>
      <c r="L2314" s="13"/>
      <c r="M2314" s="14"/>
      <c r="N2314" s="13"/>
      <c r="O2314" s="13" t="s">
        <v>1877</v>
      </c>
    </row>
    <row r="2315" spans="1:15" ht="19.5" customHeight="1" x14ac:dyDescent="0.25">
      <c r="A2315" s="11" t="s">
        <v>989</v>
      </c>
      <c r="B2315" s="11"/>
      <c r="C2315" s="11" t="s">
        <v>2282</v>
      </c>
      <c r="D2315" s="11" t="s">
        <v>1883</v>
      </c>
      <c r="E2315" s="11" t="s">
        <v>2281</v>
      </c>
      <c r="F2315" s="11"/>
      <c r="G2315" s="11" t="s">
        <v>989</v>
      </c>
      <c r="H2315" s="11" t="s">
        <v>2280</v>
      </c>
      <c r="I2315" s="11" t="s">
        <v>2279</v>
      </c>
      <c r="J2315" s="11" t="s">
        <v>2278</v>
      </c>
      <c r="K2315" s="11" t="s">
        <v>2277</v>
      </c>
      <c r="L2315" s="11"/>
      <c r="M2315" s="12"/>
      <c r="N2315" s="11"/>
      <c r="O2315" s="11" t="s">
        <v>1877</v>
      </c>
    </row>
    <row r="2316" spans="1:15" ht="19.5" customHeight="1" x14ac:dyDescent="0.25">
      <c r="A2316" s="13" t="s">
        <v>1058</v>
      </c>
      <c r="B2316" s="13"/>
      <c r="C2316" s="13" t="s">
        <v>1057</v>
      </c>
      <c r="D2316" s="13" t="s">
        <v>1883</v>
      </c>
      <c r="E2316" s="13" t="s">
        <v>2276</v>
      </c>
      <c r="F2316" s="13"/>
      <c r="G2316" s="13" t="s">
        <v>1058</v>
      </c>
      <c r="H2316" s="13" t="s">
        <v>2275</v>
      </c>
      <c r="I2316" s="13" t="s">
        <v>2274</v>
      </c>
      <c r="J2316" s="13" t="s">
        <v>2273</v>
      </c>
      <c r="K2316" s="13" t="s">
        <v>1952</v>
      </c>
      <c r="L2316" s="13"/>
      <c r="M2316" s="14"/>
      <c r="N2316" s="13"/>
      <c r="O2316" s="13" t="s">
        <v>1945</v>
      </c>
    </row>
    <row r="2317" spans="1:15" ht="19.5" customHeight="1" x14ac:dyDescent="0.25">
      <c r="A2317" s="11" t="s">
        <v>1528</v>
      </c>
      <c r="B2317" s="11"/>
      <c r="C2317" s="11" t="s">
        <v>1527</v>
      </c>
      <c r="D2317" s="11" t="s">
        <v>1883</v>
      </c>
      <c r="E2317" s="11" t="s">
        <v>2272</v>
      </c>
      <c r="F2317" s="11"/>
      <c r="G2317" s="11" t="s">
        <v>1528</v>
      </c>
      <c r="H2317" s="11"/>
      <c r="I2317" s="11" t="s">
        <v>2271</v>
      </c>
      <c r="J2317" s="11" t="s">
        <v>2270</v>
      </c>
      <c r="K2317" s="11" t="s">
        <v>1952</v>
      </c>
      <c r="L2317" s="11"/>
      <c r="M2317" s="12"/>
      <c r="N2317" s="11"/>
      <c r="O2317" s="11" t="s">
        <v>1945</v>
      </c>
    </row>
    <row r="2318" spans="1:15" ht="19.5" customHeight="1" x14ac:dyDescent="0.25">
      <c r="A2318" s="13" t="s">
        <v>1160</v>
      </c>
      <c r="B2318" s="13"/>
      <c r="C2318" s="13" t="s">
        <v>2269</v>
      </c>
      <c r="D2318" s="13" t="s">
        <v>1883</v>
      </c>
      <c r="E2318" s="13" t="s">
        <v>2268</v>
      </c>
      <c r="F2318" s="13"/>
      <c r="G2318" s="13" t="s">
        <v>1160</v>
      </c>
      <c r="H2318" s="13"/>
      <c r="I2318" s="13" t="s">
        <v>2267</v>
      </c>
      <c r="J2318" s="13" t="s">
        <v>2266</v>
      </c>
      <c r="K2318" s="13" t="s">
        <v>2033</v>
      </c>
      <c r="L2318" s="13"/>
      <c r="M2318" s="14"/>
      <c r="N2318" s="13"/>
      <c r="O2318" s="13" t="s">
        <v>2028</v>
      </c>
    </row>
    <row r="2319" spans="1:15" ht="19.5" customHeight="1" x14ac:dyDescent="0.25">
      <c r="A2319" s="11" t="s">
        <v>8898</v>
      </c>
      <c r="B2319" s="11"/>
      <c r="C2319" s="11" t="s">
        <v>8897</v>
      </c>
      <c r="D2319" s="11" t="s">
        <v>1883</v>
      </c>
      <c r="E2319" s="11" t="s">
        <v>8902</v>
      </c>
      <c r="F2319" s="11" t="s">
        <v>2264</v>
      </c>
      <c r="G2319" s="11" t="s">
        <v>8898</v>
      </c>
      <c r="H2319" s="11"/>
      <c r="I2319" s="11" t="s">
        <v>8903</v>
      </c>
      <c r="J2319" s="11" t="s">
        <v>8904</v>
      </c>
      <c r="K2319" s="11" t="s">
        <v>1952</v>
      </c>
      <c r="L2319" s="11"/>
      <c r="M2319" s="12"/>
      <c r="N2319" s="11"/>
      <c r="O2319" s="11" t="s">
        <v>2028</v>
      </c>
    </row>
    <row r="2320" spans="1:15" ht="19.5" customHeight="1" x14ac:dyDescent="0.25">
      <c r="A2320" s="13" t="s">
        <v>1046</v>
      </c>
      <c r="B2320" s="13"/>
      <c r="C2320" s="13" t="s">
        <v>1045</v>
      </c>
      <c r="D2320" s="13" t="s">
        <v>1883</v>
      </c>
      <c r="E2320" s="13" t="s">
        <v>2265</v>
      </c>
      <c r="F2320" s="13" t="s">
        <v>2264</v>
      </c>
      <c r="G2320" s="13" t="s">
        <v>1046</v>
      </c>
      <c r="H2320" s="13"/>
      <c r="I2320" s="13" t="s">
        <v>2263</v>
      </c>
      <c r="J2320" s="13" t="s">
        <v>2262</v>
      </c>
      <c r="K2320" s="13" t="s">
        <v>1952</v>
      </c>
      <c r="L2320" s="13"/>
      <c r="M2320" s="14"/>
      <c r="N2320" s="13"/>
      <c r="O2320" s="13" t="s">
        <v>1945</v>
      </c>
    </row>
    <row r="2321" spans="1:15" ht="19.5" customHeight="1" x14ac:dyDescent="0.25">
      <c r="A2321" s="11" t="s">
        <v>1502</v>
      </c>
      <c r="B2321" s="11"/>
      <c r="C2321" s="11" t="s">
        <v>1501</v>
      </c>
      <c r="D2321" s="11" t="s">
        <v>1883</v>
      </c>
      <c r="E2321" s="11" t="s">
        <v>2261</v>
      </c>
      <c r="F2321" s="11"/>
      <c r="G2321" s="11" t="s">
        <v>1502</v>
      </c>
      <c r="H2321" s="11"/>
      <c r="I2321" s="11" t="s">
        <v>2260</v>
      </c>
      <c r="J2321" s="11" t="s">
        <v>2218</v>
      </c>
      <c r="K2321" s="11" t="s">
        <v>2033</v>
      </c>
      <c r="L2321" s="11"/>
      <c r="M2321" s="12"/>
      <c r="N2321" s="11"/>
      <c r="O2321" s="11" t="s">
        <v>1951</v>
      </c>
    </row>
    <row r="2322" spans="1:15" ht="19.5" customHeight="1" x14ac:dyDescent="0.25">
      <c r="A2322" s="13" t="s">
        <v>991</v>
      </c>
      <c r="B2322" s="13"/>
      <c r="C2322" s="13" t="s">
        <v>2259</v>
      </c>
      <c r="D2322" s="13" t="s">
        <v>1883</v>
      </c>
      <c r="E2322" s="13" t="s">
        <v>2256</v>
      </c>
      <c r="F2322" s="13" t="s">
        <v>2253</v>
      </c>
      <c r="G2322" s="13" t="s">
        <v>991</v>
      </c>
      <c r="H2322" s="13"/>
      <c r="I2322" s="13" t="s">
        <v>2258</v>
      </c>
      <c r="J2322" s="13" t="s">
        <v>2251</v>
      </c>
      <c r="K2322" s="13" t="s">
        <v>2033</v>
      </c>
      <c r="L2322" s="13"/>
      <c r="M2322" s="14"/>
      <c r="N2322" s="13"/>
      <c r="O2322" s="13" t="s">
        <v>2028</v>
      </c>
    </row>
    <row r="2323" spans="1:15" ht="19.5" customHeight="1" x14ac:dyDescent="0.25">
      <c r="A2323" s="11" t="s">
        <v>991</v>
      </c>
      <c r="B2323" s="11"/>
      <c r="C2323" s="11" t="s">
        <v>2257</v>
      </c>
      <c r="D2323" s="11" t="s">
        <v>1883</v>
      </c>
      <c r="E2323" s="11" t="s">
        <v>2256</v>
      </c>
      <c r="F2323" s="11" t="s">
        <v>2253</v>
      </c>
      <c r="G2323" s="11" t="s">
        <v>991</v>
      </c>
      <c r="H2323" s="11"/>
      <c r="I2323" s="11" t="s">
        <v>2252</v>
      </c>
      <c r="J2323" s="11" t="s">
        <v>2251</v>
      </c>
      <c r="K2323" s="11" t="s">
        <v>2033</v>
      </c>
      <c r="L2323" s="11"/>
      <c r="M2323" s="12"/>
      <c r="N2323" s="11"/>
      <c r="O2323" s="11" t="s">
        <v>2028</v>
      </c>
    </row>
    <row r="2324" spans="1:15" ht="19.5" customHeight="1" x14ac:dyDescent="0.25">
      <c r="A2324" s="13" t="s">
        <v>991</v>
      </c>
      <c r="B2324" s="13"/>
      <c r="C2324" s="13" t="s">
        <v>2255</v>
      </c>
      <c r="D2324" s="13" t="s">
        <v>1883</v>
      </c>
      <c r="E2324" s="13" t="s">
        <v>2254</v>
      </c>
      <c r="F2324" s="13" t="s">
        <v>2253</v>
      </c>
      <c r="G2324" s="13" t="s">
        <v>991</v>
      </c>
      <c r="H2324" s="13"/>
      <c r="I2324" s="13" t="s">
        <v>2252</v>
      </c>
      <c r="J2324" s="13" t="s">
        <v>2251</v>
      </c>
      <c r="K2324" s="13" t="s">
        <v>2033</v>
      </c>
      <c r="L2324" s="13"/>
      <c r="M2324" s="14"/>
      <c r="N2324" s="13"/>
      <c r="O2324" s="13" t="s">
        <v>2028</v>
      </c>
    </row>
    <row r="2325" spans="1:15" ht="19.5" customHeight="1" x14ac:dyDescent="0.25">
      <c r="A2325" s="11" t="s">
        <v>993</v>
      </c>
      <c r="B2325" s="11"/>
      <c r="C2325" s="11" t="s">
        <v>2250</v>
      </c>
      <c r="D2325" s="11" t="s">
        <v>1883</v>
      </c>
      <c r="E2325" s="11" t="s">
        <v>2249</v>
      </c>
      <c r="F2325" s="11" t="s">
        <v>2248</v>
      </c>
      <c r="G2325" s="11" t="s">
        <v>993</v>
      </c>
      <c r="H2325" s="11" t="s">
        <v>2247</v>
      </c>
      <c r="I2325" s="11" t="s">
        <v>2246</v>
      </c>
      <c r="J2325" s="11" t="s">
        <v>2245</v>
      </c>
      <c r="K2325" s="11" t="s">
        <v>2033</v>
      </c>
      <c r="L2325" s="11"/>
      <c r="M2325" s="12"/>
      <c r="N2325" s="11"/>
      <c r="O2325" s="11" t="s">
        <v>2028</v>
      </c>
    </row>
    <row r="2326" spans="1:15" ht="19.5" customHeight="1" x14ac:dyDescent="0.25">
      <c r="A2326" s="13" t="s">
        <v>995</v>
      </c>
      <c r="B2326" s="13"/>
      <c r="C2326" s="13" t="s">
        <v>2244</v>
      </c>
      <c r="D2326" s="13" t="s">
        <v>1883</v>
      </c>
      <c r="E2326" s="13" t="s">
        <v>2243</v>
      </c>
      <c r="F2326" s="13" t="s">
        <v>2242</v>
      </c>
      <c r="G2326" s="13" t="s">
        <v>995</v>
      </c>
      <c r="H2326" s="13"/>
      <c r="I2326" s="13" t="s">
        <v>2241</v>
      </c>
      <c r="J2326" s="13" t="s">
        <v>2240</v>
      </c>
      <c r="K2326" s="13" t="s">
        <v>2175</v>
      </c>
      <c r="L2326" s="13"/>
      <c r="M2326" s="14"/>
      <c r="N2326" s="13"/>
      <c r="O2326" s="13" t="s">
        <v>2028</v>
      </c>
    </row>
    <row r="2327" spans="1:15" ht="19.5" customHeight="1" x14ac:dyDescent="0.25">
      <c r="A2327" s="11" t="s">
        <v>1510</v>
      </c>
      <c r="B2327" s="11"/>
      <c r="C2327" s="11" t="s">
        <v>2239</v>
      </c>
      <c r="D2327" s="11" t="s">
        <v>1883</v>
      </c>
      <c r="E2327" s="11" t="s">
        <v>2238</v>
      </c>
      <c r="F2327" s="11"/>
      <c r="G2327" s="11" t="s">
        <v>1510</v>
      </c>
      <c r="H2327" s="11"/>
      <c r="I2327" s="11" t="s">
        <v>2237</v>
      </c>
      <c r="J2327" s="11" t="s">
        <v>2236</v>
      </c>
      <c r="K2327" s="11" t="s">
        <v>2033</v>
      </c>
      <c r="L2327" s="11"/>
      <c r="M2327" s="12"/>
      <c r="N2327" s="11"/>
      <c r="O2327" s="11" t="s">
        <v>2028</v>
      </c>
    </row>
    <row r="2328" spans="1:15" ht="19.5" customHeight="1" x14ac:dyDescent="0.25">
      <c r="A2328" s="13" t="s">
        <v>2233</v>
      </c>
      <c r="B2328" s="13"/>
      <c r="C2328" s="13" t="s">
        <v>1073</v>
      </c>
      <c r="D2328" s="13" t="s">
        <v>1883</v>
      </c>
      <c r="E2328" s="13" t="s">
        <v>2235</v>
      </c>
      <c r="F2328" s="13" t="s">
        <v>2234</v>
      </c>
      <c r="G2328" s="13" t="s">
        <v>2233</v>
      </c>
      <c r="H2328" s="13" t="s">
        <v>2232</v>
      </c>
      <c r="I2328" s="13" t="s">
        <v>2231</v>
      </c>
      <c r="J2328" s="13" t="s">
        <v>2230</v>
      </c>
      <c r="K2328" s="13" t="s">
        <v>1952</v>
      </c>
      <c r="L2328" s="13"/>
      <c r="M2328" s="14"/>
      <c r="N2328" s="13"/>
      <c r="O2328" s="13" t="s">
        <v>1945</v>
      </c>
    </row>
    <row r="2329" spans="1:15" ht="19.5" customHeight="1" x14ac:dyDescent="0.25">
      <c r="A2329" s="11" t="s">
        <v>997</v>
      </c>
      <c r="B2329" s="11"/>
      <c r="C2329" s="11" t="s">
        <v>2229</v>
      </c>
      <c r="D2329" s="11" t="s">
        <v>1883</v>
      </c>
      <c r="E2329" s="11" t="s">
        <v>2225</v>
      </c>
      <c r="F2329" s="11" t="s">
        <v>2224</v>
      </c>
      <c r="G2329" s="11" t="s">
        <v>997</v>
      </c>
      <c r="H2329" s="11" t="s">
        <v>2223</v>
      </c>
      <c r="I2329" s="11" t="s">
        <v>2228</v>
      </c>
      <c r="J2329" s="11" t="s">
        <v>2221</v>
      </c>
      <c r="K2329" s="11" t="s">
        <v>2033</v>
      </c>
      <c r="L2329" s="11"/>
      <c r="M2329" s="12"/>
      <c r="N2329" s="11"/>
      <c r="O2329" s="11" t="s">
        <v>2028</v>
      </c>
    </row>
    <row r="2330" spans="1:15" ht="19.5" customHeight="1" x14ac:dyDescent="0.25">
      <c r="A2330" s="13" t="s">
        <v>997</v>
      </c>
      <c r="B2330" s="13"/>
      <c r="C2330" s="13" t="s">
        <v>2227</v>
      </c>
      <c r="D2330" s="13" t="s">
        <v>1883</v>
      </c>
      <c r="E2330" s="13" t="s">
        <v>2225</v>
      </c>
      <c r="F2330" s="13" t="s">
        <v>2224</v>
      </c>
      <c r="G2330" s="13" t="s">
        <v>997</v>
      </c>
      <c r="H2330" s="13" t="s">
        <v>2223</v>
      </c>
      <c r="I2330" s="13" t="s">
        <v>2222</v>
      </c>
      <c r="J2330" s="13" t="s">
        <v>2221</v>
      </c>
      <c r="K2330" s="13" t="s">
        <v>2033</v>
      </c>
      <c r="L2330" s="13"/>
      <c r="M2330" s="14"/>
      <c r="N2330" s="13"/>
      <c r="O2330" s="13" t="s">
        <v>2028</v>
      </c>
    </row>
    <row r="2331" spans="1:15" ht="19.5" customHeight="1" x14ac:dyDescent="0.25">
      <c r="A2331" s="11" t="s">
        <v>997</v>
      </c>
      <c r="B2331" s="11"/>
      <c r="C2331" s="11" t="s">
        <v>2226</v>
      </c>
      <c r="D2331" s="11" t="s">
        <v>1883</v>
      </c>
      <c r="E2331" s="11" t="s">
        <v>2225</v>
      </c>
      <c r="F2331" s="11" t="s">
        <v>2224</v>
      </c>
      <c r="G2331" s="11" t="s">
        <v>997</v>
      </c>
      <c r="H2331" s="11" t="s">
        <v>2223</v>
      </c>
      <c r="I2331" s="11" t="s">
        <v>2222</v>
      </c>
      <c r="J2331" s="11" t="s">
        <v>2221</v>
      </c>
      <c r="K2331" s="11" t="s">
        <v>2033</v>
      </c>
      <c r="L2331" s="11"/>
      <c r="M2331" s="12"/>
      <c r="N2331" s="11"/>
      <c r="O2331" s="11" t="s">
        <v>2028</v>
      </c>
    </row>
    <row r="2332" spans="1:15" ht="19.5" customHeight="1" x14ac:dyDescent="0.25">
      <c r="A2332" s="13" t="s">
        <v>1550</v>
      </c>
      <c r="B2332" s="13"/>
      <c r="C2332" s="13" t="s">
        <v>1549</v>
      </c>
      <c r="D2332" s="13" t="s">
        <v>1950</v>
      </c>
      <c r="E2332" s="13" t="s">
        <v>2220</v>
      </c>
      <c r="F2332" s="13"/>
      <c r="G2332" s="13" t="s">
        <v>1550</v>
      </c>
      <c r="H2332" s="13"/>
      <c r="I2332" s="13" t="s">
        <v>2219</v>
      </c>
      <c r="J2332" s="13" t="s">
        <v>2218</v>
      </c>
      <c r="K2332" s="13" t="s">
        <v>2033</v>
      </c>
      <c r="L2332" s="13"/>
      <c r="M2332" s="14"/>
      <c r="N2332" s="13"/>
      <c r="O2332" s="13" t="s">
        <v>1951</v>
      </c>
    </row>
    <row r="2333" spans="1:15" ht="19.5" customHeight="1" x14ac:dyDescent="0.25">
      <c r="A2333" s="11" t="s">
        <v>1647</v>
      </c>
      <c r="B2333" s="11"/>
      <c r="C2333" s="11" t="s">
        <v>2217</v>
      </c>
      <c r="D2333" s="11" t="s">
        <v>1883</v>
      </c>
      <c r="E2333" s="11" t="s">
        <v>2216</v>
      </c>
      <c r="F2333" s="11"/>
      <c r="G2333" s="11" t="s">
        <v>1647</v>
      </c>
      <c r="H2333" s="11"/>
      <c r="I2333" s="11" t="s">
        <v>2128</v>
      </c>
      <c r="J2333" s="11" t="s">
        <v>2215</v>
      </c>
      <c r="K2333" s="11" t="s">
        <v>1952</v>
      </c>
      <c r="L2333" s="11"/>
      <c r="M2333" s="12"/>
      <c r="N2333" s="11"/>
      <c r="O2333" s="11" t="s">
        <v>2028</v>
      </c>
    </row>
    <row r="2334" spans="1:15" ht="19.5" customHeight="1" x14ac:dyDescent="0.25">
      <c r="A2334" s="13" t="s">
        <v>2214</v>
      </c>
      <c r="B2334" s="13"/>
      <c r="C2334" s="13" t="s">
        <v>2213</v>
      </c>
      <c r="D2334" s="13" t="s">
        <v>1883</v>
      </c>
      <c r="E2334" s="13" t="s">
        <v>2212</v>
      </c>
      <c r="F2334" s="13"/>
      <c r="G2334" s="13" t="s">
        <v>2211</v>
      </c>
      <c r="H2334" s="13"/>
      <c r="I2334" s="13" t="s">
        <v>2210</v>
      </c>
      <c r="J2334" s="13" t="s">
        <v>2205</v>
      </c>
      <c r="K2334" s="13" t="s">
        <v>2122</v>
      </c>
      <c r="L2334" s="13"/>
      <c r="M2334" s="14"/>
      <c r="N2334" s="13"/>
      <c r="O2334" s="13" t="s">
        <v>2028</v>
      </c>
    </row>
    <row r="2335" spans="1:15" ht="19.5" customHeight="1" x14ac:dyDescent="0.25">
      <c r="A2335" s="11" t="s">
        <v>1001</v>
      </c>
      <c r="B2335" s="11"/>
      <c r="C2335" s="11" t="s">
        <v>2209</v>
      </c>
      <c r="D2335" s="11" t="s">
        <v>1883</v>
      </c>
      <c r="E2335" s="11" t="s">
        <v>2206</v>
      </c>
      <c r="F2335" s="11" t="s">
        <v>2202</v>
      </c>
      <c r="G2335" s="11" t="s">
        <v>1001</v>
      </c>
      <c r="H2335" s="11"/>
      <c r="I2335" s="11" t="s">
        <v>1997</v>
      </c>
      <c r="J2335" s="11" t="s">
        <v>2205</v>
      </c>
      <c r="K2335" s="11" t="s">
        <v>2122</v>
      </c>
      <c r="L2335" s="11"/>
      <c r="M2335" s="12"/>
      <c r="N2335" s="11"/>
      <c r="O2335" s="11" t="s">
        <v>2028</v>
      </c>
    </row>
    <row r="2336" spans="1:15" ht="19.5" customHeight="1" x14ac:dyDescent="0.25">
      <c r="A2336" s="13" t="s">
        <v>1001</v>
      </c>
      <c r="B2336" s="13"/>
      <c r="C2336" s="13" t="s">
        <v>2208</v>
      </c>
      <c r="D2336" s="13" t="s">
        <v>1883</v>
      </c>
      <c r="E2336" s="13" t="s">
        <v>2206</v>
      </c>
      <c r="F2336" s="13" t="s">
        <v>2202</v>
      </c>
      <c r="G2336" s="13" t="s">
        <v>1001</v>
      </c>
      <c r="H2336" s="13"/>
      <c r="I2336" s="13" t="s">
        <v>1997</v>
      </c>
      <c r="J2336" s="13" t="s">
        <v>2205</v>
      </c>
      <c r="K2336" s="13" t="s">
        <v>1952</v>
      </c>
      <c r="L2336" s="13"/>
      <c r="M2336" s="14"/>
      <c r="N2336" s="13"/>
      <c r="O2336" s="13" t="s">
        <v>2028</v>
      </c>
    </row>
    <row r="2337" spans="1:15" ht="19.5" customHeight="1" x14ac:dyDescent="0.25">
      <c r="A2337" s="11" t="s">
        <v>1001</v>
      </c>
      <c r="B2337" s="11"/>
      <c r="C2337" s="11" t="s">
        <v>2207</v>
      </c>
      <c r="D2337" s="11" t="s">
        <v>1883</v>
      </c>
      <c r="E2337" s="11" t="s">
        <v>2206</v>
      </c>
      <c r="F2337" s="11" t="s">
        <v>2202</v>
      </c>
      <c r="G2337" s="11" t="s">
        <v>1001</v>
      </c>
      <c r="H2337" s="11"/>
      <c r="I2337" s="11" t="s">
        <v>1997</v>
      </c>
      <c r="J2337" s="11" t="s">
        <v>2205</v>
      </c>
      <c r="K2337" s="11" t="s">
        <v>2122</v>
      </c>
      <c r="L2337" s="11"/>
      <c r="M2337" s="12"/>
      <c r="N2337" s="11"/>
      <c r="O2337" s="11" t="s">
        <v>2028</v>
      </c>
    </row>
    <row r="2338" spans="1:15" ht="19.5" customHeight="1" x14ac:dyDescent="0.25">
      <c r="A2338" s="13" t="s">
        <v>2201</v>
      </c>
      <c r="B2338" s="13"/>
      <c r="C2338" s="13" t="s">
        <v>2204</v>
      </c>
      <c r="D2338" s="13" t="s">
        <v>1883</v>
      </c>
      <c r="E2338" s="13" t="s">
        <v>2203</v>
      </c>
      <c r="F2338" s="13" t="s">
        <v>2202</v>
      </c>
      <c r="G2338" s="13" t="s">
        <v>2201</v>
      </c>
      <c r="H2338" s="13" t="s">
        <v>2200</v>
      </c>
      <c r="I2338" s="13" t="s">
        <v>2199</v>
      </c>
      <c r="J2338" s="13" t="s">
        <v>2198</v>
      </c>
      <c r="K2338" s="13" t="s">
        <v>2122</v>
      </c>
      <c r="L2338" s="13"/>
      <c r="M2338" s="14"/>
      <c r="N2338" s="13"/>
      <c r="O2338" s="13" t="s">
        <v>1945</v>
      </c>
    </row>
    <row r="2339" spans="1:15" ht="19.5" customHeight="1" x14ac:dyDescent="0.25">
      <c r="A2339" s="11" t="s">
        <v>2196</v>
      </c>
      <c r="B2339" s="11"/>
      <c r="C2339" s="11" t="s">
        <v>2197</v>
      </c>
      <c r="D2339" s="11" t="s">
        <v>1883</v>
      </c>
      <c r="E2339" s="11" t="s">
        <v>2195</v>
      </c>
      <c r="F2339" s="11"/>
      <c r="G2339" s="11" t="s">
        <v>2196</v>
      </c>
      <c r="H2339" s="11"/>
      <c r="I2339" s="11"/>
      <c r="J2339" s="11"/>
      <c r="K2339" s="11"/>
      <c r="L2339" s="11"/>
      <c r="M2339" s="12"/>
      <c r="N2339" s="11"/>
      <c r="O2339" s="11" t="s">
        <v>1916</v>
      </c>
    </row>
    <row r="2340" spans="1:15" ht="19.5" customHeight="1" x14ac:dyDescent="0.25">
      <c r="A2340" s="13" t="s">
        <v>1460</v>
      </c>
      <c r="B2340" s="13"/>
      <c r="C2340" s="13" t="s">
        <v>1459</v>
      </c>
      <c r="D2340" s="13" t="s">
        <v>1883</v>
      </c>
      <c r="E2340" s="13" t="s">
        <v>2195</v>
      </c>
      <c r="F2340" s="13"/>
      <c r="G2340" s="13" t="s">
        <v>1460</v>
      </c>
      <c r="H2340" s="13"/>
      <c r="I2340" s="13" t="s">
        <v>2194</v>
      </c>
      <c r="J2340" s="13" t="s">
        <v>2193</v>
      </c>
      <c r="K2340" s="13" t="s">
        <v>2033</v>
      </c>
      <c r="L2340" s="13"/>
      <c r="M2340" s="14"/>
      <c r="N2340" s="13"/>
      <c r="O2340" s="13" t="s">
        <v>1951</v>
      </c>
    </row>
    <row r="2341" spans="1:15" ht="19.5" customHeight="1" x14ac:dyDescent="0.25">
      <c r="A2341" s="11" t="s">
        <v>1584</v>
      </c>
      <c r="B2341" s="11"/>
      <c r="C2341" s="11" t="s">
        <v>2192</v>
      </c>
      <c r="D2341" s="11" t="s">
        <v>1883</v>
      </c>
      <c r="E2341" s="11" t="s">
        <v>2191</v>
      </c>
      <c r="F2341" s="11"/>
      <c r="G2341" s="11" t="s">
        <v>1584</v>
      </c>
      <c r="H2341" s="11"/>
      <c r="I2341" s="11" t="s">
        <v>2190</v>
      </c>
      <c r="J2341" s="11" t="s">
        <v>2185</v>
      </c>
      <c r="K2341" s="11" t="s">
        <v>1952</v>
      </c>
      <c r="L2341" s="11"/>
      <c r="M2341" s="12"/>
      <c r="N2341" s="11"/>
      <c r="O2341" s="11" t="s">
        <v>2028</v>
      </c>
    </row>
    <row r="2342" spans="1:15" ht="19.5" customHeight="1" x14ac:dyDescent="0.25">
      <c r="A2342" s="13" t="s">
        <v>2187</v>
      </c>
      <c r="B2342" s="13"/>
      <c r="C2342" s="13" t="s">
        <v>2189</v>
      </c>
      <c r="D2342" s="13" t="s">
        <v>1883</v>
      </c>
      <c r="E2342" s="13" t="s">
        <v>2188</v>
      </c>
      <c r="F2342" s="13"/>
      <c r="G2342" s="13" t="s">
        <v>2187</v>
      </c>
      <c r="H2342" s="13"/>
      <c r="I2342" s="13" t="s">
        <v>2186</v>
      </c>
      <c r="J2342" s="13" t="s">
        <v>2185</v>
      </c>
      <c r="K2342" s="13" t="s">
        <v>1952</v>
      </c>
      <c r="L2342" s="13"/>
      <c r="M2342" s="14"/>
      <c r="N2342" s="13"/>
      <c r="O2342" s="13" t="s">
        <v>2028</v>
      </c>
    </row>
    <row r="2343" spans="1:15" ht="19.5" customHeight="1" x14ac:dyDescent="0.25">
      <c r="A2343" s="11" t="s">
        <v>1003</v>
      </c>
      <c r="B2343" s="11"/>
      <c r="C2343" s="11" t="s">
        <v>2184</v>
      </c>
      <c r="D2343" s="11" t="s">
        <v>1883</v>
      </c>
      <c r="E2343" s="11" t="s">
        <v>2183</v>
      </c>
      <c r="F2343" s="11"/>
      <c r="G2343" s="11" t="s">
        <v>1003</v>
      </c>
      <c r="H2343" s="11"/>
      <c r="I2343" s="11" t="s">
        <v>2182</v>
      </c>
      <c r="J2343" s="11" t="s">
        <v>2181</v>
      </c>
      <c r="K2343" s="11" t="s">
        <v>1952</v>
      </c>
      <c r="L2343" s="11"/>
      <c r="M2343" s="12"/>
      <c r="N2343" s="11"/>
      <c r="O2343" s="11" t="s">
        <v>2028</v>
      </c>
    </row>
    <row r="2344" spans="1:15" ht="19.5" customHeight="1" x14ac:dyDescent="0.25">
      <c r="A2344" s="13" t="s">
        <v>1005</v>
      </c>
      <c r="B2344" s="13"/>
      <c r="C2344" s="13" t="s">
        <v>2180</v>
      </c>
      <c r="D2344" s="13" t="s">
        <v>1883</v>
      </c>
      <c r="E2344" s="13" t="s">
        <v>2179</v>
      </c>
      <c r="F2344" s="13" t="s">
        <v>2178</v>
      </c>
      <c r="G2344" s="13" t="s">
        <v>1005</v>
      </c>
      <c r="H2344" s="13"/>
      <c r="I2344" s="13" t="s">
        <v>2177</v>
      </c>
      <c r="J2344" s="13" t="s">
        <v>2176</v>
      </c>
      <c r="K2344" s="13" t="s">
        <v>2175</v>
      </c>
      <c r="L2344" s="13"/>
      <c r="M2344" s="14"/>
      <c r="N2344" s="13"/>
      <c r="O2344" s="13" t="s">
        <v>2028</v>
      </c>
    </row>
    <row r="2345" spans="1:15" ht="19.5" customHeight="1" x14ac:dyDescent="0.25">
      <c r="A2345" s="11" t="s">
        <v>1007</v>
      </c>
      <c r="B2345" s="11"/>
      <c r="C2345" s="11" t="s">
        <v>2174</v>
      </c>
      <c r="D2345" s="11" t="s">
        <v>1883</v>
      </c>
      <c r="E2345" s="11" t="s">
        <v>2171</v>
      </c>
      <c r="F2345" s="11" t="s">
        <v>2170</v>
      </c>
      <c r="G2345" s="11" t="s">
        <v>1007</v>
      </c>
      <c r="H2345" s="11"/>
      <c r="I2345" s="11" t="s">
        <v>2169</v>
      </c>
      <c r="J2345" s="11" t="s">
        <v>2168</v>
      </c>
      <c r="K2345" s="11" t="s">
        <v>1952</v>
      </c>
      <c r="L2345" s="11"/>
      <c r="M2345" s="12"/>
      <c r="N2345" s="11"/>
      <c r="O2345" s="11" t="s">
        <v>2028</v>
      </c>
    </row>
    <row r="2346" spans="1:15" ht="19.5" customHeight="1" x14ac:dyDescent="0.25">
      <c r="A2346" s="13" t="s">
        <v>1007</v>
      </c>
      <c r="B2346" s="13"/>
      <c r="C2346" s="13" t="s">
        <v>2173</v>
      </c>
      <c r="D2346" s="13" t="s">
        <v>1883</v>
      </c>
      <c r="E2346" s="13" t="s">
        <v>2171</v>
      </c>
      <c r="F2346" s="13" t="s">
        <v>2170</v>
      </c>
      <c r="G2346" s="13" t="s">
        <v>1007</v>
      </c>
      <c r="H2346" s="13"/>
      <c r="I2346" s="13" t="s">
        <v>2169</v>
      </c>
      <c r="J2346" s="13" t="s">
        <v>2168</v>
      </c>
      <c r="K2346" s="13" t="s">
        <v>1952</v>
      </c>
      <c r="L2346" s="13"/>
      <c r="M2346" s="14"/>
      <c r="N2346" s="13"/>
      <c r="O2346" s="13" t="s">
        <v>2028</v>
      </c>
    </row>
    <row r="2347" spans="1:15" ht="19.5" customHeight="1" x14ac:dyDescent="0.25">
      <c r="A2347" s="11" t="s">
        <v>1007</v>
      </c>
      <c r="B2347" s="11"/>
      <c r="C2347" s="11" t="s">
        <v>2172</v>
      </c>
      <c r="D2347" s="11" t="s">
        <v>1883</v>
      </c>
      <c r="E2347" s="11" t="s">
        <v>2171</v>
      </c>
      <c r="F2347" s="11" t="s">
        <v>2170</v>
      </c>
      <c r="G2347" s="11" t="s">
        <v>1007</v>
      </c>
      <c r="H2347" s="11"/>
      <c r="I2347" s="11" t="s">
        <v>2169</v>
      </c>
      <c r="J2347" s="11" t="s">
        <v>2168</v>
      </c>
      <c r="K2347" s="11" t="s">
        <v>1952</v>
      </c>
      <c r="L2347" s="11"/>
      <c r="M2347" s="12"/>
      <c r="N2347" s="11"/>
      <c r="O2347" s="11" t="s">
        <v>2028</v>
      </c>
    </row>
    <row r="2348" spans="1:15" ht="19.5" customHeight="1" x14ac:dyDescent="0.25">
      <c r="A2348" s="13" t="s">
        <v>1009</v>
      </c>
      <c r="B2348" s="13"/>
      <c r="C2348" s="13" t="s">
        <v>2167</v>
      </c>
      <c r="D2348" s="13" t="s">
        <v>1883</v>
      </c>
      <c r="E2348" s="13" t="s">
        <v>2164</v>
      </c>
      <c r="F2348" s="13"/>
      <c r="G2348" s="13" t="s">
        <v>1009</v>
      </c>
      <c r="H2348" s="13" t="s">
        <v>2163</v>
      </c>
      <c r="I2348" s="13" t="s">
        <v>2162</v>
      </c>
      <c r="J2348" s="13" t="s">
        <v>2161</v>
      </c>
      <c r="K2348" s="13" t="s">
        <v>1952</v>
      </c>
      <c r="L2348" s="13"/>
      <c r="M2348" s="14"/>
      <c r="N2348" s="13"/>
      <c r="O2348" s="13" t="s">
        <v>2028</v>
      </c>
    </row>
    <row r="2349" spans="1:15" ht="19.5" customHeight="1" x14ac:dyDescent="0.25">
      <c r="A2349" s="11" t="s">
        <v>1009</v>
      </c>
      <c r="B2349" s="11"/>
      <c r="C2349" s="11" t="s">
        <v>2166</v>
      </c>
      <c r="D2349" s="11" t="s">
        <v>1883</v>
      </c>
      <c r="E2349" s="11" t="s">
        <v>2164</v>
      </c>
      <c r="F2349" s="11"/>
      <c r="G2349" s="11" t="s">
        <v>1009</v>
      </c>
      <c r="H2349" s="11" t="s">
        <v>2163</v>
      </c>
      <c r="I2349" s="11" t="s">
        <v>2162</v>
      </c>
      <c r="J2349" s="11" t="s">
        <v>2161</v>
      </c>
      <c r="K2349" s="11" t="s">
        <v>1952</v>
      </c>
      <c r="L2349" s="11"/>
      <c r="M2349" s="12"/>
      <c r="N2349" s="11"/>
      <c r="O2349" s="11" t="s">
        <v>2028</v>
      </c>
    </row>
    <row r="2350" spans="1:15" ht="19.5" customHeight="1" x14ac:dyDescent="0.25">
      <c r="A2350" s="13" t="s">
        <v>1009</v>
      </c>
      <c r="B2350" s="13"/>
      <c r="C2350" s="13" t="s">
        <v>2165</v>
      </c>
      <c r="D2350" s="13" t="s">
        <v>1883</v>
      </c>
      <c r="E2350" s="13" t="s">
        <v>2164</v>
      </c>
      <c r="F2350" s="13"/>
      <c r="G2350" s="13" t="s">
        <v>1009</v>
      </c>
      <c r="H2350" s="13" t="s">
        <v>2163</v>
      </c>
      <c r="I2350" s="13" t="s">
        <v>2162</v>
      </c>
      <c r="J2350" s="13" t="s">
        <v>2161</v>
      </c>
      <c r="K2350" s="13" t="s">
        <v>1952</v>
      </c>
      <c r="L2350" s="13"/>
      <c r="M2350" s="14"/>
      <c r="N2350" s="13"/>
      <c r="O2350" s="13" t="s">
        <v>2028</v>
      </c>
    </row>
    <row r="2351" spans="1:15" ht="19.5" customHeight="1" x14ac:dyDescent="0.25">
      <c r="A2351" s="11" t="s">
        <v>2157</v>
      </c>
      <c r="B2351" s="11"/>
      <c r="C2351" s="11" t="s">
        <v>2160</v>
      </c>
      <c r="D2351" s="11" t="s">
        <v>1883</v>
      </c>
      <c r="E2351" s="11" t="s">
        <v>2159</v>
      </c>
      <c r="F2351" s="11" t="s">
        <v>2158</v>
      </c>
      <c r="G2351" s="11" t="s">
        <v>2157</v>
      </c>
      <c r="H2351" s="11"/>
      <c r="I2351" s="11" t="s">
        <v>2156</v>
      </c>
      <c r="J2351" s="11" t="s">
        <v>2155</v>
      </c>
      <c r="K2351" s="11" t="s">
        <v>1952</v>
      </c>
      <c r="L2351" s="11"/>
      <c r="M2351" s="12"/>
      <c r="N2351" s="11"/>
      <c r="O2351" s="11" t="s">
        <v>2028</v>
      </c>
    </row>
    <row r="2352" spans="1:15" ht="19.5" customHeight="1" x14ac:dyDescent="0.25">
      <c r="A2352" s="13" t="s">
        <v>2152</v>
      </c>
      <c r="B2352" s="13"/>
      <c r="C2352" s="13" t="s">
        <v>2154</v>
      </c>
      <c r="D2352" s="13" t="s">
        <v>1883</v>
      </c>
      <c r="E2352" s="13" t="s">
        <v>2153</v>
      </c>
      <c r="F2352" s="13"/>
      <c r="G2352" s="13" t="s">
        <v>2152</v>
      </c>
      <c r="H2352" s="13"/>
      <c r="I2352" s="13"/>
      <c r="J2352" s="13"/>
      <c r="K2352" s="13"/>
      <c r="L2352" s="13"/>
      <c r="M2352" s="14"/>
      <c r="N2352" s="13"/>
      <c r="O2352" s="13" t="s">
        <v>1945</v>
      </c>
    </row>
    <row r="2353" spans="1:15" ht="19.5" customHeight="1" x14ac:dyDescent="0.25">
      <c r="A2353" s="11" t="s">
        <v>2148</v>
      </c>
      <c r="B2353" s="11"/>
      <c r="C2353" s="11" t="s">
        <v>2151</v>
      </c>
      <c r="D2353" s="11" t="s">
        <v>1883</v>
      </c>
      <c r="E2353" s="11" t="s">
        <v>2150</v>
      </c>
      <c r="F2353" s="11" t="s">
        <v>2149</v>
      </c>
      <c r="G2353" s="11" t="s">
        <v>2148</v>
      </c>
      <c r="H2353" s="11"/>
      <c r="I2353" s="11" t="s">
        <v>2147</v>
      </c>
      <c r="J2353" s="11" t="s">
        <v>2146</v>
      </c>
      <c r="K2353" s="11" t="s">
        <v>2033</v>
      </c>
      <c r="L2353" s="11"/>
      <c r="M2353" s="12"/>
      <c r="N2353" s="11"/>
      <c r="O2353" s="11" t="s">
        <v>1916</v>
      </c>
    </row>
    <row r="2354" spans="1:15" ht="19.5" customHeight="1" x14ac:dyDescent="0.25">
      <c r="A2354" s="13" t="s">
        <v>1350</v>
      </c>
      <c r="B2354" s="13"/>
      <c r="C2354" s="13" t="s">
        <v>2145</v>
      </c>
      <c r="D2354" s="13" t="s">
        <v>1883</v>
      </c>
      <c r="E2354" s="13"/>
      <c r="F2354" s="13"/>
      <c r="G2354" s="13" t="s">
        <v>1350</v>
      </c>
      <c r="H2354" s="13"/>
      <c r="I2354" s="13"/>
      <c r="J2354" s="13"/>
      <c r="K2354" s="13" t="s">
        <v>2033</v>
      </c>
      <c r="L2354" s="13"/>
      <c r="M2354" s="14"/>
      <c r="N2354" s="13"/>
      <c r="O2354" s="13" t="s">
        <v>2028</v>
      </c>
    </row>
    <row r="2355" spans="1:15" ht="19.5" customHeight="1" x14ac:dyDescent="0.25">
      <c r="A2355" s="11" t="s">
        <v>2142</v>
      </c>
      <c r="B2355" s="11"/>
      <c r="C2355" s="11" t="s">
        <v>2144</v>
      </c>
      <c r="D2355" s="11" t="s">
        <v>1883</v>
      </c>
      <c r="E2355" s="11" t="s">
        <v>2143</v>
      </c>
      <c r="F2355" s="11"/>
      <c r="G2355" s="11" t="s">
        <v>2142</v>
      </c>
      <c r="H2355" s="11"/>
      <c r="I2355" s="11"/>
      <c r="J2355" s="11"/>
      <c r="K2355" s="11"/>
      <c r="L2355" s="11"/>
      <c r="M2355" s="12"/>
      <c r="N2355" s="11"/>
      <c r="O2355" s="11" t="s">
        <v>1945</v>
      </c>
    </row>
    <row r="2356" spans="1:15" ht="19.5" customHeight="1" x14ac:dyDescent="0.25">
      <c r="A2356" s="13" t="s">
        <v>1011</v>
      </c>
      <c r="B2356" s="13"/>
      <c r="C2356" s="13" t="s">
        <v>2141</v>
      </c>
      <c r="D2356" s="13" t="s">
        <v>1883</v>
      </c>
      <c r="E2356" s="13" t="s">
        <v>2138</v>
      </c>
      <c r="F2356" s="13" t="s">
        <v>2137</v>
      </c>
      <c r="G2356" s="13" t="s">
        <v>1011</v>
      </c>
      <c r="H2356" s="13" t="s">
        <v>2136</v>
      </c>
      <c r="I2356" s="13" t="s">
        <v>2135</v>
      </c>
      <c r="J2356" s="13" t="s">
        <v>2134</v>
      </c>
      <c r="K2356" s="13" t="s">
        <v>2033</v>
      </c>
      <c r="L2356" s="13"/>
      <c r="M2356" s="14"/>
      <c r="N2356" s="13"/>
      <c r="O2356" s="13" t="s">
        <v>2028</v>
      </c>
    </row>
    <row r="2357" spans="1:15" ht="19.5" customHeight="1" x14ac:dyDescent="0.25">
      <c r="A2357" s="11" t="s">
        <v>1011</v>
      </c>
      <c r="B2357" s="11"/>
      <c r="C2357" s="11" t="s">
        <v>2140</v>
      </c>
      <c r="D2357" s="11" t="s">
        <v>1883</v>
      </c>
      <c r="E2357" s="11" t="s">
        <v>2138</v>
      </c>
      <c r="F2357" s="11" t="s">
        <v>2137</v>
      </c>
      <c r="G2357" s="11" t="s">
        <v>1011</v>
      </c>
      <c r="H2357" s="11" t="s">
        <v>2136</v>
      </c>
      <c r="I2357" s="11" t="s">
        <v>2135</v>
      </c>
      <c r="J2357" s="11" t="s">
        <v>2134</v>
      </c>
      <c r="K2357" s="11" t="s">
        <v>2033</v>
      </c>
      <c r="L2357" s="11"/>
      <c r="M2357" s="12"/>
      <c r="N2357" s="11"/>
      <c r="O2357" s="11" t="s">
        <v>2028</v>
      </c>
    </row>
    <row r="2358" spans="1:15" ht="19.5" customHeight="1" x14ac:dyDescent="0.25">
      <c r="A2358" s="13" t="s">
        <v>1011</v>
      </c>
      <c r="B2358" s="13"/>
      <c r="C2358" s="13" t="s">
        <v>2139</v>
      </c>
      <c r="D2358" s="13" t="s">
        <v>1883</v>
      </c>
      <c r="E2358" s="13" t="s">
        <v>2138</v>
      </c>
      <c r="F2358" s="13" t="s">
        <v>2137</v>
      </c>
      <c r="G2358" s="13" t="s">
        <v>1011</v>
      </c>
      <c r="H2358" s="13" t="s">
        <v>2136</v>
      </c>
      <c r="I2358" s="13" t="s">
        <v>2135</v>
      </c>
      <c r="J2358" s="13" t="s">
        <v>2134</v>
      </c>
      <c r="K2358" s="13" t="s">
        <v>2033</v>
      </c>
      <c r="L2358" s="13"/>
      <c r="M2358" s="14"/>
      <c r="N2358" s="13"/>
      <c r="O2358" s="13" t="s">
        <v>2028</v>
      </c>
    </row>
    <row r="2359" spans="1:15" ht="19.5" customHeight="1" x14ac:dyDescent="0.25">
      <c r="A2359" s="11" t="s">
        <v>1013</v>
      </c>
      <c r="B2359" s="11"/>
      <c r="C2359" s="11" t="s">
        <v>2133</v>
      </c>
      <c r="D2359" s="11" t="s">
        <v>1883</v>
      </c>
      <c r="E2359" s="11" t="s">
        <v>2130</v>
      </c>
      <c r="F2359" s="11" t="s">
        <v>2129</v>
      </c>
      <c r="G2359" s="11" t="s">
        <v>1013</v>
      </c>
      <c r="H2359" s="11"/>
      <c r="I2359" s="11" t="s">
        <v>2128</v>
      </c>
      <c r="J2359" s="11" t="s">
        <v>2127</v>
      </c>
      <c r="K2359" s="11" t="s">
        <v>1952</v>
      </c>
      <c r="L2359" s="11"/>
      <c r="M2359" s="12"/>
      <c r="N2359" s="11"/>
      <c r="O2359" s="11" t="s">
        <v>2028</v>
      </c>
    </row>
    <row r="2360" spans="1:15" ht="19.5" customHeight="1" x14ac:dyDescent="0.25">
      <c r="A2360" s="13" t="s">
        <v>1013</v>
      </c>
      <c r="B2360" s="13"/>
      <c r="C2360" s="13" t="s">
        <v>2132</v>
      </c>
      <c r="D2360" s="13" t="s">
        <v>1883</v>
      </c>
      <c r="E2360" s="13" t="s">
        <v>2130</v>
      </c>
      <c r="F2360" s="13" t="s">
        <v>2129</v>
      </c>
      <c r="G2360" s="13" t="s">
        <v>1013</v>
      </c>
      <c r="H2360" s="13"/>
      <c r="I2360" s="13" t="s">
        <v>2128</v>
      </c>
      <c r="J2360" s="13" t="s">
        <v>2127</v>
      </c>
      <c r="K2360" s="13" t="s">
        <v>1952</v>
      </c>
      <c r="L2360" s="13"/>
      <c r="M2360" s="14"/>
      <c r="N2360" s="13"/>
      <c r="O2360" s="13" t="s">
        <v>2028</v>
      </c>
    </row>
    <row r="2361" spans="1:15" ht="19.5" customHeight="1" x14ac:dyDescent="0.25">
      <c r="A2361" s="11" t="s">
        <v>1013</v>
      </c>
      <c r="B2361" s="11"/>
      <c r="C2361" s="11" t="s">
        <v>2131</v>
      </c>
      <c r="D2361" s="11" t="s">
        <v>1883</v>
      </c>
      <c r="E2361" s="11" t="s">
        <v>2130</v>
      </c>
      <c r="F2361" s="11" t="s">
        <v>2129</v>
      </c>
      <c r="G2361" s="11" t="s">
        <v>1013</v>
      </c>
      <c r="H2361" s="11"/>
      <c r="I2361" s="11" t="s">
        <v>2128</v>
      </c>
      <c r="J2361" s="11" t="s">
        <v>2127</v>
      </c>
      <c r="K2361" s="11" t="s">
        <v>1952</v>
      </c>
      <c r="L2361" s="11"/>
      <c r="M2361" s="12"/>
      <c r="N2361" s="11"/>
      <c r="O2361" s="11" t="s">
        <v>2028</v>
      </c>
    </row>
    <row r="2362" spans="1:15" ht="19.5" customHeight="1" x14ac:dyDescent="0.25">
      <c r="A2362" s="13" t="s">
        <v>1015</v>
      </c>
      <c r="B2362" s="13"/>
      <c r="C2362" s="13" t="s">
        <v>2126</v>
      </c>
      <c r="D2362" s="13" t="s">
        <v>1883</v>
      </c>
      <c r="E2362" s="13" t="s">
        <v>2125</v>
      </c>
      <c r="F2362" s="13"/>
      <c r="G2362" s="13" t="s">
        <v>1015</v>
      </c>
      <c r="H2362" s="13"/>
      <c r="I2362" s="13" t="s">
        <v>2124</v>
      </c>
      <c r="J2362" s="13" t="s">
        <v>2123</v>
      </c>
      <c r="K2362" s="13" t="s">
        <v>2122</v>
      </c>
      <c r="L2362" s="13"/>
      <c r="M2362" s="14"/>
      <c r="N2362" s="13"/>
      <c r="O2362" s="13" t="s">
        <v>2028</v>
      </c>
    </row>
    <row r="2363" spans="1:15" ht="19.5" customHeight="1" x14ac:dyDescent="0.25">
      <c r="A2363" s="11" t="s">
        <v>1671</v>
      </c>
      <c r="B2363" s="11"/>
      <c r="C2363" s="11" t="s">
        <v>2121</v>
      </c>
      <c r="D2363" s="11" t="s">
        <v>1883</v>
      </c>
      <c r="E2363" s="11" t="s">
        <v>2120</v>
      </c>
      <c r="F2363" s="11"/>
      <c r="G2363" s="11" t="s">
        <v>1671</v>
      </c>
      <c r="H2363" s="11"/>
      <c r="I2363" s="11" t="s">
        <v>2119</v>
      </c>
      <c r="J2363" s="11" t="s">
        <v>2118</v>
      </c>
      <c r="K2363" s="11" t="s">
        <v>2117</v>
      </c>
      <c r="L2363" s="11"/>
      <c r="M2363" s="12"/>
      <c r="N2363" s="11"/>
      <c r="O2363" s="11" t="s">
        <v>1877</v>
      </c>
    </row>
    <row r="2364" spans="1:15" ht="19.5" customHeight="1" x14ac:dyDescent="0.25">
      <c r="A2364" s="13" t="s">
        <v>1017</v>
      </c>
      <c r="B2364" s="13"/>
      <c r="C2364" s="13" t="s">
        <v>2116</v>
      </c>
      <c r="D2364" s="13" t="s">
        <v>1950</v>
      </c>
      <c r="E2364" s="13" t="s">
        <v>2115</v>
      </c>
      <c r="F2364" s="13"/>
      <c r="G2364" s="13" t="s">
        <v>1017</v>
      </c>
      <c r="H2364" s="13"/>
      <c r="I2364" s="13"/>
      <c r="J2364" s="13"/>
      <c r="K2364" s="13"/>
      <c r="L2364" s="13"/>
      <c r="M2364" s="14"/>
      <c r="N2364" s="13"/>
      <c r="O2364" s="13" t="s">
        <v>1877</v>
      </c>
    </row>
    <row r="2365" spans="1:15" ht="19.5" customHeight="1" x14ac:dyDescent="0.25">
      <c r="A2365" s="11" t="s">
        <v>1673</v>
      </c>
      <c r="B2365" s="11"/>
      <c r="C2365" s="11" t="s">
        <v>2114</v>
      </c>
      <c r="D2365" s="11" t="s">
        <v>1883</v>
      </c>
      <c r="E2365" s="11" t="s">
        <v>2113</v>
      </c>
      <c r="F2365" s="11"/>
      <c r="G2365" s="11" t="s">
        <v>1673</v>
      </c>
      <c r="H2365" s="11"/>
      <c r="I2365" s="11" t="s">
        <v>2112</v>
      </c>
      <c r="J2365" s="11" t="s">
        <v>2111</v>
      </c>
      <c r="K2365" s="11" t="s">
        <v>1878</v>
      </c>
      <c r="L2365" s="11"/>
      <c r="M2365" s="12"/>
      <c r="N2365" s="11"/>
      <c r="O2365" s="11" t="s">
        <v>1877</v>
      </c>
    </row>
    <row r="2366" spans="1:15" ht="19.5" customHeight="1" x14ac:dyDescent="0.25">
      <c r="A2366" s="13" t="s">
        <v>2109</v>
      </c>
      <c r="B2366" s="13"/>
      <c r="C2366" s="13" t="s">
        <v>2110</v>
      </c>
      <c r="D2366" s="13" t="s">
        <v>1883</v>
      </c>
      <c r="E2366" s="13" t="s">
        <v>2105</v>
      </c>
      <c r="F2366" s="13"/>
      <c r="G2366" s="13" t="s">
        <v>2109</v>
      </c>
      <c r="H2366" s="13"/>
      <c r="I2366" s="13"/>
      <c r="J2366" s="13"/>
      <c r="K2366" s="13"/>
      <c r="L2366" s="13"/>
      <c r="M2366" s="14"/>
      <c r="N2366" s="13"/>
      <c r="O2366" s="13" t="s">
        <v>1916</v>
      </c>
    </row>
    <row r="2367" spans="1:15" ht="19.5" customHeight="1" x14ac:dyDescent="0.25">
      <c r="A2367" s="11" t="s">
        <v>1019</v>
      </c>
      <c r="B2367" s="11"/>
      <c r="C2367" s="11" t="s">
        <v>2108</v>
      </c>
      <c r="D2367" s="11" t="s">
        <v>1883</v>
      </c>
      <c r="E2367" s="11" t="s">
        <v>2105</v>
      </c>
      <c r="F2367" s="11"/>
      <c r="G2367" s="11" t="s">
        <v>1019</v>
      </c>
      <c r="H2367" s="11"/>
      <c r="I2367" s="11" t="s">
        <v>2104</v>
      </c>
      <c r="J2367" s="11" t="s">
        <v>2103</v>
      </c>
      <c r="K2367" s="11" t="s">
        <v>1878</v>
      </c>
      <c r="L2367" s="11"/>
      <c r="M2367" s="12"/>
      <c r="N2367" s="11"/>
      <c r="O2367" s="11" t="s">
        <v>1877</v>
      </c>
    </row>
    <row r="2368" spans="1:15" ht="19.5" customHeight="1" x14ac:dyDescent="0.25">
      <c r="A2368" s="13" t="s">
        <v>1019</v>
      </c>
      <c r="B2368" s="13"/>
      <c r="C2368" s="13" t="s">
        <v>2107</v>
      </c>
      <c r="D2368" s="13" t="s">
        <v>1883</v>
      </c>
      <c r="E2368" s="13" t="s">
        <v>2105</v>
      </c>
      <c r="F2368" s="13"/>
      <c r="G2368" s="13" t="s">
        <v>1019</v>
      </c>
      <c r="H2368" s="13"/>
      <c r="I2368" s="13" t="s">
        <v>2104</v>
      </c>
      <c r="J2368" s="13" t="s">
        <v>2103</v>
      </c>
      <c r="K2368" s="13" t="s">
        <v>1878</v>
      </c>
      <c r="L2368" s="13"/>
      <c r="M2368" s="14"/>
      <c r="N2368" s="13"/>
      <c r="O2368" s="13" t="s">
        <v>1877</v>
      </c>
    </row>
    <row r="2369" spans="1:15" ht="19.5" customHeight="1" x14ac:dyDescent="0.25">
      <c r="A2369" s="11" t="s">
        <v>1019</v>
      </c>
      <c r="B2369" s="11"/>
      <c r="C2369" s="11" t="s">
        <v>2106</v>
      </c>
      <c r="D2369" s="11" t="s">
        <v>1883</v>
      </c>
      <c r="E2369" s="11" t="s">
        <v>2105</v>
      </c>
      <c r="F2369" s="11"/>
      <c r="G2369" s="11" t="s">
        <v>1019</v>
      </c>
      <c r="H2369" s="11"/>
      <c r="I2369" s="11" t="s">
        <v>2104</v>
      </c>
      <c r="J2369" s="11" t="s">
        <v>2103</v>
      </c>
      <c r="K2369" s="11" t="s">
        <v>1878</v>
      </c>
      <c r="L2369" s="11"/>
      <c r="M2369" s="12"/>
      <c r="N2369" s="11"/>
      <c r="O2369" s="11" t="s">
        <v>1877</v>
      </c>
    </row>
    <row r="2370" spans="1:15" ht="19.5" customHeight="1" x14ac:dyDescent="0.25">
      <c r="A2370" s="13" t="s">
        <v>2097</v>
      </c>
      <c r="B2370" s="13"/>
      <c r="C2370" s="13" t="s">
        <v>2102</v>
      </c>
      <c r="D2370" s="13" t="s">
        <v>1883</v>
      </c>
      <c r="E2370" s="13" t="s">
        <v>2101</v>
      </c>
      <c r="F2370" s="13"/>
      <c r="G2370" s="13" t="s">
        <v>2097</v>
      </c>
      <c r="H2370" s="13"/>
      <c r="I2370" s="13" t="s">
        <v>2100</v>
      </c>
      <c r="J2370" s="13" t="s">
        <v>2094</v>
      </c>
      <c r="K2370" s="13" t="s">
        <v>2093</v>
      </c>
      <c r="L2370" s="13"/>
      <c r="M2370" s="14"/>
      <c r="N2370" s="13"/>
      <c r="O2370" s="13" t="s">
        <v>1877</v>
      </c>
    </row>
    <row r="2371" spans="1:15" ht="19.5" customHeight="1" x14ac:dyDescent="0.25">
      <c r="A2371" s="11" t="s">
        <v>2097</v>
      </c>
      <c r="B2371" s="11"/>
      <c r="C2371" s="11" t="s">
        <v>2099</v>
      </c>
      <c r="D2371" s="11" t="s">
        <v>1883</v>
      </c>
      <c r="E2371" s="11" t="s">
        <v>2098</v>
      </c>
      <c r="F2371" s="11"/>
      <c r="G2371" s="11" t="s">
        <v>2097</v>
      </c>
      <c r="H2371" s="11" t="s">
        <v>2096</v>
      </c>
      <c r="I2371" s="11" t="s">
        <v>2095</v>
      </c>
      <c r="J2371" s="11" t="s">
        <v>2094</v>
      </c>
      <c r="K2371" s="11" t="s">
        <v>2093</v>
      </c>
      <c r="L2371" s="11"/>
      <c r="M2371" s="12"/>
      <c r="N2371" s="11"/>
      <c r="O2371" s="11" t="s">
        <v>1877</v>
      </c>
    </row>
    <row r="2372" spans="1:15" ht="19.5" customHeight="1" x14ac:dyDescent="0.25">
      <c r="A2372" s="13" t="s">
        <v>2091</v>
      </c>
      <c r="B2372" s="13"/>
      <c r="C2372" s="13" t="s">
        <v>2092</v>
      </c>
      <c r="D2372" s="13" t="s">
        <v>1883</v>
      </c>
      <c r="E2372" s="13"/>
      <c r="F2372" s="13"/>
      <c r="G2372" s="13" t="s">
        <v>2091</v>
      </c>
      <c r="H2372" s="13"/>
      <c r="I2372" s="13"/>
      <c r="J2372" s="13"/>
      <c r="K2372" s="13"/>
      <c r="L2372" s="13"/>
      <c r="M2372" s="14"/>
      <c r="N2372" s="13"/>
      <c r="O2372" s="13"/>
    </row>
    <row r="2373" spans="1:15" ht="19.5" customHeight="1" x14ac:dyDescent="0.25">
      <c r="A2373" s="11" t="s">
        <v>2088</v>
      </c>
      <c r="B2373" s="11"/>
      <c r="C2373" s="11" t="s">
        <v>2090</v>
      </c>
      <c r="D2373" s="11" t="s">
        <v>1883</v>
      </c>
      <c r="E2373" s="11" t="s">
        <v>2089</v>
      </c>
      <c r="F2373" s="11"/>
      <c r="G2373" s="11" t="s">
        <v>2088</v>
      </c>
      <c r="H2373" s="11" t="s">
        <v>2087</v>
      </c>
      <c r="I2373" s="11" t="s">
        <v>2086</v>
      </c>
      <c r="J2373" s="11" t="s">
        <v>2085</v>
      </c>
      <c r="K2373" s="11" t="s">
        <v>2033</v>
      </c>
      <c r="L2373" s="11"/>
      <c r="M2373" s="12"/>
      <c r="N2373" s="11"/>
      <c r="O2373" s="11" t="s">
        <v>1945</v>
      </c>
    </row>
    <row r="2374" spans="1:15" ht="19.5" customHeight="1" x14ac:dyDescent="0.25">
      <c r="A2374" s="13" t="s">
        <v>1022</v>
      </c>
      <c r="B2374" s="13"/>
      <c r="C2374" s="13" t="s">
        <v>2084</v>
      </c>
      <c r="D2374" s="13" t="s">
        <v>1883</v>
      </c>
      <c r="E2374" s="13" t="s">
        <v>2080</v>
      </c>
      <c r="F2374" s="13"/>
      <c r="G2374" s="13" t="s">
        <v>1022</v>
      </c>
      <c r="H2374" s="13" t="s">
        <v>2079</v>
      </c>
      <c r="I2374" s="13" t="s">
        <v>2078</v>
      </c>
      <c r="J2374" s="13" t="s">
        <v>2077</v>
      </c>
      <c r="K2374" s="13" t="s">
        <v>1901</v>
      </c>
      <c r="L2374" s="13"/>
      <c r="M2374" s="14"/>
      <c r="N2374" s="13"/>
      <c r="O2374" s="13" t="s">
        <v>1877</v>
      </c>
    </row>
    <row r="2375" spans="1:15" ht="19.5" customHeight="1" x14ac:dyDescent="0.25">
      <c r="A2375" s="11" t="s">
        <v>1022</v>
      </c>
      <c r="B2375" s="11"/>
      <c r="C2375" s="11" t="s">
        <v>2083</v>
      </c>
      <c r="D2375" s="11" t="s">
        <v>1883</v>
      </c>
      <c r="E2375" s="11" t="s">
        <v>2082</v>
      </c>
      <c r="F2375" s="11"/>
      <c r="G2375" s="11" t="s">
        <v>1022</v>
      </c>
      <c r="H2375" s="11" t="s">
        <v>2079</v>
      </c>
      <c r="I2375" s="11" t="s">
        <v>2078</v>
      </c>
      <c r="J2375" s="11" t="s">
        <v>2077</v>
      </c>
      <c r="K2375" s="11" t="s">
        <v>1901</v>
      </c>
      <c r="L2375" s="11"/>
      <c r="M2375" s="12"/>
      <c r="N2375" s="11"/>
      <c r="O2375" s="11" t="s">
        <v>1877</v>
      </c>
    </row>
    <row r="2376" spans="1:15" ht="19.5" customHeight="1" x14ac:dyDescent="0.25">
      <c r="A2376" s="13" t="s">
        <v>1022</v>
      </c>
      <c r="B2376" s="13"/>
      <c r="C2376" s="13" t="s">
        <v>2081</v>
      </c>
      <c r="D2376" s="13" t="s">
        <v>1883</v>
      </c>
      <c r="E2376" s="13" t="s">
        <v>2080</v>
      </c>
      <c r="F2376" s="13"/>
      <c r="G2376" s="13" t="s">
        <v>1022</v>
      </c>
      <c r="H2376" s="13" t="s">
        <v>2079</v>
      </c>
      <c r="I2376" s="13" t="s">
        <v>2078</v>
      </c>
      <c r="J2376" s="13" t="s">
        <v>2077</v>
      </c>
      <c r="K2376" s="13" t="s">
        <v>1901</v>
      </c>
      <c r="L2376" s="13"/>
      <c r="M2376" s="14"/>
      <c r="N2376" s="13"/>
      <c r="O2376" s="13" t="s">
        <v>1877</v>
      </c>
    </row>
    <row r="2377" spans="1:15" ht="19.5" customHeight="1" x14ac:dyDescent="0.25">
      <c r="A2377" s="11" t="s">
        <v>2073</v>
      </c>
      <c r="B2377" s="11"/>
      <c r="C2377" s="11" t="s">
        <v>2076</v>
      </c>
      <c r="D2377" s="11" t="s">
        <v>1883</v>
      </c>
      <c r="E2377" s="11"/>
      <c r="F2377" s="11"/>
      <c r="G2377" s="11" t="s">
        <v>2073</v>
      </c>
      <c r="H2377" s="11"/>
      <c r="I2377" s="11"/>
      <c r="J2377" s="11"/>
      <c r="K2377" s="11"/>
      <c r="L2377" s="11"/>
      <c r="M2377" s="12"/>
      <c r="N2377" s="11"/>
      <c r="O2377" s="11"/>
    </row>
    <row r="2378" spans="1:15" ht="19.5" customHeight="1" x14ac:dyDescent="0.25">
      <c r="A2378" s="13" t="s">
        <v>2073</v>
      </c>
      <c r="B2378" s="13"/>
      <c r="C2378" s="13" t="s">
        <v>2075</v>
      </c>
      <c r="D2378" s="13" t="s">
        <v>1883</v>
      </c>
      <c r="E2378" s="13"/>
      <c r="F2378" s="13"/>
      <c r="G2378" s="13" t="s">
        <v>2073</v>
      </c>
      <c r="H2378" s="13"/>
      <c r="I2378" s="13"/>
      <c r="J2378" s="13"/>
      <c r="K2378" s="13"/>
      <c r="L2378" s="13"/>
      <c r="M2378" s="14"/>
      <c r="N2378" s="13"/>
      <c r="O2378" s="13"/>
    </row>
    <row r="2379" spans="1:15" ht="19.5" customHeight="1" x14ac:dyDescent="0.25">
      <c r="A2379" s="11" t="s">
        <v>2073</v>
      </c>
      <c r="B2379" s="11"/>
      <c r="C2379" s="11" t="s">
        <v>2074</v>
      </c>
      <c r="D2379" s="11" t="s">
        <v>1883</v>
      </c>
      <c r="E2379" s="11"/>
      <c r="F2379" s="11"/>
      <c r="G2379" s="11" t="s">
        <v>2073</v>
      </c>
      <c r="H2379" s="11"/>
      <c r="I2379" s="11"/>
      <c r="J2379" s="11"/>
      <c r="K2379" s="11"/>
      <c r="L2379" s="11"/>
      <c r="M2379" s="12"/>
      <c r="N2379" s="11"/>
      <c r="O2379" s="11"/>
    </row>
    <row r="2380" spans="1:15" ht="19.5" customHeight="1" x14ac:dyDescent="0.25">
      <c r="A2380" s="13" t="s">
        <v>1458</v>
      </c>
      <c r="B2380" s="13"/>
      <c r="C2380" s="13" t="s">
        <v>2072</v>
      </c>
      <c r="D2380" s="13" t="s">
        <v>1883</v>
      </c>
      <c r="E2380" s="13" t="s">
        <v>2070</v>
      </c>
      <c r="F2380" s="13"/>
      <c r="G2380" s="13" t="s">
        <v>1458</v>
      </c>
      <c r="H2380" s="13"/>
      <c r="I2380" s="13" t="s">
        <v>2069</v>
      </c>
      <c r="J2380" s="13" t="s">
        <v>2068</v>
      </c>
      <c r="K2380" s="13" t="s">
        <v>2033</v>
      </c>
      <c r="L2380" s="13"/>
      <c r="M2380" s="14"/>
      <c r="N2380" s="13"/>
      <c r="O2380" s="13" t="s">
        <v>2028</v>
      </c>
    </row>
    <row r="2381" spans="1:15" ht="19.5" customHeight="1" x14ac:dyDescent="0.25">
      <c r="A2381" s="11" t="s">
        <v>1458</v>
      </c>
      <c r="B2381" s="11"/>
      <c r="C2381" s="11" t="s">
        <v>2071</v>
      </c>
      <c r="D2381" s="11" t="s">
        <v>1883</v>
      </c>
      <c r="E2381" s="11" t="s">
        <v>2070</v>
      </c>
      <c r="F2381" s="11"/>
      <c r="G2381" s="11" t="s">
        <v>1458</v>
      </c>
      <c r="H2381" s="11"/>
      <c r="I2381" s="11" t="s">
        <v>2069</v>
      </c>
      <c r="J2381" s="11" t="s">
        <v>2068</v>
      </c>
      <c r="K2381" s="11" t="s">
        <v>2033</v>
      </c>
      <c r="L2381" s="11"/>
      <c r="M2381" s="12"/>
      <c r="N2381" s="11"/>
      <c r="O2381" s="11" t="s">
        <v>2028</v>
      </c>
    </row>
    <row r="2382" spans="1:15" ht="19.5" customHeight="1" x14ac:dyDescent="0.25">
      <c r="A2382" s="13" t="s">
        <v>1024</v>
      </c>
      <c r="B2382" s="13"/>
      <c r="C2382" s="13" t="s">
        <v>2067</v>
      </c>
      <c r="D2382" s="13" t="s">
        <v>1883</v>
      </c>
      <c r="E2382" s="13" t="s">
        <v>2064</v>
      </c>
      <c r="F2382" s="13" t="s">
        <v>2063</v>
      </c>
      <c r="G2382" s="13" t="s">
        <v>1024</v>
      </c>
      <c r="H2382" s="13"/>
      <c r="I2382" s="13" t="s">
        <v>2062</v>
      </c>
      <c r="J2382" s="13" t="s">
        <v>2061</v>
      </c>
      <c r="K2382" s="13" t="s">
        <v>2033</v>
      </c>
      <c r="L2382" s="13"/>
      <c r="M2382" s="14"/>
      <c r="N2382" s="13"/>
      <c r="O2382" s="13" t="s">
        <v>2028</v>
      </c>
    </row>
    <row r="2383" spans="1:15" ht="19.5" customHeight="1" x14ac:dyDescent="0.25">
      <c r="A2383" s="11" t="s">
        <v>1024</v>
      </c>
      <c r="B2383" s="11"/>
      <c r="C2383" s="11" t="s">
        <v>2066</v>
      </c>
      <c r="D2383" s="11" t="s">
        <v>1883</v>
      </c>
      <c r="E2383" s="11" t="s">
        <v>2064</v>
      </c>
      <c r="F2383" s="11" t="s">
        <v>2063</v>
      </c>
      <c r="G2383" s="11" t="s">
        <v>1024</v>
      </c>
      <c r="H2383" s="11"/>
      <c r="I2383" s="11" t="s">
        <v>2062</v>
      </c>
      <c r="J2383" s="11" t="s">
        <v>2061</v>
      </c>
      <c r="K2383" s="11" t="s">
        <v>2033</v>
      </c>
      <c r="L2383" s="11"/>
      <c r="M2383" s="12"/>
      <c r="N2383" s="11"/>
      <c r="O2383" s="11" t="s">
        <v>2028</v>
      </c>
    </row>
    <row r="2384" spans="1:15" ht="19.5" customHeight="1" x14ac:dyDescent="0.25">
      <c r="A2384" s="13" t="s">
        <v>1024</v>
      </c>
      <c r="B2384" s="13"/>
      <c r="C2384" s="13" t="s">
        <v>2065</v>
      </c>
      <c r="D2384" s="13" t="s">
        <v>1883</v>
      </c>
      <c r="E2384" s="13" t="s">
        <v>2064</v>
      </c>
      <c r="F2384" s="13" t="s">
        <v>2063</v>
      </c>
      <c r="G2384" s="13" t="s">
        <v>1024</v>
      </c>
      <c r="H2384" s="13"/>
      <c r="I2384" s="13" t="s">
        <v>2062</v>
      </c>
      <c r="J2384" s="13" t="s">
        <v>2061</v>
      </c>
      <c r="K2384" s="13" t="s">
        <v>2033</v>
      </c>
      <c r="L2384" s="13"/>
      <c r="M2384" s="14"/>
      <c r="N2384" s="13"/>
      <c r="O2384" s="13" t="s">
        <v>2028</v>
      </c>
    </row>
    <row r="2385" spans="1:15" ht="19.5" customHeight="1" x14ac:dyDescent="0.25">
      <c r="A2385" s="11" t="s">
        <v>2058</v>
      </c>
      <c r="B2385" s="11"/>
      <c r="C2385" s="11" t="s">
        <v>2060</v>
      </c>
      <c r="D2385" s="11" t="s">
        <v>1883</v>
      </c>
      <c r="E2385" s="11" t="s">
        <v>2059</v>
      </c>
      <c r="F2385" s="11"/>
      <c r="G2385" s="11" t="s">
        <v>2058</v>
      </c>
      <c r="H2385" s="11" t="s">
        <v>2057</v>
      </c>
      <c r="I2385" s="11" t="s">
        <v>2056</v>
      </c>
      <c r="J2385" s="11" t="s">
        <v>2055</v>
      </c>
      <c r="K2385" s="11" t="s">
        <v>2033</v>
      </c>
      <c r="L2385" s="11"/>
      <c r="M2385" s="12"/>
      <c r="N2385" s="11"/>
      <c r="O2385" s="11" t="s">
        <v>1945</v>
      </c>
    </row>
    <row r="2386" spans="1:15" ht="19.5" customHeight="1" x14ac:dyDescent="0.25">
      <c r="A2386" s="13" t="s">
        <v>1807</v>
      </c>
      <c r="B2386" s="13"/>
      <c r="C2386" s="13" t="s">
        <v>1806</v>
      </c>
      <c r="D2386" s="13" t="s">
        <v>1883</v>
      </c>
      <c r="E2386" s="13" t="s">
        <v>2054</v>
      </c>
      <c r="F2386" s="13" t="s">
        <v>2053</v>
      </c>
      <c r="G2386" s="13" t="s">
        <v>1807</v>
      </c>
      <c r="H2386" s="13"/>
      <c r="I2386" s="13" t="s">
        <v>2052</v>
      </c>
      <c r="J2386" s="13" t="s">
        <v>2051</v>
      </c>
      <c r="K2386" s="13" t="s">
        <v>2033</v>
      </c>
      <c r="L2386" s="13"/>
      <c r="M2386" s="14"/>
      <c r="N2386" s="13"/>
      <c r="O2386" s="13" t="s">
        <v>2028</v>
      </c>
    </row>
    <row r="2387" spans="1:15" ht="19.5" customHeight="1" x14ac:dyDescent="0.25">
      <c r="A2387" s="11" t="s">
        <v>2047</v>
      </c>
      <c r="B2387" s="11"/>
      <c r="C2387" s="11" t="s">
        <v>2050</v>
      </c>
      <c r="D2387" s="11" t="s">
        <v>1950</v>
      </c>
      <c r="E2387" s="11" t="s">
        <v>2049</v>
      </c>
      <c r="F2387" s="11" t="s">
        <v>2048</v>
      </c>
      <c r="G2387" s="11" t="s">
        <v>2047</v>
      </c>
      <c r="H2387" s="11" t="s">
        <v>2046</v>
      </c>
      <c r="I2387" s="11" t="s">
        <v>2045</v>
      </c>
      <c r="J2387" s="11" t="s">
        <v>2044</v>
      </c>
      <c r="K2387" s="11" t="s">
        <v>2033</v>
      </c>
      <c r="L2387" s="11"/>
      <c r="M2387" s="12"/>
      <c r="N2387" s="11"/>
      <c r="O2387" s="11"/>
    </row>
    <row r="2388" spans="1:15" ht="19.5" customHeight="1" x14ac:dyDescent="0.25">
      <c r="A2388" s="13" t="s">
        <v>2037</v>
      </c>
      <c r="B2388" s="13"/>
      <c r="C2388" s="13" t="s">
        <v>2043</v>
      </c>
      <c r="D2388" s="13" t="s">
        <v>1883</v>
      </c>
      <c r="E2388" s="13" t="s">
        <v>2038</v>
      </c>
      <c r="F2388" s="13" t="s">
        <v>2042</v>
      </c>
      <c r="G2388" s="13" t="s">
        <v>2037</v>
      </c>
      <c r="H2388" s="13"/>
      <c r="I2388" s="13" t="s">
        <v>2041</v>
      </c>
      <c r="J2388" s="13" t="s">
        <v>2040</v>
      </c>
      <c r="K2388" s="13" t="s">
        <v>1952</v>
      </c>
      <c r="L2388" s="13"/>
      <c r="M2388" s="14"/>
      <c r="N2388" s="13"/>
      <c r="O2388" s="13" t="s">
        <v>1945</v>
      </c>
    </row>
    <row r="2389" spans="1:15" ht="19.5" customHeight="1" x14ac:dyDescent="0.25">
      <c r="A2389" s="11" t="s">
        <v>2037</v>
      </c>
      <c r="B2389" s="11"/>
      <c r="C2389" s="11" t="s">
        <v>2039</v>
      </c>
      <c r="D2389" s="11" t="s">
        <v>1883</v>
      </c>
      <c r="E2389" s="11" t="s">
        <v>2038</v>
      </c>
      <c r="F2389" s="11"/>
      <c r="G2389" s="11" t="s">
        <v>2037</v>
      </c>
      <c r="H2389" s="11"/>
      <c r="I2389" s="11"/>
      <c r="J2389" s="11"/>
      <c r="K2389" s="11"/>
      <c r="L2389" s="11"/>
      <c r="M2389" s="12"/>
      <c r="N2389" s="11"/>
      <c r="O2389" s="11" t="s">
        <v>1916</v>
      </c>
    </row>
    <row r="2390" spans="1:15" ht="19.5" customHeight="1" x14ac:dyDescent="0.25">
      <c r="A2390" s="13" t="s">
        <v>1496</v>
      </c>
      <c r="B2390" s="13"/>
      <c r="C2390" s="13" t="s">
        <v>1495</v>
      </c>
      <c r="D2390" s="13" t="s">
        <v>1883</v>
      </c>
      <c r="E2390" s="13" t="s">
        <v>2036</v>
      </c>
      <c r="F2390" s="13"/>
      <c r="G2390" s="13" t="s">
        <v>1496</v>
      </c>
      <c r="H2390" s="13"/>
      <c r="I2390" s="13" t="s">
        <v>2035</v>
      </c>
      <c r="J2390" s="13" t="s">
        <v>2034</v>
      </c>
      <c r="K2390" s="13" t="s">
        <v>2033</v>
      </c>
      <c r="L2390" s="13"/>
      <c r="M2390" s="14"/>
      <c r="N2390" s="13"/>
      <c r="O2390" s="13" t="s">
        <v>1945</v>
      </c>
    </row>
    <row r="2391" spans="1:15" ht="19.5" customHeight="1" x14ac:dyDescent="0.25">
      <c r="A2391" s="11" t="s">
        <v>1026</v>
      </c>
      <c r="B2391" s="11"/>
      <c r="C2391" s="11" t="s">
        <v>2032</v>
      </c>
      <c r="D2391" s="11" t="s">
        <v>1883</v>
      </c>
      <c r="E2391" s="11" t="s">
        <v>2031</v>
      </c>
      <c r="F2391" s="11"/>
      <c r="G2391" s="11" t="s">
        <v>1026</v>
      </c>
      <c r="H2391" s="11"/>
      <c r="I2391" s="11" t="s">
        <v>2030</v>
      </c>
      <c r="J2391" s="11" t="s">
        <v>2029</v>
      </c>
      <c r="K2391" s="11" t="s">
        <v>1952</v>
      </c>
      <c r="L2391" s="11"/>
      <c r="M2391" s="12"/>
      <c r="N2391" s="11"/>
      <c r="O2391" s="11" t="s">
        <v>2028</v>
      </c>
    </row>
    <row r="2392" spans="1:15" ht="19.5" customHeight="1" x14ac:dyDescent="0.25">
      <c r="A2392" s="13" t="s">
        <v>2023</v>
      </c>
      <c r="B2392" s="13"/>
      <c r="C2392" s="13" t="s">
        <v>2027</v>
      </c>
      <c r="D2392" s="13" t="s">
        <v>1883</v>
      </c>
      <c r="E2392" s="13"/>
      <c r="F2392" s="13"/>
      <c r="G2392" s="13" t="s">
        <v>2023</v>
      </c>
      <c r="H2392" s="13"/>
      <c r="I2392" s="13"/>
      <c r="J2392" s="13"/>
      <c r="K2392" s="13"/>
      <c r="L2392" s="13"/>
      <c r="M2392" s="14"/>
      <c r="N2392" s="13"/>
      <c r="O2392" s="13"/>
    </row>
    <row r="2393" spans="1:15" ht="19.5" customHeight="1" x14ac:dyDescent="0.25">
      <c r="A2393" s="11" t="s">
        <v>2023</v>
      </c>
      <c r="B2393" s="11"/>
      <c r="C2393" s="11" t="s">
        <v>2026</v>
      </c>
      <c r="D2393" s="11" t="s">
        <v>1883</v>
      </c>
      <c r="E2393" s="11"/>
      <c r="F2393" s="11"/>
      <c r="G2393" s="11" t="s">
        <v>2023</v>
      </c>
      <c r="H2393" s="11"/>
      <c r="I2393" s="11"/>
      <c r="J2393" s="11"/>
      <c r="K2393" s="11"/>
      <c r="L2393" s="11"/>
      <c r="M2393" s="12"/>
      <c r="N2393" s="11"/>
      <c r="O2393" s="11"/>
    </row>
    <row r="2394" spans="1:15" ht="19.5" customHeight="1" x14ac:dyDescent="0.25">
      <c r="A2394" s="13" t="s">
        <v>2023</v>
      </c>
      <c r="B2394" s="13"/>
      <c r="C2394" s="13" t="s">
        <v>2025</v>
      </c>
      <c r="D2394" s="13" t="s">
        <v>1883</v>
      </c>
      <c r="E2394" s="13"/>
      <c r="F2394" s="13"/>
      <c r="G2394" s="13" t="s">
        <v>2023</v>
      </c>
      <c r="H2394" s="13"/>
      <c r="I2394" s="13"/>
      <c r="J2394" s="13"/>
      <c r="K2394" s="13"/>
      <c r="L2394" s="13"/>
      <c r="M2394" s="14"/>
      <c r="N2394" s="13"/>
      <c r="O2394" s="13"/>
    </row>
    <row r="2395" spans="1:15" ht="19.5" customHeight="1" x14ac:dyDescent="0.25">
      <c r="A2395" s="11" t="s">
        <v>2023</v>
      </c>
      <c r="B2395" s="11"/>
      <c r="C2395" s="11" t="s">
        <v>2024</v>
      </c>
      <c r="D2395" s="11" t="s">
        <v>1883</v>
      </c>
      <c r="E2395" s="11"/>
      <c r="F2395" s="11"/>
      <c r="G2395" s="11" t="s">
        <v>2023</v>
      </c>
      <c r="H2395" s="11"/>
      <c r="I2395" s="11"/>
      <c r="J2395" s="11"/>
      <c r="K2395" s="11"/>
      <c r="L2395" s="11"/>
      <c r="M2395" s="12"/>
      <c r="N2395" s="11"/>
      <c r="O2395" s="11"/>
    </row>
    <row r="2396" spans="1:15" ht="19.5" customHeight="1" x14ac:dyDescent="0.25">
      <c r="A2396" s="13" t="s">
        <v>2000</v>
      </c>
      <c r="B2396" s="13"/>
      <c r="C2396" s="13" t="s">
        <v>2022</v>
      </c>
      <c r="D2396" s="13" t="s">
        <v>1883</v>
      </c>
      <c r="E2396" s="13"/>
      <c r="F2396" s="13"/>
      <c r="G2396" s="13" t="s">
        <v>2000</v>
      </c>
      <c r="H2396" s="13"/>
      <c r="I2396" s="13"/>
      <c r="J2396" s="13"/>
      <c r="K2396" s="13"/>
      <c r="L2396" s="13"/>
      <c r="M2396" s="14"/>
      <c r="N2396" s="13"/>
      <c r="O2396" s="13"/>
    </row>
    <row r="2397" spans="1:15" ht="19.5" customHeight="1" x14ac:dyDescent="0.25">
      <c r="A2397" s="11" t="s">
        <v>2000</v>
      </c>
      <c r="B2397" s="11"/>
      <c r="C2397" s="11" t="s">
        <v>2021</v>
      </c>
      <c r="D2397" s="11" t="s">
        <v>1883</v>
      </c>
      <c r="E2397" s="11"/>
      <c r="F2397" s="11"/>
      <c r="G2397" s="11" t="s">
        <v>2000</v>
      </c>
      <c r="H2397" s="11"/>
      <c r="I2397" s="11"/>
      <c r="J2397" s="11"/>
      <c r="K2397" s="11"/>
      <c r="L2397" s="11"/>
      <c r="M2397" s="12"/>
      <c r="N2397" s="11"/>
      <c r="O2397" s="11"/>
    </row>
    <row r="2398" spans="1:15" ht="19.5" customHeight="1" x14ac:dyDescent="0.25">
      <c r="A2398" s="13" t="s">
        <v>2000</v>
      </c>
      <c r="B2398" s="13"/>
      <c r="C2398" s="13" t="s">
        <v>2020</v>
      </c>
      <c r="D2398" s="13" t="s">
        <v>1883</v>
      </c>
      <c r="E2398" s="13" t="s">
        <v>2019</v>
      </c>
      <c r="F2398" s="13"/>
      <c r="G2398" s="13" t="s">
        <v>2000</v>
      </c>
      <c r="H2398" s="13"/>
      <c r="I2398" s="13"/>
      <c r="J2398" s="13"/>
      <c r="K2398" s="13"/>
      <c r="L2398" s="13"/>
      <c r="M2398" s="14"/>
      <c r="N2398" s="13"/>
      <c r="O2398" s="13"/>
    </row>
    <row r="2399" spans="1:15" ht="19.5" customHeight="1" x14ac:dyDescent="0.25">
      <c r="A2399" s="11" t="s">
        <v>2000</v>
      </c>
      <c r="B2399" s="11"/>
      <c r="C2399" s="11" t="s">
        <v>2018</v>
      </c>
      <c r="D2399" s="11" t="s">
        <v>1883</v>
      </c>
      <c r="E2399" s="11"/>
      <c r="F2399" s="11"/>
      <c r="G2399" s="11" t="s">
        <v>2000</v>
      </c>
      <c r="H2399" s="11"/>
      <c r="I2399" s="11"/>
      <c r="J2399" s="11"/>
      <c r="K2399" s="11"/>
      <c r="L2399" s="11"/>
      <c r="M2399" s="12"/>
      <c r="N2399" s="11"/>
      <c r="O2399" s="11"/>
    </row>
    <row r="2400" spans="1:15" ht="19.5" customHeight="1" x14ac:dyDescent="0.25">
      <c r="A2400" s="13" t="s">
        <v>2000</v>
      </c>
      <c r="B2400" s="13"/>
      <c r="C2400" s="13" t="s">
        <v>2017</v>
      </c>
      <c r="D2400" s="13" t="s">
        <v>1883</v>
      </c>
      <c r="E2400" s="13"/>
      <c r="F2400" s="13"/>
      <c r="G2400" s="13" t="s">
        <v>2000</v>
      </c>
      <c r="H2400" s="13"/>
      <c r="I2400" s="13"/>
      <c r="J2400" s="13"/>
      <c r="K2400" s="13"/>
      <c r="L2400" s="13"/>
      <c r="M2400" s="14"/>
      <c r="N2400" s="13"/>
      <c r="O2400" s="13"/>
    </row>
    <row r="2401" spans="1:15" ht="19.5" customHeight="1" x14ac:dyDescent="0.25">
      <c r="A2401" s="11" t="s">
        <v>2000</v>
      </c>
      <c r="B2401" s="11"/>
      <c r="C2401" s="11" t="s">
        <v>2016</v>
      </c>
      <c r="D2401" s="11" t="s">
        <v>1883</v>
      </c>
      <c r="E2401" s="11"/>
      <c r="F2401" s="11"/>
      <c r="G2401" s="11" t="s">
        <v>2000</v>
      </c>
      <c r="H2401" s="11"/>
      <c r="I2401" s="11"/>
      <c r="J2401" s="11"/>
      <c r="K2401" s="11"/>
      <c r="L2401" s="11"/>
      <c r="M2401" s="12"/>
      <c r="N2401" s="11"/>
      <c r="O2401" s="11"/>
    </row>
    <row r="2402" spans="1:15" ht="19.5" customHeight="1" x14ac:dyDescent="0.25">
      <c r="A2402" s="13" t="s">
        <v>2000</v>
      </c>
      <c r="B2402" s="13"/>
      <c r="C2402" s="13" t="s">
        <v>2015</v>
      </c>
      <c r="D2402" s="13" t="s">
        <v>1883</v>
      </c>
      <c r="E2402" s="13"/>
      <c r="F2402" s="13"/>
      <c r="G2402" s="13" t="s">
        <v>2000</v>
      </c>
      <c r="H2402" s="13"/>
      <c r="I2402" s="13"/>
      <c r="J2402" s="13"/>
      <c r="K2402" s="13"/>
      <c r="L2402" s="13"/>
      <c r="M2402" s="14"/>
      <c r="N2402" s="13"/>
      <c r="O2402" s="13"/>
    </row>
    <row r="2403" spans="1:15" ht="19.5" customHeight="1" x14ac:dyDescent="0.25">
      <c r="A2403" s="11" t="s">
        <v>2000</v>
      </c>
      <c r="B2403" s="11"/>
      <c r="C2403" s="11" t="s">
        <v>2014</v>
      </c>
      <c r="D2403" s="11" t="s">
        <v>1883</v>
      </c>
      <c r="E2403" s="11"/>
      <c r="F2403" s="11"/>
      <c r="G2403" s="11" t="s">
        <v>2000</v>
      </c>
      <c r="H2403" s="11"/>
      <c r="I2403" s="11"/>
      <c r="J2403" s="11"/>
      <c r="K2403" s="11"/>
      <c r="L2403" s="11"/>
      <c r="M2403" s="12"/>
      <c r="N2403" s="11"/>
      <c r="O2403" s="11"/>
    </row>
    <row r="2404" spans="1:15" ht="19.5" customHeight="1" x14ac:dyDescent="0.25">
      <c r="A2404" s="13" t="s">
        <v>2000</v>
      </c>
      <c r="B2404" s="13"/>
      <c r="C2404" s="13" t="s">
        <v>2013</v>
      </c>
      <c r="D2404" s="13" t="s">
        <v>1883</v>
      </c>
      <c r="E2404" s="13"/>
      <c r="F2404" s="13"/>
      <c r="G2404" s="13" t="s">
        <v>2000</v>
      </c>
      <c r="H2404" s="13"/>
      <c r="I2404" s="13"/>
      <c r="J2404" s="13"/>
      <c r="K2404" s="13"/>
      <c r="L2404" s="13"/>
      <c r="M2404" s="14"/>
      <c r="N2404" s="13"/>
      <c r="O2404" s="13"/>
    </row>
    <row r="2405" spans="1:15" ht="19.5" customHeight="1" x14ac:dyDescent="0.25">
      <c r="A2405" s="11" t="s">
        <v>2000</v>
      </c>
      <c r="B2405" s="11"/>
      <c r="C2405" s="11" t="s">
        <v>2012</v>
      </c>
      <c r="D2405" s="11" t="s">
        <v>1883</v>
      </c>
      <c r="E2405" s="11"/>
      <c r="F2405" s="11"/>
      <c r="G2405" s="11" t="s">
        <v>2000</v>
      </c>
      <c r="H2405" s="11"/>
      <c r="I2405" s="11"/>
      <c r="J2405" s="11"/>
      <c r="K2405" s="11"/>
      <c r="L2405" s="11"/>
      <c r="M2405" s="12"/>
      <c r="N2405" s="11"/>
      <c r="O2405" s="11"/>
    </row>
    <row r="2406" spans="1:15" ht="19.5" customHeight="1" x14ac:dyDescent="0.25">
      <c r="A2406" s="13" t="s">
        <v>2000</v>
      </c>
      <c r="B2406" s="13"/>
      <c r="C2406" s="13" t="s">
        <v>2011</v>
      </c>
      <c r="D2406" s="13" t="s">
        <v>1883</v>
      </c>
      <c r="E2406" s="13"/>
      <c r="F2406" s="13"/>
      <c r="G2406" s="13" t="s">
        <v>2000</v>
      </c>
      <c r="H2406" s="13"/>
      <c r="I2406" s="13"/>
      <c r="J2406" s="13"/>
      <c r="K2406" s="13"/>
      <c r="L2406" s="13"/>
      <c r="M2406" s="14"/>
      <c r="N2406" s="13"/>
      <c r="O2406" s="13"/>
    </row>
    <row r="2407" spans="1:15" ht="19.5" customHeight="1" x14ac:dyDescent="0.25">
      <c r="A2407" s="11" t="s">
        <v>2000</v>
      </c>
      <c r="B2407" s="11"/>
      <c r="C2407" s="11" t="s">
        <v>2010</v>
      </c>
      <c r="D2407" s="11" t="s">
        <v>1883</v>
      </c>
      <c r="E2407" s="11"/>
      <c r="F2407" s="11"/>
      <c r="G2407" s="11" t="s">
        <v>2000</v>
      </c>
      <c r="H2407" s="11"/>
      <c r="I2407" s="11"/>
      <c r="J2407" s="11"/>
      <c r="K2407" s="11"/>
      <c r="L2407" s="11"/>
      <c r="M2407" s="12"/>
      <c r="N2407" s="11"/>
      <c r="O2407" s="11"/>
    </row>
    <row r="2408" spans="1:15" ht="19.5" customHeight="1" x14ac:dyDescent="0.25">
      <c r="A2408" s="13" t="s">
        <v>2000</v>
      </c>
      <c r="B2408" s="13"/>
      <c r="C2408" s="13" t="s">
        <v>2009</v>
      </c>
      <c r="D2408" s="13" t="s">
        <v>1883</v>
      </c>
      <c r="E2408" s="13"/>
      <c r="F2408" s="13"/>
      <c r="G2408" s="13" t="s">
        <v>2000</v>
      </c>
      <c r="H2408" s="13"/>
      <c r="I2408" s="13"/>
      <c r="J2408" s="13"/>
      <c r="K2408" s="13"/>
      <c r="L2408" s="13"/>
      <c r="M2408" s="14"/>
      <c r="N2408" s="13"/>
      <c r="O2408" s="13"/>
    </row>
    <row r="2409" spans="1:15" ht="19.5" customHeight="1" x14ac:dyDescent="0.25">
      <c r="A2409" s="11" t="s">
        <v>2000</v>
      </c>
      <c r="B2409" s="11"/>
      <c r="C2409" s="11" t="s">
        <v>2008</v>
      </c>
      <c r="D2409" s="11" t="s">
        <v>1883</v>
      </c>
      <c r="E2409" s="11"/>
      <c r="F2409" s="11"/>
      <c r="G2409" s="11" t="s">
        <v>2000</v>
      </c>
      <c r="H2409" s="11"/>
      <c r="I2409" s="11"/>
      <c r="J2409" s="11"/>
      <c r="K2409" s="11"/>
      <c r="L2409" s="11"/>
      <c r="M2409" s="12"/>
      <c r="N2409" s="11"/>
      <c r="O2409" s="11"/>
    </row>
    <row r="2410" spans="1:15" ht="19.5" customHeight="1" x14ac:dyDescent="0.25">
      <c r="A2410" s="13" t="s">
        <v>2000</v>
      </c>
      <c r="B2410" s="13"/>
      <c r="C2410" s="13" t="s">
        <v>2007</v>
      </c>
      <c r="D2410" s="13" t="s">
        <v>1883</v>
      </c>
      <c r="E2410" s="13"/>
      <c r="F2410" s="13"/>
      <c r="G2410" s="13" t="s">
        <v>2000</v>
      </c>
      <c r="H2410" s="13"/>
      <c r="I2410" s="13"/>
      <c r="J2410" s="13"/>
      <c r="K2410" s="13"/>
      <c r="L2410" s="13"/>
      <c r="M2410" s="14"/>
      <c r="N2410" s="13"/>
      <c r="O2410" s="13"/>
    </row>
    <row r="2411" spans="1:15" ht="19.5" customHeight="1" x14ac:dyDescent="0.25">
      <c r="A2411" s="11" t="s">
        <v>2000</v>
      </c>
      <c r="B2411" s="11"/>
      <c r="C2411" s="11" t="s">
        <v>2006</v>
      </c>
      <c r="D2411" s="11" t="s">
        <v>1883</v>
      </c>
      <c r="E2411" s="11"/>
      <c r="F2411" s="11"/>
      <c r="G2411" s="11" t="s">
        <v>2000</v>
      </c>
      <c r="H2411" s="11"/>
      <c r="I2411" s="11"/>
      <c r="J2411" s="11"/>
      <c r="K2411" s="11"/>
      <c r="L2411" s="11"/>
      <c r="M2411" s="12"/>
      <c r="N2411" s="11"/>
      <c r="O2411" s="11"/>
    </row>
    <row r="2412" spans="1:15" ht="19.5" customHeight="1" x14ac:dyDescent="0.25">
      <c r="A2412" s="13" t="s">
        <v>2000</v>
      </c>
      <c r="B2412" s="13"/>
      <c r="C2412" s="13" t="s">
        <v>2005</v>
      </c>
      <c r="D2412" s="13" t="s">
        <v>1883</v>
      </c>
      <c r="E2412" s="13"/>
      <c r="F2412" s="13"/>
      <c r="G2412" s="13" t="s">
        <v>2000</v>
      </c>
      <c r="H2412" s="13"/>
      <c r="I2412" s="13"/>
      <c r="J2412" s="13"/>
      <c r="K2412" s="13"/>
      <c r="L2412" s="13"/>
      <c r="M2412" s="14"/>
      <c r="N2412" s="13"/>
      <c r="O2412" s="13"/>
    </row>
    <row r="2413" spans="1:15" ht="19.5" customHeight="1" x14ac:dyDescent="0.25">
      <c r="A2413" s="11" t="s">
        <v>2000</v>
      </c>
      <c r="B2413" s="11"/>
      <c r="C2413" s="11" t="s">
        <v>2004</v>
      </c>
      <c r="D2413" s="11" t="s">
        <v>1883</v>
      </c>
      <c r="E2413" s="11"/>
      <c r="F2413" s="11"/>
      <c r="G2413" s="11" t="s">
        <v>2000</v>
      </c>
      <c r="H2413" s="11"/>
      <c r="I2413" s="11"/>
      <c r="J2413" s="11"/>
      <c r="K2413" s="11"/>
      <c r="L2413" s="11"/>
      <c r="M2413" s="12"/>
      <c r="N2413" s="11"/>
      <c r="O2413" s="11"/>
    </row>
    <row r="2414" spans="1:15" ht="19.5" customHeight="1" x14ac:dyDescent="0.25">
      <c r="A2414" s="13" t="s">
        <v>2000</v>
      </c>
      <c r="B2414" s="13"/>
      <c r="C2414" s="13" t="s">
        <v>2003</v>
      </c>
      <c r="D2414" s="13" t="s">
        <v>1883</v>
      </c>
      <c r="E2414" s="13"/>
      <c r="F2414" s="13"/>
      <c r="G2414" s="13" t="s">
        <v>2000</v>
      </c>
      <c r="H2414" s="13"/>
      <c r="I2414" s="13"/>
      <c r="J2414" s="13"/>
      <c r="K2414" s="13"/>
      <c r="L2414" s="13"/>
      <c r="M2414" s="14"/>
      <c r="N2414" s="13"/>
      <c r="O2414" s="13"/>
    </row>
    <row r="2415" spans="1:15" ht="19.5" customHeight="1" x14ac:dyDescent="0.25">
      <c r="A2415" s="11" t="s">
        <v>2000</v>
      </c>
      <c r="B2415" s="11"/>
      <c r="C2415" s="11" t="s">
        <v>2002</v>
      </c>
      <c r="D2415" s="11" t="s">
        <v>1883</v>
      </c>
      <c r="E2415" s="11"/>
      <c r="F2415" s="11"/>
      <c r="G2415" s="11" t="s">
        <v>2000</v>
      </c>
      <c r="H2415" s="11"/>
      <c r="I2415" s="11"/>
      <c r="J2415" s="11"/>
      <c r="K2415" s="11"/>
      <c r="L2415" s="11"/>
      <c r="M2415" s="12"/>
      <c r="N2415" s="11"/>
      <c r="O2415" s="11"/>
    </row>
    <row r="2416" spans="1:15" ht="19.5" customHeight="1" x14ac:dyDescent="0.25">
      <c r="A2416" s="13" t="s">
        <v>2000</v>
      </c>
      <c r="B2416" s="13"/>
      <c r="C2416" s="13" t="s">
        <v>2001</v>
      </c>
      <c r="D2416" s="13" t="s">
        <v>1950</v>
      </c>
      <c r="E2416" s="13"/>
      <c r="F2416" s="13"/>
      <c r="G2416" s="13" t="s">
        <v>2000</v>
      </c>
      <c r="H2416" s="13"/>
      <c r="I2416" s="13"/>
      <c r="J2416" s="13"/>
      <c r="K2416" s="13"/>
      <c r="L2416" s="13"/>
      <c r="M2416" s="14"/>
      <c r="N2416" s="13"/>
      <c r="O2416" s="13"/>
    </row>
    <row r="2417" spans="1:15" ht="19.5" customHeight="1" x14ac:dyDescent="0.25">
      <c r="A2417" s="11" t="s">
        <v>1997</v>
      </c>
      <c r="B2417" s="11"/>
      <c r="C2417" s="11" t="s">
        <v>1999</v>
      </c>
      <c r="D2417" s="11" t="s">
        <v>1883</v>
      </c>
      <c r="E2417" s="11" t="s">
        <v>1998</v>
      </c>
      <c r="F2417" s="11"/>
      <c r="G2417" s="11" t="s">
        <v>1997</v>
      </c>
      <c r="H2417" s="11"/>
      <c r="I2417" s="11"/>
      <c r="J2417" s="11"/>
      <c r="K2417" s="11"/>
      <c r="L2417" s="11"/>
      <c r="M2417" s="12"/>
      <c r="N2417" s="11"/>
      <c r="O2417" s="11" t="s">
        <v>1916</v>
      </c>
    </row>
    <row r="2418" spans="1:15" ht="19.5" customHeight="1" x14ac:dyDescent="0.25">
      <c r="A2418" s="13" t="s">
        <v>1994</v>
      </c>
      <c r="B2418" s="13"/>
      <c r="C2418" s="13" t="s">
        <v>1996</v>
      </c>
      <c r="D2418" s="13" t="s">
        <v>1883</v>
      </c>
      <c r="E2418" s="13" t="s">
        <v>1995</v>
      </c>
      <c r="F2418" s="13"/>
      <c r="G2418" s="13" t="s">
        <v>1994</v>
      </c>
      <c r="H2418" s="13"/>
      <c r="I2418" s="13"/>
      <c r="J2418" s="13"/>
      <c r="K2418" s="13"/>
      <c r="L2418" s="13"/>
      <c r="M2418" s="14"/>
      <c r="N2418" s="13"/>
      <c r="O2418" s="13" t="s">
        <v>1945</v>
      </c>
    </row>
    <row r="2419" spans="1:15" ht="19.5" customHeight="1" x14ac:dyDescent="0.25">
      <c r="A2419" s="11" t="s">
        <v>1978</v>
      </c>
      <c r="B2419" s="11"/>
      <c r="C2419" s="11" t="s">
        <v>1993</v>
      </c>
      <c r="D2419" s="11" t="s">
        <v>1883</v>
      </c>
      <c r="E2419" s="11"/>
      <c r="F2419" s="11"/>
      <c r="G2419" s="11" t="s">
        <v>1978</v>
      </c>
      <c r="H2419" s="11"/>
      <c r="I2419" s="11"/>
      <c r="J2419" s="11"/>
      <c r="K2419" s="11"/>
      <c r="L2419" s="11"/>
      <c r="M2419" s="12"/>
      <c r="N2419" s="11"/>
      <c r="O2419" s="11"/>
    </row>
    <row r="2420" spans="1:15" ht="19.5" customHeight="1" x14ac:dyDescent="0.25">
      <c r="A2420" s="13" t="s">
        <v>1978</v>
      </c>
      <c r="B2420" s="13"/>
      <c r="C2420" s="13" t="s">
        <v>1992</v>
      </c>
      <c r="D2420" s="13" t="s">
        <v>1883</v>
      </c>
      <c r="E2420" s="13"/>
      <c r="F2420" s="13"/>
      <c r="G2420" s="13" t="s">
        <v>1978</v>
      </c>
      <c r="H2420" s="13"/>
      <c r="I2420" s="13"/>
      <c r="J2420" s="13"/>
      <c r="K2420" s="13"/>
      <c r="L2420" s="13"/>
      <c r="M2420" s="14"/>
      <c r="N2420" s="13"/>
      <c r="O2420" s="13"/>
    </row>
    <row r="2421" spans="1:15" ht="19.5" customHeight="1" x14ac:dyDescent="0.25">
      <c r="A2421" s="11" t="s">
        <v>1978</v>
      </c>
      <c r="B2421" s="11"/>
      <c r="C2421" s="11" t="s">
        <v>1991</v>
      </c>
      <c r="D2421" s="11" t="s">
        <v>1883</v>
      </c>
      <c r="E2421" s="11"/>
      <c r="F2421" s="11"/>
      <c r="G2421" s="11" t="s">
        <v>1978</v>
      </c>
      <c r="H2421" s="11"/>
      <c r="I2421" s="11"/>
      <c r="J2421" s="11"/>
      <c r="K2421" s="11"/>
      <c r="L2421" s="11"/>
      <c r="M2421" s="12"/>
      <c r="N2421" s="11"/>
      <c r="O2421" s="11"/>
    </row>
    <row r="2422" spans="1:15" ht="19.5" customHeight="1" x14ac:dyDescent="0.25">
      <c r="A2422" s="13" t="s">
        <v>1978</v>
      </c>
      <c r="B2422" s="13"/>
      <c r="C2422" s="13" t="s">
        <v>1990</v>
      </c>
      <c r="D2422" s="13" t="s">
        <v>1883</v>
      </c>
      <c r="E2422" s="13"/>
      <c r="F2422" s="13"/>
      <c r="G2422" s="13" t="s">
        <v>1978</v>
      </c>
      <c r="H2422" s="13"/>
      <c r="I2422" s="13"/>
      <c r="J2422" s="13"/>
      <c r="K2422" s="13"/>
      <c r="L2422" s="13"/>
      <c r="M2422" s="14"/>
      <c r="N2422" s="13"/>
      <c r="O2422" s="13"/>
    </row>
    <row r="2423" spans="1:15" ht="19.5" customHeight="1" x14ac:dyDescent="0.25">
      <c r="A2423" s="11" t="s">
        <v>1978</v>
      </c>
      <c r="B2423" s="11"/>
      <c r="C2423" s="11" t="s">
        <v>1989</v>
      </c>
      <c r="D2423" s="11" t="s">
        <v>1883</v>
      </c>
      <c r="E2423" s="11"/>
      <c r="F2423" s="11"/>
      <c r="G2423" s="11" t="s">
        <v>1978</v>
      </c>
      <c r="H2423" s="11"/>
      <c r="I2423" s="11"/>
      <c r="J2423" s="11"/>
      <c r="K2423" s="11"/>
      <c r="L2423" s="11"/>
      <c r="M2423" s="12"/>
      <c r="N2423" s="11"/>
      <c r="O2423" s="11"/>
    </row>
    <row r="2424" spans="1:15" ht="19.5" customHeight="1" x14ac:dyDescent="0.25">
      <c r="A2424" s="13" t="s">
        <v>1978</v>
      </c>
      <c r="B2424" s="13"/>
      <c r="C2424" s="13" t="s">
        <v>1988</v>
      </c>
      <c r="D2424" s="13" t="s">
        <v>1883</v>
      </c>
      <c r="E2424" s="13"/>
      <c r="F2424" s="13"/>
      <c r="G2424" s="13" t="s">
        <v>1978</v>
      </c>
      <c r="H2424" s="13"/>
      <c r="I2424" s="13"/>
      <c r="J2424" s="13"/>
      <c r="K2424" s="13"/>
      <c r="L2424" s="13"/>
      <c r="M2424" s="14"/>
      <c r="N2424" s="13"/>
      <c r="O2424" s="13"/>
    </row>
    <row r="2425" spans="1:15" ht="19.5" customHeight="1" x14ac:dyDescent="0.25">
      <c r="A2425" s="11" t="s">
        <v>1978</v>
      </c>
      <c r="B2425" s="11"/>
      <c r="C2425" s="11" t="s">
        <v>1987</v>
      </c>
      <c r="D2425" s="11" t="s">
        <v>1883</v>
      </c>
      <c r="E2425" s="11"/>
      <c r="F2425" s="11"/>
      <c r="G2425" s="11" t="s">
        <v>1978</v>
      </c>
      <c r="H2425" s="11"/>
      <c r="I2425" s="11"/>
      <c r="J2425" s="11"/>
      <c r="K2425" s="11"/>
      <c r="L2425" s="11"/>
      <c r="M2425" s="12"/>
      <c r="N2425" s="11"/>
      <c r="O2425" s="11"/>
    </row>
    <row r="2426" spans="1:15" ht="19.5" customHeight="1" x14ac:dyDescent="0.25">
      <c r="A2426" s="13" t="s">
        <v>1978</v>
      </c>
      <c r="B2426" s="13"/>
      <c r="C2426" s="13" t="s">
        <v>1986</v>
      </c>
      <c r="D2426" s="13" t="s">
        <v>1883</v>
      </c>
      <c r="E2426" s="13"/>
      <c r="F2426" s="13"/>
      <c r="G2426" s="13" t="s">
        <v>1978</v>
      </c>
      <c r="H2426" s="13"/>
      <c r="I2426" s="13"/>
      <c r="J2426" s="13"/>
      <c r="K2426" s="13"/>
      <c r="L2426" s="13"/>
      <c r="M2426" s="14"/>
      <c r="N2426" s="13"/>
      <c r="O2426" s="13"/>
    </row>
    <row r="2427" spans="1:15" ht="19.5" customHeight="1" x14ac:dyDescent="0.25">
      <c r="A2427" s="11" t="s">
        <v>1978</v>
      </c>
      <c r="B2427" s="11"/>
      <c r="C2427" s="11" t="s">
        <v>1985</v>
      </c>
      <c r="D2427" s="11" t="s">
        <v>1883</v>
      </c>
      <c r="E2427" s="11"/>
      <c r="F2427" s="11"/>
      <c r="G2427" s="11" t="s">
        <v>1978</v>
      </c>
      <c r="H2427" s="11"/>
      <c r="I2427" s="11"/>
      <c r="J2427" s="11"/>
      <c r="K2427" s="11"/>
      <c r="L2427" s="11"/>
      <c r="M2427" s="12"/>
      <c r="N2427" s="11"/>
      <c r="O2427" s="11"/>
    </row>
    <row r="2428" spans="1:15" ht="19.5" customHeight="1" x14ac:dyDescent="0.25">
      <c r="A2428" s="13" t="s">
        <v>1978</v>
      </c>
      <c r="B2428" s="13"/>
      <c r="C2428" s="13" t="s">
        <v>1984</v>
      </c>
      <c r="D2428" s="13" t="s">
        <v>1883</v>
      </c>
      <c r="E2428" s="13"/>
      <c r="F2428" s="13"/>
      <c r="G2428" s="13" t="s">
        <v>1978</v>
      </c>
      <c r="H2428" s="13"/>
      <c r="I2428" s="13"/>
      <c r="J2428" s="13"/>
      <c r="K2428" s="13"/>
      <c r="L2428" s="13"/>
      <c r="M2428" s="14"/>
      <c r="N2428" s="13"/>
      <c r="O2428" s="13"/>
    </row>
    <row r="2429" spans="1:15" ht="19.5" customHeight="1" x14ac:dyDescent="0.25">
      <c r="A2429" s="11" t="s">
        <v>1978</v>
      </c>
      <c r="B2429" s="11"/>
      <c r="C2429" s="11" t="s">
        <v>1983</v>
      </c>
      <c r="D2429" s="11" t="s">
        <v>1883</v>
      </c>
      <c r="E2429" s="11"/>
      <c r="F2429" s="11"/>
      <c r="G2429" s="11" t="s">
        <v>1978</v>
      </c>
      <c r="H2429" s="11"/>
      <c r="I2429" s="11"/>
      <c r="J2429" s="11"/>
      <c r="K2429" s="11"/>
      <c r="L2429" s="11"/>
      <c r="M2429" s="12"/>
      <c r="N2429" s="11"/>
      <c r="O2429" s="11"/>
    </row>
    <row r="2430" spans="1:15" ht="19.5" customHeight="1" x14ac:dyDescent="0.25">
      <c r="A2430" s="13" t="s">
        <v>1978</v>
      </c>
      <c r="B2430" s="13"/>
      <c r="C2430" s="13" t="s">
        <v>1982</v>
      </c>
      <c r="D2430" s="13" t="s">
        <v>1883</v>
      </c>
      <c r="E2430" s="13"/>
      <c r="F2430" s="13"/>
      <c r="G2430" s="13" t="s">
        <v>1978</v>
      </c>
      <c r="H2430" s="13"/>
      <c r="I2430" s="13"/>
      <c r="J2430" s="13"/>
      <c r="K2430" s="13"/>
      <c r="L2430" s="13"/>
      <c r="M2430" s="14"/>
      <c r="N2430" s="13"/>
      <c r="O2430" s="13"/>
    </row>
    <row r="2431" spans="1:15" ht="19.5" customHeight="1" x14ac:dyDescent="0.25">
      <c r="A2431" s="11" t="s">
        <v>1978</v>
      </c>
      <c r="B2431" s="11"/>
      <c r="C2431" s="11" t="s">
        <v>1981</v>
      </c>
      <c r="D2431" s="11" t="s">
        <v>1883</v>
      </c>
      <c r="E2431" s="11"/>
      <c r="F2431" s="11"/>
      <c r="G2431" s="11" t="s">
        <v>1978</v>
      </c>
      <c r="H2431" s="11"/>
      <c r="I2431" s="11"/>
      <c r="J2431" s="11"/>
      <c r="K2431" s="11"/>
      <c r="L2431" s="11"/>
      <c r="M2431" s="12"/>
      <c r="N2431" s="11"/>
      <c r="O2431" s="11"/>
    </row>
    <row r="2432" spans="1:15" ht="19.5" customHeight="1" x14ac:dyDescent="0.25">
      <c r="A2432" s="13" t="s">
        <v>1978</v>
      </c>
      <c r="B2432" s="13"/>
      <c r="C2432" s="13" t="s">
        <v>1980</v>
      </c>
      <c r="D2432" s="13" t="s">
        <v>1883</v>
      </c>
      <c r="E2432" s="13"/>
      <c r="F2432" s="13"/>
      <c r="G2432" s="13" t="s">
        <v>1978</v>
      </c>
      <c r="H2432" s="13"/>
      <c r="I2432" s="13"/>
      <c r="J2432" s="13"/>
      <c r="K2432" s="13"/>
      <c r="L2432" s="13"/>
      <c r="M2432" s="14"/>
      <c r="N2432" s="13"/>
      <c r="O2432" s="13"/>
    </row>
    <row r="2433" spans="1:15" ht="19.5" customHeight="1" x14ac:dyDescent="0.25">
      <c r="A2433" s="11" t="s">
        <v>1978</v>
      </c>
      <c r="B2433" s="11"/>
      <c r="C2433" s="11" t="s">
        <v>1979</v>
      </c>
      <c r="D2433" s="11" t="s">
        <v>1883</v>
      </c>
      <c r="E2433" s="11"/>
      <c r="F2433" s="11"/>
      <c r="G2433" s="11" t="s">
        <v>1978</v>
      </c>
      <c r="H2433" s="11"/>
      <c r="I2433" s="11"/>
      <c r="J2433" s="11"/>
      <c r="K2433" s="11"/>
      <c r="L2433" s="11"/>
      <c r="M2433" s="12"/>
      <c r="N2433" s="11"/>
      <c r="O2433" s="11"/>
    </row>
    <row r="2434" spans="1:15" ht="19.5" customHeight="1" x14ac:dyDescent="0.25">
      <c r="A2434" s="13" t="s">
        <v>1967</v>
      </c>
      <c r="B2434" s="13"/>
      <c r="C2434" s="13" t="s">
        <v>1977</v>
      </c>
      <c r="D2434" s="13" t="s">
        <v>1883</v>
      </c>
      <c r="E2434" s="13" t="s">
        <v>1976</v>
      </c>
      <c r="F2434" s="13"/>
      <c r="G2434" s="13" t="s">
        <v>1967</v>
      </c>
      <c r="H2434" s="13"/>
      <c r="I2434" s="13"/>
      <c r="J2434" s="13"/>
      <c r="K2434" s="13"/>
      <c r="L2434" s="13"/>
      <c r="M2434" s="14"/>
      <c r="N2434" s="13"/>
      <c r="O2434" s="13"/>
    </row>
    <row r="2435" spans="1:15" ht="19.5" customHeight="1" x14ac:dyDescent="0.25">
      <c r="A2435" s="11" t="s">
        <v>1967</v>
      </c>
      <c r="B2435" s="11"/>
      <c r="C2435" s="11" t="s">
        <v>1975</v>
      </c>
      <c r="D2435" s="11" t="s">
        <v>1883</v>
      </c>
      <c r="E2435" s="11"/>
      <c r="F2435" s="11"/>
      <c r="G2435" s="11" t="s">
        <v>1967</v>
      </c>
      <c r="H2435" s="11"/>
      <c r="I2435" s="11"/>
      <c r="J2435" s="11"/>
      <c r="K2435" s="11"/>
      <c r="L2435" s="11"/>
      <c r="M2435" s="12"/>
      <c r="N2435" s="11"/>
      <c r="O2435" s="11"/>
    </row>
    <row r="2436" spans="1:15" ht="19.5" customHeight="1" x14ac:dyDescent="0.25">
      <c r="A2436" s="13" t="s">
        <v>1967</v>
      </c>
      <c r="B2436" s="13"/>
      <c r="C2436" s="13" t="s">
        <v>1974</v>
      </c>
      <c r="D2436" s="13" t="s">
        <v>1883</v>
      </c>
      <c r="E2436" s="13"/>
      <c r="F2436" s="13"/>
      <c r="G2436" s="13" t="s">
        <v>1967</v>
      </c>
      <c r="H2436" s="13"/>
      <c r="I2436" s="13"/>
      <c r="J2436" s="13"/>
      <c r="K2436" s="13"/>
      <c r="L2436" s="13"/>
      <c r="M2436" s="14"/>
      <c r="N2436" s="13"/>
      <c r="O2436" s="13"/>
    </row>
    <row r="2437" spans="1:15" ht="19.5" customHeight="1" x14ac:dyDescent="0.25">
      <c r="A2437" s="11" t="s">
        <v>1967</v>
      </c>
      <c r="B2437" s="11"/>
      <c r="C2437" s="11" t="s">
        <v>1973</v>
      </c>
      <c r="D2437" s="11" t="s">
        <v>1883</v>
      </c>
      <c r="E2437" s="11"/>
      <c r="F2437" s="11"/>
      <c r="G2437" s="11" t="s">
        <v>1967</v>
      </c>
      <c r="H2437" s="11"/>
      <c r="I2437" s="11"/>
      <c r="J2437" s="11"/>
      <c r="K2437" s="11"/>
      <c r="L2437" s="11"/>
      <c r="M2437" s="12"/>
      <c r="N2437" s="11"/>
      <c r="O2437" s="11"/>
    </row>
    <row r="2438" spans="1:15" ht="19.5" customHeight="1" x14ac:dyDescent="0.25">
      <c r="A2438" s="13" t="s">
        <v>1967</v>
      </c>
      <c r="B2438" s="13"/>
      <c r="C2438" s="13" t="s">
        <v>1972</v>
      </c>
      <c r="D2438" s="13" t="s">
        <v>1883</v>
      </c>
      <c r="E2438" s="13"/>
      <c r="F2438" s="13"/>
      <c r="G2438" s="13" t="s">
        <v>1967</v>
      </c>
      <c r="H2438" s="13"/>
      <c r="I2438" s="13"/>
      <c r="J2438" s="13"/>
      <c r="K2438" s="13"/>
      <c r="L2438" s="13"/>
      <c r="M2438" s="14"/>
      <c r="N2438" s="13"/>
      <c r="O2438" s="13"/>
    </row>
    <row r="2439" spans="1:15" ht="19.5" customHeight="1" x14ac:dyDescent="0.25">
      <c r="A2439" s="11" t="s">
        <v>1967</v>
      </c>
      <c r="B2439" s="11"/>
      <c r="C2439" s="11" t="s">
        <v>1971</v>
      </c>
      <c r="D2439" s="11" t="s">
        <v>1883</v>
      </c>
      <c r="E2439" s="11"/>
      <c r="F2439" s="11"/>
      <c r="G2439" s="11" t="s">
        <v>1967</v>
      </c>
      <c r="H2439" s="11"/>
      <c r="I2439" s="11"/>
      <c r="J2439" s="11"/>
      <c r="K2439" s="11"/>
      <c r="L2439" s="11"/>
      <c r="M2439" s="12"/>
      <c r="N2439" s="11"/>
      <c r="O2439" s="11"/>
    </row>
    <row r="2440" spans="1:15" ht="19.5" customHeight="1" x14ac:dyDescent="0.25">
      <c r="A2440" s="13" t="s">
        <v>1967</v>
      </c>
      <c r="B2440" s="13"/>
      <c r="C2440" s="13" t="s">
        <v>1970</v>
      </c>
      <c r="D2440" s="13" t="s">
        <v>1883</v>
      </c>
      <c r="E2440" s="13"/>
      <c r="F2440" s="13"/>
      <c r="G2440" s="13" t="s">
        <v>1967</v>
      </c>
      <c r="H2440" s="13"/>
      <c r="I2440" s="13"/>
      <c r="J2440" s="13"/>
      <c r="K2440" s="13"/>
      <c r="L2440" s="13"/>
      <c r="M2440" s="14"/>
      <c r="N2440" s="13"/>
      <c r="O2440" s="13"/>
    </row>
    <row r="2441" spans="1:15" ht="19.5" customHeight="1" x14ac:dyDescent="0.25">
      <c r="A2441" s="11" t="s">
        <v>1967</v>
      </c>
      <c r="B2441" s="11"/>
      <c r="C2441" s="11" t="s">
        <v>1969</v>
      </c>
      <c r="D2441" s="11" t="s">
        <v>1883</v>
      </c>
      <c r="E2441" s="11"/>
      <c r="F2441" s="11"/>
      <c r="G2441" s="11" t="s">
        <v>1967</v>
      </c>
      <c r="H2441" s="11"/>
      <c r="I2441" s="11"/>
      <c r="J2441" s="11"/>
      <c r="K2441" s="11"/>
      <c r="L2441" s="11"/>
      <c r="M2441" s="12"/>
      <c r="N2441" s="11"/>
      <c r="O2441" s="11"/>
    </row>
    <row r="2442" spans="1:15" x14ac:dyDescent="0.25">
      <c r="A2442" s="13" t="s">
        <v>1967</v>
      </c>
      <c r="B2442" s="13"/>
      <c r="C2442" s="13" t="s">
        <v>1968</v>
      </c>
      <c r="D2442" s="13" t="s">
        <v>1883</v>
      </c>
      <c r="E2442" s="13"/>
      <c r="F2442" s="13"/>
      <c r="G2442" s="13" t="s">
        <v>1967</v>
      </c>
      <c r="H2442" s="13"/>
      <c r="I2442" s="13"/>
      <c r="J2442" s="13"/>
      <c r="K2442" s="13"/>
      <c r="L2442" s="13"/>
      <c r="M2442" s="14"/>
      <c r="N2442" s="13"/>
      <c r="O2442" s="13"/>
    </row>
    <row r="2443" spans="1:15" x14ac:dyDescent="0.25">
      <c r="A2443" s="11" t="s">
        <v>1965</v>
      </c>
      <c r="B2443" s="11"/>
      <c r="C2443" s="11" t="s">
        <v>1966</v>
      </c>
      <c r="D2443" s="11" t="s">
        <v>1883</v>
      </c>
      <c r="E2443" s="11"/>
      <c r="F2443" s="11"/>
      <c r="G2443" s="11" t="s">
        <v>1965</v>
      </c>
      <c r="H2443" s="11"/>
      <c r="I2443" s="11"/>
      <c r="J2443" s="11"/>
      <c r="K2443" s="11"/>
      <c r="L2443" s="11"/>
      <c r="M2443" s="12"/>
      <c r="N2443" s="11"/>
      <c r="O2443" s="11"/>
    </row>
    <row r="2444" spans="1:15" x14ac:dyDescent="0.25">
      <c r="A2444" s="13" t="s">
        <v>1961</v>
      </c>
      <c r="B2444" s="13"/>
      <c r="C2444" s="13" t="s">
        <v>1964</v>
      </c>
      <c r="D2444" s="13" t="s">
        <v>1883</v>
      </c>
      <c r="E2444" s="13"/>
      <c r="F2444" s="13"/>
      <c r="G2444" s="13" t="s">
        <v>1961</v>
      </c>
      <c r="H2444" s="13"/>
      <c r="I2444" s="13"/>
      <c r="J2444" s="13"/>
      <c r="K2444" s="13"/>
      <c r="L2444" s="13"/>
      <c r="M2444" s="14"/>
      <c r="N2444" s="13"/>
      <c r="O2444" s="13"/>
    </row>
    <row r="2445" spans="1:15" x14ac:dyDescent="0.25">
      <c r="A2445" s="11" t="s">
        <v>1961</v>
      </c>
      <c r="B2445" s="11"/>
      <c r="C2445" s="11" t="s">
        <v>1963</v>
      </c>
      <c r="D2445" s="11" t="s">
        <v>1883</v>
      </c>
      <c r="E2445" s="11"/>
      <c r="F2445" s="11"/>
      <c r="G2445" s="11" t="s">
        <v>1961</v>
      </c>
      <c r="H2445" s="11"/>
      <c r="I2445" s="11"/>
      <c r="J2445" s="11"/>
      <c r="K2445" s="11"/>
      <c r="L2445" s="11"/>
      <c r="M2445" s="12"/>
      <c r="N2445" s="11"/>
      <c r="O2445" s="11"/>
    </row>
    <row r="2446" spans="1:15" x14ac:dyDescent="0.25">
      <c r="A2446" s="13" t="s">
        <v>1961</v>
      </c>
      <c r="B2446" s="13"/>
      <c r="C2446" s="13" t="s">
        <v>1962</v>
      </c>
      <c r="D2446" s="13" t="s">
        <v>1883</v>
      </c>
      <c r="E2446" s="13"/>
      <c r="F2446" s="13"/>
      <c r="G2446" s="13" t="s">
        <v>1961</v>
      </c>
      <c r="H2446" s="13"/>
      <c r="I2446" s="13"/>
      <c r="J2446" s="13"/>
      <c r="K2446" s="13"/>
      <c r="L2446" s="13"/>
      <c r="M2446" s="14"/>
      <c r="N2446" s="13"/>
      <c r="O2446" s="13"/>
    </row>
    <row r="2447" spans="1:15" x14ac:dyDescent="0.25">
      <c r="A2447" s="11" t="s">
        <v>1959</v>
      </c>
      <c r="B2447" s="11"/>
      <c r="C2447" s="11" t="s">
        <v>1960</v>
      </c>
      <c r="D2447" s="11" t="s">
        <v>1883</v>
      </c>
      <c r="E2447" s="11"/>
      <c r="F2447" s="11"/>
      <c r="G2447" s="11" t="s">
        <v>1959</v>
      </c>
      <c r="H2447" s="11"/>
      <c r="I2447" s="11"/>
      <c r="J2447" s="11"/>
      <c r="K2447" s="11"/>
      <c r="L2447" s="11"/>
      <c r="M2447" s="12"/>
      <c r="N2447" s="11"/>
      <c r="O2447" s="11"/>
    </row>
    <row r="2448" spans="1:15" x14ac:dyDescent="0.25">
      <c r="A2448" s="13" t="s">
        <v>1955</v>
      </c>
      <c r="B2448" s="13"/>
      <c r="C2448" s="13" t="s">
        <v>1958</v>
      </c>
      <c r="D2448" s="13" t="s">
        <v>1883</v>
      </c>
      <c r="E2448" s="13"/>
      <c r="F2448" s="13"/>
      <c r="G2448" s="13" t="s">
        <v>1955</v>
      </c>
      <c r="H2448" s="13"/>
      <c r="I2448" s="13"/>
      <c r="J2448" s="13"/>
      <c r="K2448" s="13"/>
      <c r="L2448" s="13"/>
      <c r="M2448" s="14"/>
      <c r="N2448" s="13"/>
      <c r="O2448" s="13"/>
    </row>
    <row r="2449" spans="1:15" x14ac:dyDescent="0.25">
      <c r="A2449" s="11" t="s">
        <v>1955</v>
      </c>
      <c r="B2449" s="11"/>
      <c r="C2449" s="11" t="s">
        <v>1957</v>
      </c>
      <c r="D2449" s="11" t="s">
        <v>1883</v>
      </c>
      <c r="E2449" s="11"/>
      <c r="F2449" s="11"/>
      <c r="G2449" s="11" t="s">
        <v>1955</v>
      </c>
      <c r="H2449" s="11"/>
      <c r="I2449" s="11"/>
      <c r="J2449" s="11"/>
      <c r="K2449" s="11"/>
      <c r="L2449" s="11"/>
      <c r="M2449" s="12"/>
      <c r="N2449" s="11"/>
      <c r="O2449" s="11"/>
    </row>
    <row r="2450" spans="1:15" x14ac:dyDescent="0.25">
      <c r="A2450" s="13" t="s">
        <v>1955</v>
      </c>
      <c r="B2450" s="13"/>
      <c r="C2450" s="13" t="s">
        <v>1956</v>
      </c>
      <c r="D2450" s="13" t="s">
        <v>1883</v>
      </c>
      <c r="E2450" s="13"/>
      <c r="F2450" s="13"/>
      <c r="G2450" s="13" t="s">
        <v>1955</v>
      </c>
      <c r="H2450" s="13"/>
      <c r="I2450" s="13"/>
      <c r="J2450" s="13"/>
      <c r="K2450" s="13"/>
      <c r="L2450" s="13"/>
      <c r="M2450" s="14"/>
      <c r="N2450" s="13"/>
      <c r="O2450" s="13"/>
    </row>
    <row r="2451" spans="1:15" x14ac:dyDescent="0.25">
      <c r="A2451" s="11" t="s">
        <v>1953</v>
      </c>
      <c r="B2451" s="11"/>
      <c r="C2451" s="11" t="s">
        <v>1954</v>
      </c>
      <c r="D2451" s="11" t="s">
        <v>1883</v>
      </c>
      <c r="E2451" s="11" t="s">
        <v>1952</v>
      </c>
      <c r="F2451" s="11"/>
      <c r="G2451" s="11" t="s">
        <v>1953</v>
      </c>
      <c r="H2451" s="11"/>
      <c r="I2451" s="11"/>
      <c r="J2451" s="11"/>
      <c r="K2451" s="11" t="s">
        <v>1952</v>
      </c>
      <c r="L2451" s="11"/>
      <c r="M2451" s="12"/>
      <c r="N2451" s="11"/>
      <c r="O2451" s="11" t="s">
        <v>1951</v>
      </c>
    </row>
    <row r="2452" spans="1:15" x14ac:dyDescent="0.25">
      <c r="A2452" s="13" t="s">
        <v>1444</v>
      </c>
      <c r="B2452" s="13"/>
      <c r="C2452" s="13" t="s">
        <v>1443</v>
      </c>
      <c r="D2452" s="13" t="s">
        <v>1950</v>
      </c>
      <c r="E2452" s="13" t="s">
        <v>1949</v>
      </c>
      <c r="F2452" s="13"/>
      <c r="G2452" s="13" t="s">
        <v>1444</v>
      </c>
      <c r="H2452" s="13"/>
      <c r="I2452" s="13" t="s">
        <v>1948</v>
      </c>
      <c r="J2452" s="13" t="s">
        <v>1947</v>
      </c>
      <c r="K2452" s="13" t="s">
        <v>1946</v>
      </c>
      <c r="L2452" s="13"/>
      <c r="M2452" s="14"/>
      <c r="N2452" s="13"/>
      <c r="O2452" s="13" t="s">
        <v>1945</v>
      </c>
    </row>
    <row r="2453" spans="1:15" x14ac:dyDescent="0.25">
      <c r="A2453" s="11" t="s">
        <v>1683</v>
      </c>
      <c r="B2453" s="11"/>
      <c r="C2453" s="11" t="s">
        <v>1944</v>
      </c>
      <c r="D2453" s="11" t="s">
        <v>1883</v>
      </c>
      <c r="E2453" s="11" t="s">
        <v>1943</v>
      </c>
      <c r="F2453" s="11"/>
      <c r="G2453" s="11" t="s">
        <v>1683</v>
      </c>
      <c r="H2453" s="11"/>
      <c r="I2453" s="11"/>
      <c r="J2453" s="11"/>
      <c r="K2453" s="11" t="s">
        <v>1942</v>
      </c>
      <c r="L2453" s="11"/>
      <c r="M2453" s="12"/>
      <c r="N2453" s="11"/>
      <c r="O2453" s="11" t="s">
        <v>1877</v>
      </c>
    </row>
    <row r="2454" spans="1:15" x14ac:dyDescent="0.25">
      <c r="A2454" s="13" t="s">
        <v>1548</v>
      </c>
      <c r="B2454" s="13"/>
      <c r="C2454" s="13" t="s">
        <v>1941</v>
      </c>
      <c r="D2454" s="13" t="s">
        <v>1883</v>
      </c>
      <c r="E2454" s="13" t="s">
        <v>1940</v>
      </c>
      <c r="F2454" s="13"/>
      <c r="G2454" s="13" t="s">
        <v>1548</v>
      </c>
      <c r="H2454" s="13"/>
      <c r="I2454" s="13" t="s">
        <v>1939</v>
      </c>
      <c r="J2454" s="13" t="s">
        <v>1938</v>
      </c>
      <c r="K2454" s="13" t="s">
        <v>1937</v>
      </c>
      <c r="L2454" s="13"/>
      <c r="M2454" s="14"/>
      <c r="N2454" s="13"/>
      <c r="O2454" s="13" t="s">
        <v>1877</v>
      </c>
    </row>
    <row r="2455" spans="1:15" x14ac:dyDescent="0.25">
      <c r="A2455" s="11" t="s">
        <v>1438</v>
      </c>
      <c r="B2455" s="11"/>
      <c r="C2455" s="11" t="s">
        <v>1936</v>
      </c>
      <c r="D2455" s="11" t="s">
        <v>1883</v>
      </c>
      <c r="E2455" s="11" t="s">
        <v>1935</v>
      </c>
      <c r="F2455" s="11"/>
      <c r="G2455" s="11" t="s">
        <v>1934</v>
      </c>
      <c r="H2455" s="11"/>
      <c r="I2455" s="11" t="s">
        <v>1933</v>
      </c>
      <c r="J2455" s="11" t="s">
        <v>1932</v>
      </c>
      <c r="K2455" s="11" t="s">
        <v>1931</v>
      </c>
      <c r="L2455" s="11"/>
      <c r="M2455" s="12"/>
      <c r="N2455" s="11"/>
      <c r="O2455" s="11" t="s">
        <v>1877</v>
      </c>
    </row>
    <row r="2456" spans="1:15" x14ac:dyDescent="0.25">
      <c r="A2456" s="13" t="s">
        <v>1028</v>
      </c>
      <c r="B2456" s="13"/>
      <c r="C2456" s="13" t="s">
        <v>1930</v>
      </c>
      <c r="D2456" s="13" t="s">
        <v>1883</v>
      </c>
      <c r="E2456" s="13" t="s">
        <v>1927</v>
      </c>
      <c r="F2456" s="13"/>
      <c r="G2456" s="13" t="s">
        <v>1028</v>
      </c>
      <c r="H2456" s="13" t="s">
        <v>1926</v>
      </c>
      <c r="I2456" s="13" t="s">
        <v>1925</v>
      </c>
      <c r="J2456" s="13" t="s">
        <v>1924</v>
      </c>
      <c r="K2456" s="13" t="s">
        <v>1923</v>
      </c>
      <c r="L2456" s="13"/>
      <c r="M2456" s="14"/>
      <c r="N2456" s="13"/>
      <c r="O2456" s="13" t="s">
        <v>1877</v>
      </c>
    </row>
    <row r="2457" spans="1:15" x14ac:dyDescent="0.25">
      <c r="A2457" s="11" t="s">
        <v>1028</v>
      </c>
      <c r="B2457" s="11"/>
      <c r="C2457" s="11" t="s">
        <v>1929</v>
      </c>
      <c r="D2457" s="11" t="s">
        <v>1883</v>
      </c>
      <c r="E2457" s="11" t="s">
        <v>1927</v>
      </c>
      <c r="F2457" s="11"/>
      <c r="G2457" s="11" t="s">
        <v>1028</v>
      </c>
      <c r="H2457" s="11" t="s">
        <v>1926</v>
      </c>
      <c r="I2457" s="11" t="s">
        <v>1925</v>
      </c>
      <c r="J2457" s="11" t="s">
        <v>1924</v>
      </c>
      <c r="K2457" s="11" t="s">
        <v>1923</v>
      </c>
      <c r="L2457" s="11"/>
      <c r="M2457" s="12"/>
      <c r="N2457" s="11"/>
      <c r="O2457" s="11" t="s">
        <v>1877</v>
      </c>
    </row>
    <row r="2458" spans="1:15" x14ac:dyDescent="0.25">
      <c r="A2458" s="13" t="s">
        <v>1028</v>
      </c>
      <c r="B2458" s="13"/>
      <c r="C2458" s="13" t="s">
        <v>1928</v>
      </c>
      <c r="D2458" s="13" t="s">
        <v>1883</v>
      </c>
      <c r="E2458" s="13" t="s">
        <v>1927</v>
      </c>
      <c r="F2458" s="13"/>
      <c r="G2458" s="13" t="s">
        <v>1028</v>
      </c>
      <c r="H2458" s="13" t="s">
        <v>1926</v>
      </c>
      <c r="I2458" s="13" t="s">
        <v>1925</v>
      </c>
      <c r="J2458" s="13" t="s">
        <v>1924</v>
      </c>
      <c r="K2458" s="13" t="s">
        <v>1923</v>
      </c>
      <c r="L2458" s="13"/>
      <c r="M2458" s="14"/>
      <c r="N2458" s="13"/>
      <c r="O2458" s="13" t="s">
        <v>1877</v>
      </c>
    </row>
    <row r="2459" spans="1:15" x14ac:dyDescent="0.25">
      <c r="A2459" s="11" t="s">
        <v>1921</v>
      </c>
      <c r="B2459" s="11"/>
      <c r="C2459" s="11" t="s">
        <v>1922</v>
      </c>
      <c r="D2459" s="11" t="s">
        <v>1883</v>
      </c>
      <c r="E2459" s="11"/>
      <c r="F2459" s="11"/>
      <c r="G2459" s="11" t="s">
        <v>1921</v>
      </c>
      <c r="H2459" s="11"/>
      <c r="I2459" s="11"/>
      <c r="J2459" s="11"/>
      <c r="K2459" s="11"/>
      <c r="L2459" s="11"/>
      <c r="M2459" s="12"/>
      <c r="N2459" s="11"/>
      <c r="O2459" s="11"/>
    </row>
    <row r="2460" spans="1:15" x14ac:dyDescent="0.25">
      <c r="A2460" s="13" t="s">
        <v>1919</v>
      </c>
      <c r="B2460" s="13"/>
      <c r="C2460" s="13" t="s">
        <v>1920</v>
      </c>
      <c r="D2460" s="13" t="s">
        <v>1883</v>
      </c>
      <c r="E2460" s="13"/>
      <c r="F2460" s="13"/>
      <c r="G2460" s="13" t="s">
        <v>1919</v>
      </c>
      <c r="H2460" s="13"/>
      <c r="I2460" s="13"/>
      <c r="J2460" s="13"/>
      <c r="K2460" s="13"/>
      <c r="L2460" s="13"/>
      <c r="M2460" s="14"/>
      <c r="N2460" s="13"/>
      <c r="O2460" s="13"/>
    </row>
    <row r="2461" spans="1:15" x14ac:dyDescent="0.25">
      <c r="A2461" s="11" t="s">
        <v>1391</v>
      </c>
      <c r="B2461" s="11"/>
      <c r="C2461" s="11" t="s">
        <v>1918</v>
      </c>
      <c r="D2461" s="11" t="s">
        <v>1883</v>
      </c>
      <c r="E2461" s="11" t="s">
        <v>1917</v>
      </c>
      <c r="F2461" s="11"/>
      <c r="G2461" s="11" t="s">
        <v>1391</v>
      </c>
      <c r="H2461" s="11"/>
      <c r="I2461" s="11"/>
      <c r="J2461" s="11"/>
      <c r="K2461" s="11" t="s">
        <v>1908</v>
      </c>
      <c r="L2461" s="11"/>
      <c r="M2461" s="12"/>
      <c r="N2461" s="11"/>
      <c r="O2461" s="11" t="s">
        <v>1916</v>
      </c>
    </row>
    <row r="2462" spans="1:15" x14ac:dyDescent="0.25">
      <c r="A2462" s="13" t="s">
        <v>1391</v>
      </c>
      <c r="B2462" s="13"/>
      <c r="C2462" s="13" t="s">
        <v>1915</v>
      </c>
      <c r="D2462" s="13" t="s">
        <v>1883</v>
      </c>
      <c r="E2462" s="13" t="s">
        <v>1913</v>
      </c>
      <c r="F2462" s="13"/>
      <c r="G2462" s="13" t="s">
        <v>1912</v>
      </c>
      <c r="H2462" s="13"/>
      <c r="I2462" s="13" t="s">
        <v>1910</v>
      </c>
      <c r="J2462" s="13" t="s">
        <v>1909</v>
      </c>
      <c r="K2462" s="13" t="s">
        <v>1908</v>
      </c>
      <c r="L2462" s="13"/>
      <c r="M2462" s="14"/>
      <c r="N2462" s="13"/>
      <c r="O2462" s="13" t="s">
        <v>1877</v>
      </c>
    </row>
    <row r="2463" spans="1:15" x14ac:dyDescent="0.25">
      <c r="A2463" s="11" t="s">
        <v>1391</v>
      </c>
      <c r="B2463" s="11"/>
      <c r="C2463" s="11" t="s">
        <v>1914</v>
      </c>
      <c r="D2463" s="11" t="s">
        <v>1883</v>
      </c>
      <c r="E2463" s="11" t="s">
        <v>1913</v>
      </c>
      <c r="F2463" s="11"/>
      <c r="G2463" s="11" t="s">
        <v>1912</v>
      </c>
      <c r="H2463" s="11" t="s">
        <v>1911</v>
      </c>
      <c r="I2463" s="11" t="s">
        <v>1910</v>
      </c>
      <c r="J2463" s="11" t="s">
        <v>1909</v>
      </c>
      <c r="K2463" s="11" t="s">
        <v>1908</v>
      </c>
      <c r="L2463" s="11"/>
      <c r="M2463" s="12"/>
      <c r="N2463" s="11"/>
      <c r="O2463" s="11" t="s">
        <v>1877</v>
      </c>
    </row>
    <row r="2464" spans="1:15" x14ac:dyDescent="0.25">
      <c r="A2464" s="13" t="s">
        <v>1906</v>
      </c>
      <c r="B2464" s="13"/>
      <c r="C2464" s="13" t="s">
        <v>1907</v>
      </c>
      <c r="D2464" s="13" t="s">
        <v>1883</v>
      </c>
      <c r="E2464" s="13"/>
      <c r="F2464" s="13"/>
      <c r="G2464" s="13" t="s">
        <v>1906</v>
      </c>
      <c r="H2464" s="13"/>
      <c r="I2464" s="13"/>
      <c r="J2464" s="13"/>
      <c r="K2464" s="13"/>
      <c r="L2464" s="13"/>
      <c r="M2464" s="14"/>
      <c r="N2464" s="13"/>
      <c r="O2464" s="13"/>
    </row>
    <row r="2465" spans="1:15" x14ac:dyDescent="0.25">
      <c r="A2465" s="11" t="s">
        <v>1532</v>
      </c>
      <c r="B2465" s="11"/>
      <c r="C2465" s="11" t="s">
        <v>1905</v>
      </c>
      <c r="D2465" s="11" t="s">
        <v>1883</v>
      </c>
      <c r="E2465" s="11" t="s">
        <v>1904</v>
      </c>
      <c r="F2465" s="11"/>
      <c r="G2465" s="11" t="s">
        <v>1532</v>
      </c>
      <c r="H2465" s="11"/>
      <c r="I2465" s="11" t="s">
        <v>1903</v>
      </c>
      <c r="J2465" s="11" t="s">
        <v>1902</v>
      </c>
      <c r="K2465" s="11" t="s">
        <v>1901</v>
      </c>
      <c r="L2465" s="11"/>
      <c r="M2465" s="12"/>
      <c r="N2465" s="11"/>
      <c r="O2465" s="11" t="s">
        <v>1877</v>
      </c>
    </row>
    <row r="2466" spans="1:15" x14ac:dyDescent="0.25">
      <c r="A2466" s="13" t="s">
        <v>1344</v>
      </c>
      <c r="B2466" s="13"/>
      <c r="C2466" s="13" t="s">
        <v>1900</v>
      </c>
      <c r="D2466" s="13" t="s">
        <v>1883</v>
      </c>
      <c r="E2466" s="13" t="s">
        <v>1899</v>
      </c>
      <c r="F2466" s="13"/>
      <c r="G2466" s="13" t="s">
        <v>1344</v>
      </c>
      <c r="H2466" s="13" t="s">
        <v>1898</v>
      </c>
      <c r="I2466" s="13" t="s">
        <v>1897</v>
      </c>
      <c r="J2466" s="13" t="s">
        <v>1896</v>
      </c>
      <c r="K2466" s="13" t="s">
        <v>1895</v>
      </c>
      <c r="L2466" s="13"/>
      <c r="M2466" s="14"/>
      <c r="N2466" s="13"/>
      <c r="O2466" s="13" t="s">
        <v>1877</v>
      </c>
    </row>
    <row r="2467" spans="1:15" x14ac:dyDescent="0.25">
      <c r="A2467" s="11" t="s">
        <v>1030</v>
      </c>
      <c r="B2467" s="11"/>
      <c r="C2467" s="11" t="s">
        <v>1894</v>
      </c>
      <c r="D2467" s="11" t="s">
        <v>1883</v>
      </c>
      <c r="E2467" s="11" t="s">
        <v>1891</v>
      </c>
      <c r="F2467" s="11"/>
      <c r="G2467" s="11" t="s">
        <v>1030</v>
      </c>
      <c r="H2467" s="11" t="s">
        <v>1890</v>
      </c>
      <c r="I2467" s="11" t="s">
        <v>1893</v>
      </c>
      <c r="J2467" s="11" t="s">
        <v>1888</v>
      </c>
      <c r="K2467" s="11" t="s">
        <v>1887</v>
      </c>
      <c r="L2467" s="11"/>
      <c r="M2467" s="12"/>
      <c r="N2467" s="11"/>
      <c r="O2467" s="11" t="s">
        <v>1877</v>
      </c>
    </row>
    <row r="2468" spans="1:15" x14ac:dyDescent="0.25">
      <c r="A2468" s="13" t="s">
        <v>1030</v>
      </c>
      <c r="B2468" s="13"/>
      <c r="C2468" s="13" t="s">
        <v>1892</v>
      </c>
      <c r="D2468" s="13" t="s">
        <v>1883</v>
      </c>
      <c r="E2468" s="13" t="s">
        <v>1891</v>
      </c>
      <c r="F2468" s="13"/>
      <c r="G2468" s="13" t="s">
        <v>1030</v>
      </c>
      <c r="H2468" s="13" t="s">
        <v>1890</v>
      </c>
      <c r="I2468" s="13" t="s">
        <v>1889</v>
      </c>
      <c r="J2468" s="13" t="s">
        <v>1888</v>
      </c>
      <c r="K2468" s="13" t="s">
        <v>1887</v>
      </c>
      <c r="L2468" s="13"/>
      <c r="M2468" s="14"/>
      <c r="N2468" s="13"/>
      <c r="O2468" s="13" t="s">
        <v>1877</v>
      </c>
    </row>
    <row r="2469" spans="1:15" x14ac:dyDescent="0.25">
      <c r="A2469" s="11" t="s">
        <v>1032</v>
      </c>
      <c r="B2469" s="11"/>
      <c r="C2469" s="11" t="s">
        <v>1886</v>
      </c>
      <c r="D2469" s="11" t="s">
        <v>1883</v>
      </c>
      <c r="E2469" s="11" t="s">
        <v>1882</v>
      </c>
      <c r="F2469" s="11"/>
      <c r="G2469" s="11" t="s">
        <v>1032</v>
      </c>
      <c r="H2469" s="11" t="s">
        <v>1881</v>
      </c>
      <c r="I2469" s="11" t="s">
        <v>1880</v>
      </c>
      <c r="J2469" s="11" t="s">
        <v>1879</v>
      </c>
      <c r="K2469" s="11" t="s">
        <v>1878</v>
      </c>
      <c r="L2469" s="11"/>
      <c r="M2469" s="12"/>
      <c r="N2469" s="11"/>
      <c r="O2469" s="11" t="s">
        <v>1877</v>
      </c>
    </row>
    <row r="2470" spans="1:15" x14ac:dyDescent="0.25">
      <c r="A2470" s="13" t="s">
        <v>1032</v>
      </c>
      <c r="B2470" s="13"/>
      <c r="C2470" s="13" t="s">
        <v>1885</v>
      </c>
      <c r="D2470" s="13" t="s">
        <v>1883</v>
      </c>
      <c r="E2470" s="13" t="s">
        <v>1882</v>
      </c>
      <c r="F2470" s="13"/>
      <c r="G2470" s="13" t="s">
        <v>1032</v>
      </c>
      <c r="H2470" s="13" t="s">
        <v>1881</v>
      </c>
      <c r="I2470" s="13" t="s">
        <v>1880</v>
      </c>
      <c r="J2470" s="13" t="s">
        <v>1879</v>
      </c>
      <c r="K2470" s="13" t="s">
        <v>1878</v>
      </c>
      <c r="L2470" s="13"/>
      <c r="M2470" s="14"/>
      <c r="N2470" s="13"/>
      <c r="O2470" s="13" t="s">
        <v>1877</v>
      </c>
    </row>
    <row r="2471" spans="1:15" x14ac:dyDescent="0.25">
      <c r="A2471" s="11" t="s">
        <v>1032</v>
      </c>
      <c r="B2471" s="11"/>
      <c r="C2471" s="11" t="s">
        <v>1884</v>
      </c>
      <c r="D2471" s="11" t="s">
        <v>1883</v>
      </c>
      <c r="E2471" s="11" t="s">
        <v>1882</v>
      </c>
      <c r="F2471" s="11"/>
      <c r="G2471" s="11" t="s">
        <v>1032</v>
      </c>
      <c r="H2471" s="11" t="s">
        <v>1881</v>
      </c>
      <c r="I2471" s="11" t="s">
        <v>1880</v>
      </c>
      <c r="J2471" s="11" t="s">
        <v>1879</v>
      </c>
      <c r="K2471" s="11" t="s">
        <v>1878</v>
      </c>
      <c r="L2471" s="11"/>
      <c r="M2471" s="12"/>
      <c r="N2471" s="11"/>
      <c r="O2471" s="11" t="s">
        <v>1877</v>
      </c>
    </row>
  </sheetData>
  <autoFilter ref="A4:O2469" xr:uid="{1AEFA9C6-272C-4DD0-A5E0-2386D3FA525F}"/>
  <printOptions horizontalCentered="1"/>
  <pageMargins left="0" right="0" top="0.59" bottom="0.59" header="0.5" footer="0.5"/>
  <pageSetup paperSize="9"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</vt:lpstr>
      <vt:lpstr>DANH MỤC ĐỐI TƯỢNG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2023-12-21T02:11:55Z</dcterms:created>
  <dcterms:modified xsi:type="dcterms:W3CDTF">2024-08-02T06:55:21Z</dcterms:modified>
</cp:coreProperties>
</file>