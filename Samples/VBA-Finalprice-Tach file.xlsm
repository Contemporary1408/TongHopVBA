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10.118.29.7\BTMV-Data\1-ALL\12. 3312\02. SAP\"/>
    </mc:Choice>
  </mc:AlternateContent>
  <xr:revisionPtr revIDLastSave="0" documentId="13_ncr:1_{496C2ADD-FE84-4C57-B30F-A41BA30E687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1" i="1" l="1"/>
  <c r="F129" i="1"/>
  <c r="F179" i="1"/>
  <c r="E2" i="1"/>
  <c r="F2" i="1" s="1"/>
  <c r="E3" i="1"/>
  <c r="F3" i="1" s="1"/>
  <c r="E4" i="1"/>
  <c r="F4" i="1" s="1"/>
  <c r="E5" i="1"/>
  <c r="F5" i="1" s="1"/>
  <c r="E6" i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E22" i="1"/>
  <c r="F22" i="1" s="1"/>
  <c r="E23" i="1"/>
  <c r="E24" i="1"/>
  <c r="F24" i="1" s="1"/>
  <c r="E25" i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E34" i="1"/>
  <c r="F34" i="1" s="1"/>
  <c r="E35" i="1"/>
  <c r="E36" i="1"/>
  <c r="F36" i="1" s="1"/>
  <c r="E37" i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E46" i="1"/>
  <c r="F46" i="1" s="1"/>
  <c r="E47" i="1"/>
  <c r="E48" i="1"/>
  <c r="F48" i="1" s="1"/>
  <c r="E49" i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E58" i="1"/>
  <c r="F58" i="1" s="1"/>
  <c r="E59" i="1"/>
  <c r="E60" i="1"/>
  <c r="F60" i="1" s="1"/>
  <c r="E61" i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F35" i="1" s="1"/>
  <c r="H11" i="1"/>
  <c r="H10" i="1"/>
  <c r="H9" i="1"/>
  <c r="F6" i="1" s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F47" i="1" l="1"/>
  <c r="F25" i="1"/>
  <c r="F57" i="1"/>
  <c r="F45" i="1"/>
  <c r="F33" i="1"/>
  <c r="F21" i="1"/>
  <c r="F59" i="1"/>
  <c r="F37" i="1"/>
  <c r="F23" i="1"/>
  <c r="F49" i="1"/>
  <c r="F61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<sst xmlns="http://schemas.openxmlformats.org/spreadsheetml/2006/main" count="95" uniqueCount="49">
  <si>
    <t>Path</t>
  </si>
  <si>
    <t>Filename</t>
  </si>
  <si>
    <t>Date modified</t>
  </si>
  <si>
    <t>Check</t>
  </si>
  <si>
    <t>Folder</t>
  </si>
  <si>
    <t>Origin INV</t>
  </si>
  <si>
    <t>INV #</t>
  </si>
  <si>
    <t>FWD</t>
  </si>
  <si>
    <t>Amount</t>
  </si>
  <si>
    <t xml:space="preserve">INV date </t>
  </si>
  <si>
    <t>3Z011107</t>
  </si>
  <si>
    <t>JUPITER</t>
  </si>
  <si>
    <t>3Z007722</t>
  </si>
  <si>
    <t>3Z008722</t>
  </si>
  <si>
    <t>3Z009722</t>
  </si>
  <si>
    <t>3Z005302</t>
  </si>
  <si>
    <t>3Z006302</t>
  </si>
  <si>
    <t>4101K</t>
  </si>
  <si>
    <t>4102J</t>
  </si>
  <si>
    <t>4103Z</t>
  </si>
  <si>
    <t>4104B</t>
  </si>
  <si>
    <t>4105Z</t>
  </si>
  <si>
    <t>4106G</t>
  </si>
  <si>
    <t>4107K</t>
  </si>
  <si>
    <t>4108A</t>
  </si>
  <si>
    <t>4109A</t>
  </si>
  <si>
    <t>4110G</t>
  </si>
  <si>
    <t>4111K</t>
  </si>
  <si>
    <t>4112K</t>
  </si>
  <si>
    <t>4113C</t>
  </si>
  <si>
    <t>4114S</t>
  </si>
  <si>
    <t>4115Y</t>
  </si>
  <si>
    <t>4116Z</t>
  </si>
  <si>
    <t>4117A</t>
  </si>
  <si>
    <t>4118Z</t>
  </si>
  <si>
    <t>4119Y</t>
  </si>
  <si>
    <t>4120J</t>
  </si>
  <si>
    <t>4121L</t>
  </si>
  <si>
    <t>4122S</t>
  </si>
  <si>
    <t>4123U</t>
  </si>
  <si>
    <t>4124A</t>
  </si>
  <si>
    <t>4125Z</t>
  </si>
  <si>
    <t>4126K</t>
  </si>
  <si>
    <t>4127A</t>
  </si>
  <si>
    <t>4128K</t>
  </si>
  <si>
    <t>Code check</t>
  </si>
  <si>
    <t>19Feb</t>
  </si>
  <si>
    <t>20Feb</t>
  </si>
  <si>
    <t>21Feb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</si>
</sst>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2" fontId="1" fillId="2" borderId="0" xfId="0" applyNumberFormat="1" applyFont="1" applyFill="1" applyAlignment="1">
      <alignment horizontal="center" vertical="center"/>
    </xf>
    <xf numFmtId="0" fontId="0" fillId="3" borderId="2" xfId="0" applyFill="1" applyBorder="1"/>
    <xf numFmtId="0" fontId="0" fillId="0" borderId="1" xfId="0" applyBorder="1"/>
    <xf numFmtId="0" fontId="0" fillId="3" borderId="1" xfId="0" applyFill="1" applyBorder="1"/>
    <xf numFmtId="0" fontId="0" fillId="3" borderId="3" xfId="0" applyFill="1" applyBorder="1"/>
    <xf numFmtId="0" fontId="2" fillId="4" borderId="1" xfId="0" applyFont="1" applyFill="1" applyBorder="1"/>
    <xf numFmtId="49" fontId="0" fillId="3" borderId="2" xfId="0" applyNumberFormat="1" applyFill="1" applyBorder="1"/>
    <xf numFmtId="49" fontId="0" fillId="0" borderId="1" xfId="0" applyNumberFormat="1" applyBorder="1"/>
    <xf numFmtId="49" fontId="0" fillId="3" borderId="1" xfId="0" applyNumberFormat="1" applyFill="1" applyBorder="1"/>
    <xf numFmtId="49" fontId="0" fillId="3" borderId="3" xfId="0" applyNumberFormat="1" applyFill="1" applyBorder="1"/>
    <xf numFmtId="49" fontId="0" fillId="0" borderId="0" xfId="0" applyNumberFormat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theme="9"/>
        </left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/>
        </left>
        <right/>
        <top style="thin">
          <color theme="9"/>
        </top>
        <bottom/>
        <vertical/>
        <horizontal/>
      </border>
    </dxf>
    <dxf>
      <border outline="0">
        <right style="thin">
          <color theme="9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2</xdr:row>
      <xdr:rowOff>9525</xdr:rowOff>
    </xdr:from>
    <xdr:to>
      <xdr:col>9</xdr:col>
      <xdr:colOff>466725</xdr:colOff>
      <xdr:row>4</xdr:row>
      <xdr:rowOff>133350</xdr:rowOff>
    </xdr:to>
    <xdr:sp macro="[0]!getfiles" textlink="">
      <xdr:nvSpPr>
        <xdr:cNvPr id="2" name="Rectangle 1">
          <a:extLst>
            <a:ext uri="{FF2B5EF4-FFF2-40B4-BE49-F238E27FC236}">
              <a16:creationId xmlns:a16="http://schemas.microsoft.com/office/drawing/2014/main" id="{CD9A78E4-215F-43CC-4D69-3A45D5AFE13D}"/>
            </a:ext>
          </a:extLst>
        </xdr:cNvPr>
        <xdr:cNvSpPr/>
      </xdr:nvSpPr>
      <xdr:spPr>
        <a:xfrm>
          <a:off x="10972800" y="390525"/>
          <a:ext cx="1695450" cy="5048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0FBDF-9E5F-418A-8384-2BB588731699}" name="Table1" displayName="Table1" ref="A1:F189" totalsRowShown="0" headerRowDxfId="10">
  <autoFilter ref="A1:F189" xr:uid="{8E40FBDF-9E5F-418A-8384-2BB588731699}"/>
  <tableColumns count="6">
    <tableColumn id="1" xr3:uid="{D56DF121-97EF-4471-9806-80176B7C2D04}" name="Path"/>
    <tableColumn id="2" xr3:uid="{A7F25276-E5D6-44A1-9FEC-AE9FF9FF7ABD}" name="Filename"/>
    <tableColumn id="3" xr3:uid="{5A9EE5D5-1530-4329-BA9C-FBB9977ABFDF}" name="Date modified"/>
    <tableColumn id="4" xr3:uid="{9FB5B685-85C6-4312-93F2-45834CCAC164}" name="Check" dataDxfId="9"/>
    <tableColumn id="5" xr3:uid="{6A133C30-CE16-4501-96E2-56D4CDF9DED2}" name="Origin INV" dataDxfId="8">
      <calculatedColumnFormula>TRIM(MID(B2,SEARCH(" ",B2)+1,SEARCH("(",B2,SEARCH(" ",B2)+1)-SEARCH(" ",B2)-1))</calculatedColumnFormula>
    </tableColumn>
    <tableColumn id="6" xr3:uid="{94877094-2E41-4EE5-A502-F5513C458B8D}" name="Folder" dataDxfId="7">
      <calculatedColumnFormula>VLOOKUP(Table1[[#This Row],[Origin INV]],$H$9:$L$67,5,0)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1DD46A-90C7-44E8-98E2-80D77907AC3B}" name="Table3" displayName="Table3" ref="H8:L189" totalsRowShown="0" headerRowDxfId="6" dataDxfId="5" tableBorderDxfId="4">
  <autoFilter ref="H8:L189" xr:uid="{561DD46A-90C7-44E8-98E2-80D77907AC3B}"/>
  <tableColumns count="5">
    <tableColumn id="1" xr3:uid="{55B21F75-0132-4980-9EF3-E2D31C003ADA}" name="Code check"/>
    <tableColumn id="2" xr3:uid="{A4FEF87B-04AF-46A3-B89D-58D565BEF3AE}" name="INV #" dataDxfId="3"/>
    <tableColumn id="3" xr3:uid="{57010546-693A-44D0-BA14-7FAF4AE976EA}" name="FWD" dataDxfId="2"/>
    <tableColumn id="4" xr3:uid="{ADD6F97D-4EFB-468C-B0D0-301558682C1C}" name="Amount" dataDxfId="1"/>
    <tableColumn id="5" xr3:uid="{4632B83F-684B-44BC-85F8-A67A6653009F}" name="INV date 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9"/>
  <sheetViews>
    <sheetView tabSelected="1" zoomScaleNormal="100" workbookViewId="0">
      <selection activeCell="K9" sqref="K9"/>
    </sheetView>
  </sheetViews>
  <sheetFormatPr defaultRowHeight="15" x14ac:dyDescent="0.25"/>
  <cols>
    <col min="1" max="1" width="21" customWidth="1"/>
    <col min="2" max="2" width="34" customWidth="1"/>
    <col min="3" max="3" width="15.85546875" customWidth="1"/>
    <col min="4" max="5" width="17" customWidth="1"/>
    <col min="8" max="8" width="13.140625" customWidth="1"/>
    <col min="11" max="11" width="10.28515625" customWidth="1"/>
    <col min="12" max="12" width="11.28515625" customWidth="1"/>
  </cols>
  <sheetData>
    <row r="1" spans="1:12" x14ac:dyDescent="0.25">
      <c r="A1" s="3" t="s">
        <v>0</v>
      </c>
      <c r="B1" s="3" t="s">
        <v>1</v>
      </c>
      <c r="C1" s="4" t="s">
        <v>2</v>
      </c>
      <c r="D1" s="2" t="s">
        <v>3</v>
      </c>
      <c r="E1" s="2" t="s">
        <v>5</v>
      </c>
      <c r="F1" s="3" t="s">
        <v>4</v>
      </c>
    </row>
    <row r="2" spans="1:12" x14ac:dyDescent="0.25">
      <c r="C2" s="1"/>
      <c r="D2" s="2" t="str">
        <f>IFERROR(IF((SEARCH("final price",B2)),"x"),"")</f>
        <v/>
      </c>
      <c r="E2" t="e">
        <f t="shared" ref="E2:E33" si="0">TRIM(MID(B2,SEARCH(" ",B2)+1,SEARCH("(",B2,SEARCH(" ",B2)+1)-SEARCH(" ",B2)-1))</f>
        <v>#VALUE!</v>
      </c>
      <c r="F2" t="e">
        <f>VLOOKUP(Table1[[#This Row],[Origin INV]],$H$9:$L$67,5,0)</f>
        <v>#VALUE!</v>
      </c>
    </row>
    <row r="3" spans="1:12" x14ac:dyDescent="0.25">
      <c r="C3" s="1"/>
      <c r="D3" s="2" t="str">
        <f t="shared" ref="D3:D66" si="1">IFERROR(IF((SEARCH("final price",B3)),"x"),"")</f>
        <v/>
      </c>
      <c r="E3" t="e">
        <f t="shared" si="0"/>
        <v>#VALUE!</v>
      </c>
      <c r="F3" t="e">
        <f>VLOOKUP(Table1[[#This Row],[Origin INV]],$H$9:$L$67,5,0)</f>
        <v>#VALUE!</v>
      </c>
    </row>
    <row r="4" spans="1:12" x14ac:dyDescent="0.25">
      <c r="C4" s="1"/>
      <c r="D4" s="2" t="str">
        <f t="shared" si="1"/>
        <v/>
      </c>
      <c r="E4" t="e">
        <f t="shared" si="0"/>
        <v>#VALUE!</v>
      </c>
      <c r="F4" t="e">
        <f>VLOOKUP(Table1[[#This Row],[Origin INV]],$H$9:$L$67,5,0)</f>
        <v>#VALUE!</v>
      </c>
    </row>
    <row r="5" spans="1:12" x14ac:dyDescent="0.25">
      <c r="C5" s="1"/>
      <c r="D5" s="2" t="str">
        <f t="shared" si="1"/>
        <v/>
      </c>
      <c r="E5" t="e">
        <f t="shared" si="0"/>
        <v>#VALUE!</v>
      </c>
      <c r="F5" t="e">
        <f>VLOOKUP(Table1[[#This Row],[Origin INV]],$H$9:$L$67,5,0)</f>
        <v>#VALUE!</v>
      </c>
    </row>
    <row r="6" spans="1:12" x14ac:dyDescent="0.25">
      <c r="C6" s="1"/>
      <c r="D6" s="2" t="str">
        <f t="shared" si="1"/>
        <v/>
      </c>
      <c r="E6" t="e">
        <f t="shared" si="0"/>
        <v>#VALUE!</v>
      </c>
      <c r="F6" t="e">
        <f>VLOOKUP(Table1[[#This Row],[Origin INV]],$H$9:$L$67,5,0)</f>
        <v>#VALUE!</v>
      </c>
    </row>
    <row r="7" spans="1:12" x14ac:dyDescent="0.25">
      <c r="C7" s="1"/>
      <c r="D7" s="2" t="str">
        <f t="shared" si="1"/>
        <v/>
      </c>
      <c r="E7" t="e">
        <f t="shared" si="0"/>
        <v>#VALUE!</v>
      </c>
      <c r="F7" t="e">
        <f>VLOOKUP(Table1[[#This Row],[Origin INV]],$H$9:$L$67,5,0)</f>
        <v>#VALUE!</v>
      </c>
    </row>
    <row r="8" spans="1:12" ht="15.75" thickBot="1" x14ac:dyDescent="0.3">
      <c r="C8" s="1"/>
      <c r="D8" s="2" t="str">
        <f t="shared" si="1"/>
        <v/>
      </c>
      <c r="E8" t="e">
        <f t="shared" si="0"/>
        <v>#VALUE!</v>
      </c>
      <c r="F8" t="e">
        <f>VLOOKUP(Table1[[#This Row],[Origin INV]],$H$9:$L$67,5,0)</f>
        <v>#VALUE!</v>
      </c>
      <c r="H8" t="s">
        <v>45</v>
      </c>
      <c r="I8" s="9" t="s">
        <v>6</v>
      </c>
      <c r="J8" s="9" t="s">
        <v>7</v>
      </c>
      <c r="K8" s="9" t="s">
        <v>8</v>
      </c>
      <c r="L8" s="9" t="s">
        <v>9</v>
      </c>
    </row>
    <row r="9" spans="1:12" x14ac:dyDescent="0.25">
      <c r="C9" s="1"/>
      <c r="D9" s="2" t="str">
        <f t="shared" si="1"/>
        <v/>
      </c>
      <c r="E9" t="e">
        <f t="shared" si="0"/>
        <v>#VALUE!</v>
      </c>
      <c r="F9" t="e">
        <f>VLOOKUP(Table1[[#This Row],[Origin INV]],$H$9:$L$67,5,0)</f>
        <v>#VALUE!</v>
      </c>
      <c r="H9" t="str">
        <f>TRIM(I9)</f>
        <v>3Z011107</v>
      </c>
      <c r="I9" s="5" t="s">
        <v>10</v>
      </c>
      <c r="J9" s="5" t="s">
        <v>11</v>
      </c>
      <c r="K9" s="5">
        <v>147033.41</v>
      </c>
      <c r="L9" s="10">
        <v>1902</v>
      </c>
    </row>
    <row r="10" spans="1:12" x14ac:dyDescent="0.25">
      <c r="C10" s="1"/>
      <c r="D10" s="2" t="str">
        <f t="shared" si="1"/>
        <v/>
      </c>
      <c r="E10" t="e">
        <f t="shared" si="0"/>
        <v>#VALUE!</v>
      </c>
      <c r="F10" t="e">
        <f>VLOOKUP(Table1[[#This Row],[Origin INV]],$H$9:$L$67,5,0)</f>
        <v>#VALUE!</v>
      </c>
      <c r="H10" t="str">
        <f t="shared" ref="H10:H67" si="2">TRIM(I10)</f>
        <v>3Z007722</v>
      </c>
      <c r="I10" s="6" t="s">
        <v>12</v>
      </c>
      <c r="J10" s="6" t="s">
        <v>11</v>
      </c>
      <c r="K10" s="6">
        <v>132125.32</v>
      </c>
      <c r="L10" s="11">
        <v>1902</v>
      </c>
    </row>
    <row r="11" spans="1:12" x14ac:dyDescent="0.25">
      <c r="C11" s="1"/>
      <c r="D11" s="2" t="str">
        <f t="shared" si="1"/>
        <v/>
      </c>
      <c r="E11" t="e">
        <f t="shared" si="0"/>
        <v>#VALUE!</v>
      </c>
      <c r="F11" t="e">
        <f>VLOOKUP(Table1[[#This Row],[Origin INV]],$H$9:$L$67,5,0)</f>
        <v>#VALUE!</v>
      </c>
      <c r="H11" t="str">
        <f t="shared" si="2"/>
        <v>3Z008722</v>
      </c>
      <c r="I11" s="7" t="s">
        <v>13</v>
      </c>
      <c r="J11" s="7" t="s">
        <v>11</v>
      </c>
      <c r="K11" s="7">
        <v>132125.32</v>
      </c>
      <c r="L11" s="12">
        <v>1902</v>
      </c>
    </row>
    <row r="12" spans="1:12" x14ac:dyDescent="0.25">
      <c r="C12" s="1"/>
      <c r="D12" s="2" t="str">
        <f t="shared" si="1"/>
        <v/>
      </c>
      <c r="E12" t="e">
        <f t="shared" si="0"/>
        <v>#VALUE!</v>
      </c>
      <c r="F12" t="e">
        <f>VLOOKUP(Table1[[#This Row],[Origin INV]],$H$9:$L$67,5,0)</f>
        <v>#VALUE!</v>
      </c>
      <c r="H12" t="str">
        <f t="shared" si="2"/>
        <v>3Z009722</v>
      </c>
      <c r="I12" s="6" t="s">
        <v>14</v>
      </c>
      <c r="J12" s="6" t="s">
        <v>11</v>
      </c>
      <c r="K12" s="6">
        <v>132125.32</v>
      </c>
      <c r="L12" s="11">
        <v>1902</v>
      </c>
    </row>
    <row r="13" spans="1:12" x14ac:dyDescent="0.25">
      <c r="C13" s="1"/>
      <c r="D13" s="2" t="str">
        <f t="shared" si="1"/>
        <v/>
      </c>
      <c r="E13" t="e">
        <f t="shared" si="0"/>
        <v>#VALUE!</v>
      </c>
      <c r="F13" t="e">
        <f>VLOOKUP(Table1[[#This Row],[Origin INV]],$H$9:$L$67,5,0)</f>
        <v>#VALUE!</v>
      </c>
      <c r="H13" t="str">
        <f t="shared" si="2"/>
        <v>3Z005302</v>
      </c>
      <c r="I13" s="7" t="s">
        <v>15</v>
      </c>
      <c r="J13" s="7"/>
      <c r="K13" s="7">
        <v>62960.72</v>
      </c>
      <c r="L13" s="12">
        <v>1902</v>
      </c>
    </row>
    <row r="14" spans="1:12" x14ac:dyDescent="0.25">
      <c r="C14" s="1"/>
      <c r="D14" s="2" t="str">
        <f t="shared" si="1"/>
        <v/>
      </c>
      <c r="E14" t="e">
        <f t="shared" si="0"/>
        <v>#VALUE!</v>
      </c>
      <c r="F14" t="e">
        <f>VLOOKUP(Table1[[#This Row],[Origin INV]],$H$9:$L$67,5,0)</f>
        <v>#VALUE!</v>
      </c>
      <c r="H14" t="str">
        <f t="shared" si="2"/>
        <v>3Z006302</v>
      </c>
      <c r="I14" s="6" t="s">
        <v>16</v>
      </c>
      <c r="J14" s="6" t="s">
        <v>11</v>
      </c>
      <c r="K14" s="6">
        <v>63652.22</v>
      </c>
      <c r="L14" s="11">
        <v>1902</v>
      </c>
    </row>
    <row r="15" spans="1:12" x14ac:dyDescent="0.25">
      <c r="C15" s="1"/>
      <c r="D15" s="2" t="str">
        <f t="shared" si="1"/>
        <v/>
      </c>
      <c r="E15" t="e">
        <f t="shared" si="0"/>
        <v>#VALUE!</v>
      </c>
      <c r="F15" t="e">
        <f>VLOOKUP(Table1[[#This Row],[Origin INV]],$H$9:$L$67,5,0)</f>
        <v>#VALUE!</v>
      </c>
      <c r="H15" t="str">
        <f t="shared" si="2"/>
        <v>4101K</v>
      </c>
      <c r="I15" s="7" t="s">
        <v>17</v>
      </c>
      <c r="J15" s="7" t="s">
        <v>11</v>
      </c>
      <c r="K15" s="7">
        <v>185251.56</v>
      </c>
      <c r="L15" s="12">
        <v>1902</v>
      </c>
    </row>
    <row r="16" spans="1:12" x14ac:dyDescent="0.25">
      <c r="C16" s="1"/>
      <c r="D16" s="2" t="str">
        <f t="shared" si="1"/>
        <v/>
      </c>
      <c r="E16" t="e">
        <f t="shared" si="0"/>
        <v>#VALUE!</v>
      </c>
      <c r="F16" t="e">
        <f>VLOOKUP(Table1[[#This Row],[Origin INV]],$H$9:$L$67,5,0)</f>
        <v>#VALUE!</v>
      </c>
      <c r="H16" t="str">
        <f t="shared" si="2"/>
        <v>4102J</v>
      </c>
      <c r="I16" s="6" t="s">
        <v>18</v>
      </c>
      <c r="J16" s="6"/>
      <c r="K16" s="6">
        <v>35478.639999999999</v>
      </c>
      <c r="L16" s="11">
        <v>1902</v>
      </c>
    </row>
    <row r="17" spans="3:12" x14ac:dyDescent="0.25">
      <c r="C17" s="1"/>
      <c r="D17" s="2" t="str">
        <f t="shared" si="1"/>
        <v/>
      </c>
      <c r="E17" t="e">
        <f t="shared" si="0"/>
        <v>#VALUE!</v>
      </c>
      <c r="F17" t="e">
        <f>VLOOKUP(Table1[[#This Row],[Origin INV]],$H$9:$L$67,5,0)</f>
        <v>#VALUE!</v>
      </c>
      <c r="H17" t="str">
        <f t="shared" si="2"/>
        <v>4103Z</v>
      </c>
      <c r="I17" s="7" t="s">
        <v>19</v>
      </c>
      <c r="J17" s="7"/>
      <c r="K17" s="7">
        <v>35232.6</v>
      </c>
      <c r="L17" s="12">
        <v>1902</v>
      </c>
    </row>
    <row r="18" spans="3:12" x14ac:dyDescent="0.25">
      <c r="C18" s="1"/>
      <c r="D18" s="2" t="str">
        <f t="shared" si="1"/>
        <v/>
      </c>
      <c r="E18" t="e">
        <f t="shared" si="0"/>
        <v>#VALUE!</v>
      </c>
      <c r="F18" t="e">
        <f>VLOOKUP(Table1[[#This Row],[Origin INV]],$H$9:$L$67,5,0)</f>
        <v>#VALUE!</v>
      </c>
      <c r="H18" t="str">
        <f t="shared" si="2"/>
        <v>4104B</v>
      </c>
      <c r="I18" s="6" t="s">
        <v>20</v>
      </c>
      <c r="J18" s="6" t="s">
        <v>11</v>
      </c>
      <c r="K18" s="6">
        <v>134395.92000000001</v>
      </c>
      <c r="L18" s="11">
        <v>1902</v>
      </c>
    </row>
    <row r="19" spans="3:12" x14ac:dyDescent="0.25">
      <c r="C19" s="1"/>
      <c r="D19" s="2" t="str">
        <f t="shared" si="1"/>
        <v/>
      </c>
      <c r="E19" t="e">
        <f t="shared" si="0"/>
        <v>#VALUE!</v>
      </c>
      <c r="F19" t="e">
        <f>VLOOKUP(Table1[[#This Row],[Origin INV]],$H$9:$L$67,5,0)</f>
        <v>#VALUE!</v>
      </c>
      <c r="H19" t="str">
        <f t="shared" si="2"/>
        <v>4105Z</v>
      </c>
      <c r="I19" s="7" t="s">
        <v>21</v>
      </c>
      <c r="J19" s="7" t="s">
        <v>11</v>
      </c>
      <c r="K19" s="7">
        <v>150171.84</v>
      </c>
      <c r="L19" s="12">
        <v>1902</v>
      </c>
    </row>
    <row r="20" spans="3:12" x14ac:dyDescent="0.25">
      <c r="C20" s="1"/>
      <c r="D20" s="2" t="str">
        <f t="shared" si="1"/>
        <v/>
      </c>
      <c r="E20" t="e">
        <f t="shared" si="0"/>
        <v>#VALUE!</v>
      </c>
      <c r="F20" t="e">
        <f>VLOOKUP(Table1[[#This Row],[Origin INV]],$H$9:$L$67,5,0)</f>
        <v>#VALUE!</v>
      </c>
      <c r="H20" t="str">
        <f t="shared" si="2"/>
        <v>4106G</v>
      </c>
      <c r="I20" s="6" t="s">
        <v>22</v>
      </c>
      <c r="J20" s="6" t="s">
        <v>11</v>
      </c>
      <c r="K20" s="6">
        <v>147861.48000000001</v>
      </c>
      <c r="L20" s="11">
        <v>1902</v>
      </c>
    </row>
    <row r="21" spans="3:12" x14ac:dyDescent="0.25">
      <c r="C21" s="1"/>
      <c r="D21" s="2" t="str">
        <f t="shared" si="1"/>
        <v/>
      </c>
      <c r="E21" t="e">
        <f t="shared" si="0"/>
        <v>#VALUE!</v>
      </c>
      <c r="F21" t="e">
        <f>VLOOKUP(Table1[[#This Row],[Origin INV]],$H$9:$L$67,5,0)</f>
        <v>#VALUE!</v>
      </c>
      <c r="H21" t="str">
        <f t="shared" si="2"/>
        <v>4107K</v>
      </c>
      <c r="I21" s="7" t="s">
        <v>23</v>
      </c>
      <c r="J21" s="7" t="s">
        <v>11</v>
      </c>
      <c r="K21" s="7">
        <v>119115.36000000002</v>
      </c>
      <c r="L21" s="12">
        <v>1902</v>
      </c>
    </row>
    <row r="22" spans="3:12" x14ac:dyDescent="0.25">
      <c r="C22" s="1"/>
      <c r="D22" s="2" t="str">
        <f t="shared" si="1"/>
        <v/>
      </c>
      <c r="E22" t="e">
        <f t="shared" si="0"/>
        <v>#VALUE!</v>
      </c>
      <c r="F22" t="e">
        <f>VLOOKUP(Table1[[#This Row],[Origin INV]],$H$9:$L$67,5,0)</f>
        <v>#VALUE!</v>
      </c>
      <c r="H22" t="str">
        <f t="shared" si="2"/>
        <v>4108A</v>
      </c>
      <c r="I22" s="6" t="s">
        <v>24</v>
      </c>
      <c r="J22" s="6" t="s">
        <v>11</v>
      </c>
      <c r="K22" s="6">
        <v>224295.19999999998</v>
      </c>
      <c r="L22" s="11">
        <v>1902</v>
      </c>
    </row>
    <row r="23" spans="3:12" x14ac:dyDescent="0.25">
      <c r="C23" s="1"/>
      <c r="D23" s="2" t="str">
        <f t="shared" si="1"/>
        <v/>
      </c>
      <c r="E23" t="e">
        <f t="shared" si="0"/>
        <v>#VALUE!</v>
      </c>
      <c r="F23" t="e">
        <f>VLOOKUP(Table1[[#This Row],[Origin INV]],$H$9:$L$67,5,0)</f>
        <v>#VALUE!</v>
      </c>
      <c r="H23" t="str">
        <f t="shared" si="2"/>
        <v>4109A</v>
      </c>
      <c r="I23" s="7" t="s">
        <v>25</v>
      </c>
      <c r="J23" s="7" t="s">
        <v>11</v>
      </c>
      <c r="K23" s="7">
        <v>225257.75999999998</v>
      </c>
      <c r="L23" s="12">
        <v>1902</v>
      </c>
    </row>
    <row r="24" spans="3:12" x14ac:dyDescent="0.25">
      <c r="C24" s="1"/>
      <c r="D24" s="2" t="str">
        <f t="shared" si="1"/>
        <v/>
      </c>
      <c r="E24" t="e">
        <f t="shared" si="0"/>
        <v>#VALUE!</v>
      </c>
      <c r="F24" t="e">
        <f>VLOOKUP(Table1[[#This Row],[Origin INV]],$H$9:$L$67,5,0)</f>
        <v>#VALUE!</v>
      </c>
      <c r="H24" t="str">
        <f t="shared" si="2"/>
        <v>4110G</v>
      </c>
      <c r="I24" s="6" t="s">
        <v>26</v>
      </c>
      <c r="J24" s="6" t="s">
        <v>11</v>
      </c>
      <c r="K24" s="6">
        <v>153396.31999999998</v>
      </c>
      <c r="L24" s="11">
        <v>1902</v>
      </c>
    </row>
    <row r="25" spans="3:12" x14ac:dyDescent="0.25">
      <c r="C25" s="1"/>
      <c r="D25" s="2" t="str">
        <f t="shared" si="1"/>
        <v/>
      </c>
      <c r="E25" t="e">
        <f t="shared" si="0"/>
        <v>#VALUE!</v>
      </c>
      <c r="F25" t="e">
        <f>VLOOKUP(Table1[[#This Row],[Origin INV]],$H$9:$L$67,5,0)</f>
        <v>#VALUE!</v>
      </c>
      <c r="H25" t="str">
        <f t="shared" si="2"/>
        <v>4111K</v>
      </c>
      <c r="I25" s="7" t="s">
        <v>27</v>
      </c>
      <c r="J25" s="7" t="s">
        <v>11</v>
      </c>
      <c r="K25" s="7">
        <v>217936.13999999996</v>
      </c>
      <c r="L25" s="12">
        <v>1902</v>
      </c>
    </row>
    <row r="26" spans="3:12" x14ac:dyDescent="0.25">
      <c r="C26" s="1"/>
      <c r="D26" s="2" t="str">
        <f t="shared" si="1"/>
        <v/>
      </c>
      <c r="E26" t="e">
        <f t="shared" si="0"/>
        <v>#VALUE!</v>
      </c>
      <c r="F26" t="e">
        <f>VLOOKUP(Table1[[#This Row],[Origin INV]],$H$9:$L$67,5,0)</f>
        <v>#VALUE!</v>
      </c>
      <c r="H26" t="str">
        <f t="shared" si="2"/>
        <v>4112K</v>
      </c>
      <c r="I26" s="6" t="s">
        <v>28</v>
      </c>
      <c r="J26" s="6" t="s">
        <v>11</v>
      </c>
      <c r="K26" s="6">
        <v>153695.36000000002</v>
      </c>
      <c r="L26" s="11">
        <v>1902</v>
      </c>
    </row>
    <row r="27" spans="3:12" x14ac:dyDescent="0.25">
      <c r="C27" s="1"/>
      <c r="D27" s="2" t="str">
        <f t="shared" si="1"/>
        <v/>
      </c>
      <c r="E27" t="e">
        <f t="shared" si="0"/>
        <v>#VALUE!</v>
      </c>
      <c r="F27" t="e">
        <f>VLOOKUP(Table1[[#This Row],[Origin INV]],$H$9:$L$67,5,0)</f>
        <v>#VALUE!</v>
      </c>
      <c r="H27" t="str">
        <f t="shared" si="2"/>
        <v>4113C</v>
      </c>
      <c r="I27" s="7" t="s">
        <v>29</v>
      </c>
      <c r="J27" s="7" t="s">
        <v>11</v>
      </c>
      <c r="K27" s="7">
        <v>75085.919999999998</v>
      </c>
      <c r="L27" s="12">
        <v>1902</v>
      </c>
    </row>
    <row r="28" spans="3:12" x14ac:dyDescent="0.25">
      <c r="C28" s="1"/>
      <c r="D28" s="2" t="str">
        <f t="shared" si="1"/>
        <v/>
      </c>
      <c r="E28" t="e">
        <f t="shared" si="0"/>
        <v>#VALUE!</v>
      </c>
      <c r="F28" t="e">
        <f>VLOOKUP(Table1[[#This Row],[Origin INV]],$H$9:$L$67,5,0)</f>
        <v>#VALUE!</v>
      </c>
      <c r="H28" t="str">
        <f t="shared" si="2"/>
        <v>4114S</v>
      </c>
      <c r="I28" s="6" t="s">
        <v>30</v>
      </c>
      <c r="J28" s="6" t="s">
        <v>11</v>
      </c>
      <c r="K28" s="6">
        <v>75085.919999999998</v>
      </c>
      <c r="L28" s="11">
        <v>2002</v>
      </c>
    </row>
    <row r="29" spans="3:12" x14ac:dyDescent="0.25">
      <c r="C29" s="1"/>
      <c r="D29" s="2" t="str">
        <f t="shared" si="1"/>
        <v/>
      </c>
      <c r="E29" t="e">
        <f t="shared" si="0"/>
        <v>#VALUE!</v>
      </c>
      <c r="F29" t="e">
        <f>VLOOKUP(Table1[[#This Row],[Origin INV]],$H$9:$L$67,5,0)</f>
        <v>#VALUE!</v>
      </c>
      <c r="H29" t="str">
        <f t="shared" si="2"/>
        <v>4115Y</v>
      </c>
      <c r="I29" s="7" t="s">
        <v>31</v>
      </c>
      <c r="J29" s="7" t="s">
        <v>11</v>
      </c>
      <c r="K29" s="7">
        <v>147861.97999999998</v>
      </c>
      <c r="L29" s="12">
        <v>2002</v>
      </c>
    </row>
    <row r="30" spans="3:12" x14ac:dyDescent="0.25">
      <c r="C30" s="1"/>
      <c r="D30" s="2" t="str">
        <f t="shared" si="1"/>
        <v/>
      </c>
      <c r="E30" t="e">
        <f t="shared" si="0"/>
        <v>#VALUE!</v>
      </c>
      <c r="F30" t="e">
        <f>VLOOKUP(Table1[[#This Row],[Origin INV]],$H$9:$L$67,5,0)</f>
        <v>#VALUE!</v>
      </c>
      <c r="H30" t="str">
        <f t="shared" si="2"/>
        <v>4116Z</v>
      </c>
      <c r="I30" s="6" t="s">
        <v>32</v>
      </c>
      <c r="J30" s="6" t="s">
        <v>11</v>
      </c>
      <c r="K30" s="6">
        <v>153086.18</v>
      </c>
      <c r="L30" s="11">
        <v>2002</v>
      </c>
    </row>
    <row r="31" spans="3:12" x14ac:dyDescent="0.25">
      <c r="C31" s="1"/>
      <c r="D31" s="2" t="str">
        <f t="shared" si="1"/>
        <v/>
      </c>
      <c r="E31" t="e">
        <f t="shared" si="0"/>
        <v>#VALUE!</v>
      </c>
      <c r="F31" t="e">
        <f>VLOOKUP(Table1[[#This Row],[Origin INV]],$H$9:$L$67,5,0)</f>
        <v>#VALUE!</v>
      </c>
      <c r="H31" t="str">
        <f t="shared" si="2"/>
        <v>4117A</v>
      </c>
      <c r="I31" s="7" t="s">
        <v>33</v>
      </c>
      <c r="J31" s="7" t="s">
        <v>11</v>
      </c>
      <c r="K31" s="7">
        <v>374043.33999999997</v>
      </c>
      <c r="L31" s="12">
        <v>2002</v>
      </c>
    </row>
    <row r="32" spans="3:12" x14ac:dyDescent="0.25">
      <c r="C32" s="1"/>
      <c r="D32" s="2" t="str">
        <f t="shared" si="1"/>
        <v/>
      </c>
      <c r="E32" t="e">
        <f t="shared" si="0"/>
        <v>#VALUE!</v>
      </c>
      <c r="F32" t="e">
        <f>VLOOKUP(Table1[[#This Row],[Origin INV]],$H$9:$L$67,5,0)</f>
        <v>#VALUE!</v>
      </c>
      <c r="H32" t="str">
        <f t="shared" si="2"/>
        <v>4118Z</v>
      </c>
      <c r="I32" s="6" t="s">
        <v>34</v>
      </c>
      <c r="J32" s="6" t="s">
        <v>11</v>
      </c>
      <c r="K32" s="6">
        <v>74952.72</v>
      </c>
      <c r="L32" s="11">
        <v>2002</v>
      </c>
    </row>
    <row r="33" spans="3:12" x14ac:dyDescent="0.25">
      <c r="C33" s="1"/>
      <c r="D33" s="2" t="str">
        <f t="shared" si="1"/>
        <v/>
      </c>
      <c r="E33" t="e">
        <f t="shared" si="0"/>
        <v>#VALUE!</v>
      </c>
      <c r="F33" t="e">
        <f>VLOOKUP(Table1[[#This Row],[Origin INV]],$H$9:$L$67,5,0)</f>
        <v>#VALUE!</v>
      </c>
      <c r="H33" t="str">
        <f t="shared" si="2"/>
        <v>4119Y</v>
      </c>
      <c r="I33" s="7" t="s">
        <v>35</v>
      </c>
      <c r="J33" s="7" t="s">
        <v>11</v>
      </c>
      <c r="K33" s="7">
        <v>112628.88</v>
      </c>
      <c r="L33" s="12">
        <v>2002</v>
      </c>
    </row>
    <row r="34" spans="3:12" x14ac:dyDescent="0.25">
      <c r="C34" s="1"/>
      <c r="D34" s="2" t="str">
        <f t="shared" si="1"/>
        <v/>
      </c>
      <c r="E34" t="e">
        <f t="shared" ref="E34:E65" si="3">TRIM(MID(B34,SEARCH(" ",B34)+1,SEARCH("(",B34,SEARCH(" ",B34)+1)-SEARCH(" ",B34)-1))</f>
        <v>#VALUE!</v>
      </c>
      <c r="F34" t="e">
        <f>VLOOKUP(Table1[[#This Row],[Origin INV]],$H$9:$L$67,5,0)</f>
        <v>#VALUE!</v>
      </c>
      <c r="H34" t="str">
        <f t="shared" si="2"/>
        <v>4120J</v>
      </c>
      <c r="I34" s="6" t="s">
        <v>36</v>
      </c>
      <c r="J34" s="6" t="s">
        <v>11</v>
      </c>
      <c r="K34" s="6">
        <v>113946.32</v>
      </c>
      <c r="L34" s="11">
        <v>2002</v>
      </c>
    </row>
    <row r="35" spans="3:12" x14ac:dyDescent="0.25">
      <c r="C35" s="1"/>
      <c r="D35" s="2" t="str">
        <f t="shared" si="1"/>
        <v/>
      </c>
      <c r="E35" t="e">
        <f t="shared" si="3"/>
        <v>#VALUE!</v>
      </c>
      <c r="F35" t="e">
        <f>VLOOKUP(Table1[[#This Row],[Origin INV]],$H$9:$L$67,5,0)</f>
        <v>#VALUE!</v>
      </c>
      <c r="H35" t="str">
        <f t="shared" si="2"/>
        <v>4121L</v>
      </c>
      <c r="I35" s="7" t="s">
        <v>37</v>
      </c>
      <c r="J35" s="7" t="s">
        <v>11</v>
      </c>
      <c r="K35" s="7">
        <v>230144.06999999998</v>
      </c>
      <c r="L35" s="12">
        <v>2002</v>
      </c>
    </row>
    <row r="36" spans="3:12" x14ac:dyDescent="0.25">
      <c r="C36" s="1"/>
      <c r="D36" s="2" t="str">
        <f t="shared" si="1"/>
        <v/>
      </c>
      <c r="E36" t="e">
        <f t="shared" si="3"/>
        <v>#VALUE!</v>
      </c>
      <c r="F36" t="e">
        <f>VLOOKUP(Table1[[#This Row],[Origin INV]],$H$9:$L$67,5,0)</f>
        <v>#VALUE!</v>
      </c>
      <c r="H36" t="str">
        <f t="shared" si="2"/>
        <v>4122S</v>
      </c>
      <c r="I36" s="6" t="s">
        <v>38</v>
      </c>
      <c r="J36" s="6" t="s">
        <v>11</v>
      </c>
      <c r="K36" s="6">
        <v>112628.88</v>
      </c>
      <c r="L36" s="11">
        <v>2002</v>
      </c>
    </row>
    <row r="37" spans="3:12" x14ac:dyDescent="0.25">
      <c r="C37" s="1"/>
      <c r="D37" s="2" t="str">
        <f t="shared" si="1"/>
        <v/>
      </c>
      <c r="E37" t="e">
        <f t="shared" si="3"/>
        <v>#VALUE!</v>
      </c>
      <c r="F37" t="e">
        <f>VLOOKUP(Table1[[#This Row],[Origin INV]],$H$9:$L$67,5,0)</f>
        <v>#VALUE!</v>
      </c>
      <c r="H37" t="str">
        <f t="shared" si="2"/>
        <v>4123U</v>
      </c>
      <c r="I37" s="7" t="s">
        <v>39</v>
      </c>
      <c r="J37" s="7" t="s">
        <v>11</v>
      </c>
      <c r="K37" s="7">
        <v>190362.68</v>
      </c>
      <c r="L37" s="12">
        <v>2002</v>
      </c>
    </row>
    <row r="38" spans="3:12" x14ac:dyDescent="0.25">
      <c r="C38" s="1"/>
      <c r="D38" s="2" t="str">
        <f t="shared" si="1"/>
        <v/>
      </c>
      <c r="E38" t="e">
        <f t="shared" si="3"/>
        <v>#VALUE!</v>
      </c>
      <c r="F38" t="e">
        <f>VLOOKUP(Table1[[#This Row],[Origin INV]],$H$9:$L$67,5,0)</f>
        <v>#VALUE!</v>
      </c>
      <c r="H38" t="str">
        <f t="shared" si="2"/>
        <v>4124A</v>
      </c>
      <c r="I38" s="6" t="s">
        <v>40</v>
      </c>
      <c r="J38" s="6" t="s">
        <v>11</v>
      </c>
      <c r="K38" s="6">
        <v>150171.84</v>
      </c>
      <c r="L38" s="11">
        <v>2002</v>
      </c>
    </row>
    <row r="39" spans="3:12" x14ac:dyDescent="0.25">
      <c r="C39" s="1"/>
      <c r="D39" s="2" t="str">
        <f t="shared" si="1"/>
        <v/>
      </c>
      <c r="E39" t="e">
        <f t="shared" si="3"/>
        <v>#VALUE!</v>
      </c>
      <c r="F39" t="e">
        <f>VLOOKUP(Table1[[#This Row],[Origin INV]],$H$9:$L$67,5,0)</f>
        <v>#VALUE!</v>
      </c>
      <c r="H39" t="str">
        <f t="shared" si="2"/>
        <v>4125Z</v>
      </c>
      <c r="I39" s="7" t="s">
        <v>41</v>
      </c>
      <c r="J39" s="7"/>
      <c r="K39" s="7">
        <v>75085.919999999998</v>
      </c>
      <c r="L39" s="12">
        <v>1902</v>
      </c>
    </row>
    <row r="40" spans="3:12" x14ac:dyDescent="0.25">
      <c r="C40" s="1"/>
      <c r="D40" s="2" t="str">
        <f t="shared" si="1"/>
        <v/>
      </c>
      <c r="E40" t="e">
        <f t="shared" si="3"/>
        <v>#VALUE!</v>
      </c>
      <c r="F40" t="e">
        <f>VLOOKUP(Table1[[#This Row],[Origin INV]],$H$9:$L$67,5,0)</f>
        <v>#VALUE!</v>
      </c>
      <c r="H40" t="str">
        <f t="shared" si="2"/>
        <v>4126K</v>
      </c>
      <c r="I40" s="6" t="s">
        <v>42</v>
      </c>
      <c r="J40" s="6" t="s">
        <v>11</v>
      </c>
      <c r="K40" s="6">
        <v>154496.16</v>
      </c>
      <c r="L40" s="11">
        <v>2002</v>
      </c>
    </row>
    <row r="41" spans="3:12" x14ac:dyDescent="0.25">
      <c r="C41" s="1"/>
      <c r="D41" s="2" t="str">
        <f t="shared" si="1"/>
        <v/>
      </c>
      <c r="E41" t="e">
        <f t="shared" si="3"/>
        <v>#VALUE!</v>
      </c>
      <c r="F41" t="e">
        <f>VLOOKUP(Table1[[#This Row],[Origin INV]],$H$9:$L$67,5,0)</f>
        <v>#VALUE!</v>
      </c>
      <c r="H41" t="str">
        <f t="shared" si="2"/>
        <v>4127A</v>
      </c>
      <c r="I41" s="7" t="s">
        <v>43</v>
      </c>
      <c r="J41" s="7" t="s">
        <v>11</v>
      </c>
      <c r="K41" s="7">
        <v>227419.91999999998</v>
      </c>
      <c r="L41" s="12">
        <v>2002</v>
      </c>
    </row>
    <row r="42" spans="3:12" x14ac:dyDescent="0.25">
      <c r="C42" s="1"/>
      <c r="D42" s="2" t="str">
        <f t="shared" si="1"/>
        <v/>
      </c>
      <c r="E42" t="e">
        <f t="shared" si="3"/>
        <v>#VALUE!</v>
      </c>
      <c r="F42" t="e">
        <f>VLOOKUP(Table1[[#This Row],[Origin INV]],$H$9:$L$67,5,0)</f>
        <v>#VALUE!</v>
      </c>
      <c r="H42" t="str">
        <f t="shared" si="2"/>
        <v>4128K</v>
      </c>
      <c r="I42" s="6" t="s">
        <v>44</v>
      </c>
      <c r="J42" s="6" t="s">
        <v>11</v>
      </c>
      <c r="K42" s="6">
        <v>232316.24</v>
      </c>
      <c r="L42" s="11">
        <v>2002</v>
      </c>
    </row>
    <row r="43" spans="3:12" x14ac:dyDescent="0.25">
      <c r="C43" s="1"/>
      <c r="D43" s="2" t="str">
        <f t="shared" si="1"/>
        <v/>
      </c>
      <c r="E43" t="e">
        <f t="shared" si="3"/>
        <v>#VALUE!</v>
      </c>
      <c r="F43" t="e">
        <f>VLOOKUP(Table1[[#This Row],[Origin INV]],$H$9:$L$67,5,0)</f>
        <v>#VALUE!</v>
      </c>
      <c r="H43" t="str">
        <f t="shared" si="2"/>
        <v>41001722</v>
      </c>
      <c r="I43" s="7">
        <v>41001722</v>
      </c>
      <c r="J43" s="7" t="s">
        <v>11</v>
      </c>
      <c r="K43" s="7">
        <v>130388.66</v>
      </c>
      <c r="L43" s="12">
        <v>2002</v>
      </c>
    </row>
    <row r="44" spans="3:12" x14ac:dyDescent="0.25">
      <c r="C44" s="1"/>
      <c r="D44" s="2" t="str">
        <f t="shared" si="1"/>
        <v/>
      </c>
      <c r="E44" t="e">
        <f t="shared" si="3"/>
        <v>#VALUE!</v>
      </c>
      <c r="F44" t="e">
        <f>VLOOKUP(Table1[[#This Row],[Origin INV]],$H$9:$L$67,5,0)</f>
        <v>#VALUE!</v>
      </c>
      <c r="H44" t="str">
        <f t="shared" si="2"/>
        <v>41002722</v>
      </c>
      <c r="I44" s="6">
        <v>41002722</v>
      </c>
      <c r="J44" s="6" t="s">
        <v>11</v>
      </c>
      <c r="K44" s="6">
        <v>130388.66</v>
      </c>
      <c r="L44" s="11">
        <v>2002</v>
      </c>
    </row>
    <row r="45" spans="3:12" x14ac:dyDescent="0.25">
      <c r="C45" s="1"/>
      <c r="D45" s="2" t="str">
        <f t="shared" si="1"/>
        <v/>
      </c>
      <c r="E45" t="e">
        <f t="shared" si="3"/>
        <v>#VALUE!</v>
      </c>
      <c r="F45" t="e">
        <f>VLOOKUP(Table1[[#This Row],[Origin INV]],$H$9:$L$67,5,0)</f>
        <v>#VALUE!</v>
      </c>
      <c r="H45" t="str">
        <f t="shared" si="2"/>
        <v>41003722</v>
      </c>
      <c r="I45" s="7">
        <v>41003722</v>
      </c>
      <c r="J45" s="7" t="s">
        <v>11</v>
      </c>
      <c r="K45" s="7">
        <v>88072.799999999988</v>
      </c>
      <c r="L45" s="12">
        <v>2102</v>
      </c>
    </row>
    <row r="46" spans="3:12" x14ac:dyDescent="0.25">
      <c r="C46" s="1"/>
      <c r="D46" s="2" t="str">
        <f t="shared" si="1"/>
        <v/>
      </c>
      <c r="E46" t="e">
        <f t="shared" si="3"/>
        <v>#VALUE!</v>
      </c>
      <c r="F46" t="e">
        <f>VLOOKUP(Table1[[#This Row],[Origin INV]],$H$9:$L$67,5,0)</f>
        <v>#VALUE!</v>
      </c>
      <c r="H46" t="str">
        <f t="shared" si="2"/>
        <v>41001107</v>
      </c>
      <c r="I46" s="6">
        <v>41001107</v>
      </c>
      <c r="J46" s="6" t="s">
        <v>11</v>
      </c>
      <c r="K46" s="6">
        <v>70992</v>
      </c>
      <c r="L46" s="11">
        <v>2102</v>
      </c>
    </row>
    <row r="47" spans="3:12" x14ac:dyDescent="0.25">
      <c r="C47" s="1"/>
      <c r="D47" s="2" t="str">
        <f t="shared" si="1"/>
        <v/>
      </c>
      <c r="E47" t="e">
        <f t="shared" si="3"/>
        <v>#VALUE!</v>
      </c>
      <c r="F47" t="e">
        <f>VLOOKUP(Table1[[#This Row],[Origin INV]],$H$9:$L$67,5,0)</f>
        <v>#VALUE!</v>
      </c>
      <c r="H47" t="str">
        <f t="shared" si="2"/>
        <v>41002107</v>
      </c>
      <c r="I47" s="7">
        <v>41002107</v>
      </c>
      <c r="J47" s="7" t="s">
        <v>11</v>
      </c>
      <c r="K47" s="7">
        <v>202580.78000000003</v>
      </c>
      <c r="L47" s="12">
        <v>2102</v>
      </c>
    </row>
    <row r="48" spans="3:12" x14ac:dyDescent="0.25">
      <c r="C48" s="1"/>
      <c r="D48" s="2" t="str">
        <f t="shared" si="1"/>
        <v/>
      </c>
      <c r="E48" t="e">
        <f t="shared" si="3"/>
        <v>#VALUE!</v>
      </c>
      <c r="F48" t="e">
        <f>VLOOKUP(Table1[[#This Row],[Origin INV]],$H$9:$L$67,5,0)</f>
        <v>#VALUE!</v>
      </c>
      <c r="H48" t="str">
        <f t="shared" si="2"/>
        <v>41003107</v>
      </c>
      <c r="I48" s="6">
        <v>41003107</v>
      </c>
      <c r="J48" s="6" t="s">
        <v>11</v>
      </c>
      <c r="K48" s="6">
        <v>136134.72999999998</v>
      </c>
      <c r="L48" s="11">
        <v>2102</v>
      </c>
    </row>
    <row r="49" spans="3:12" x14ac:dyDescent="0.25">
      <c r="C49" s="1"/>
      <c r="D49" s="2" t="str">
        <f t="shared" si="1"/>
        <v/>
      </c>
      <c r="E49" t="e">
        <f t="shared" si="3"/>
        <v>#VALUE!</v>
      </c>
      <c r="F49" t="e">
        <f>VLOOKUP(Table1[[#This Row],[Origin INV]],$H$9:$L$67,5,0)</f>
        <v>#VALUE!</v>
      </c>
      <c r="H49" t="str">
        <f t="shared" si="2"/>
        <v>41004107</v>
      </c>
      <c r="I49" s="7">
        <v>41004107</v>
      </c>
      <c r="J49" s="7" t="s">
        <v>11</v>
      </c>
      <c r="K49" s="7">
        <v>243965.72</v>
      </c>
      <c r="L49" s="12">
        <v>2102</v>
      </c>
    </row>
    <row r="50" spans="3:12" x14ac:dyDescent="0.25">
      <c r="C50" s="1"/>
      <c r="D50" s="2" t="str">
        <f t="shared" si="1"/>
        <v/>
      </c>
      <c r="E50" t="e">
        <f t="shared" si="3"/>
        <v>#VALUE!</v>
      </c>
      <c r="F50" t="e">
        <f>VLOOKUP(Table1[[#This Row],[Origin INV]],$H$9:$L$67,5,0)</f>
        <v>#VALUE!</v>
      </c>
      <c r="H50" t="str">
        <f t="shared" si="2"/>
        <v>41005107</v>
      </c>
      <c r="I50" s="6">
        <v>41005107</v>
      </c>
      <c r="J50" s="6" t="s">
        <v>11</v>
      </c>
      <c r="K50" s="6">
        <v>179898.25999999998</v>
      </c>
      <c r="L50" s="11">
        <v>2102</v>
      </c>
    </row>
    <row r="51" spans="3:12" x14ac:dyDescent="0.25">
      <c r="C51" s="1"/>
      <c r="D51" s="2" t="str">
        <f t="shared" si="1"/>
        <v/>
      </c>
      <c r="E51" t="e">
        <f t="shared" si="3"/>
        <v>#VALUE!</v>
      </c>
      <c r="F51" t="e">
        <f>VLOOKUP(Table1[[#This Row],[Origin INV]],$H$9:$L$67,5,0)</f>
        <v>#VALUE!</v>
      </c>
      <c r="H51" t="str">
        <f t="shared" si="2"/>
        <v>41006107</v>
      </c>
      <c r="I51" s="7">
        <v>41006107</v>
      </c>
      <c r="J51" s="7" t="s">
        <v>11</v>
      </c>
      <c r="K51" s="7">
        <v>135960.16</v>
      </c>
      <c r="L51" s="12">
        <v>2102</v>
      </c>
    </row>
    <row r="52" spans="3:12" x14ac:dyDescent="0.25">
      <c r="C52" s="1"/>
      <c r="D52" s="2" t="str">
        <f t="shared" si="1"/>
        <v/>
      </c>
      <c r="E52" t="e">
        <f t="shared" si="3"/>
        <v>#VALUE!</v>
      </c>
      <c r="F52" t="e">
        <f>VLOOKUP(Table1[[#This Row],[Origin INV]],$H$9:$L$67,5,0)</f>
        <v>#VALUE!</v>
      </c>
      <c r="H52" t="str">
        <f t="shared" si="2"/>
        <v>41007107</v>
      </c>
      <c r="I52" s="6">
        <v>41007107</v>
      </c>
      <c r="J52" s="6" t="s">
        <v>11</v>
      </c>
      <c r="K52" s="6">
        <v>310485.32999999996</v>
      </c>
      <c r="L52" s="11">
        <v>2102</v>
      </c>
    </row>
    <row r="53" spans="3:12" x14ac:dyDescent="0.25">
      <c r="C53" s="1"/>
      <c r="D53" s="2" t="str">
        <f t="shared" si="1"/>
        <v/>
      </c>
      <c r="E53" t="e">
        <f t="shared" si="3"/>
        <v>#VALUE!</v>
      </c>
      <c r="F53" t="e">
        <f>VLOOKUP(Table1[[#This Row],[Origin INV]],$H$9:$L$67,5,0)</f>
        <v>#VALUE!</v>
      </c>
      <c r="H53" t="str">
        <f t="shared" si="2"/>
        <v>41008107</v>
      </c>
      <c r="I53" s="7">
        <v>41008107</v>
      </c>
      <c r="J53" s="7" t="s">
        <v>11</v>
      </c>
      <c r="K53" s="7">
        <v>148093.96</v>
      </c>
      <c r="L53" s="12">
        <v>2102</v>
      </c>
    </row>
    <row r="54" spans="3:12" x14ac:dyDescent="0.25">
      <c r="C54" s="1"/>
      <c r="D54" s="2" t="str">
        <f t="shared" si="1"/>
        <v/>
      </c>
      <c r="E54" t="e">
        <f t="shared" si="3"/>
        <v>#VALUE!</v>
      </c>
      <c r="F54" t="e">
        <f>VLOOKUP(Table1[[#This Row],[Origin INV]],$H$9:$L$67,5,0)</f>
        <v>#VALUE!</v>
      </c>
      <c r="H54" t="str">
        <f t="shared" si="2"/>
        <v>41011107</v>
      </c>
      <c r="I54" s="6">
        <v>41011107</v>
      </c>
      <c r="J54" s="6" t="s">
        <v>11</v>
      </c>
      <c r="K54" s="6">
        <v>317266.56</v>
      </c>
      <c r="L54" s="11">
        <v>2102</v>
      </c>
    </row>
    <row r="55" spans="3:12" x14ac:dyDescent="0.25">
      <c r="C55" s="1"/>
      <c r="D55" s="2" t="str">
        <f t="shared" si="1"/>
        <v/>
      </c>
      <c r="E55" t="e">
        <f t="shared" si="3"/>
        <v>#VALUE!</v>
      </c>
      <c r="F55" t="e">
        <f>VLOOKUP(Table1[[#This Row],[Origin INV]],$H$9:$L$67,5,0)</f>
        <v>#VALUE!</v>
      </c>
      <c r="H55" t="str">
        <f t="shared" si="2"/>
        <v>41001301</v>
      </c>
      <c r="I55" s="7">
        <v>41001301</v>
      </c>
      <c r="J55" s="7"/>
      <c r="K55" s="7">
        <v>33371.769999999997</v>
      </c>
      <c r="L55" s="12">
        <v>1902</v>
      </c>
    </row>
    <row r="56" spans="3:12" x14ac:dyDescent="0.25">
      <c r="C56" s="1"/>
      <c r="D56" s="2" t="str">
        <f t="shared" si="1"/>
        <v/>
      </c>
      <c r="E56" t="e">
        <f t="shared" si="3"/>
        <v>#VALUE!</v>
      </c>
      <c r="F56" t="e">
        <f>VLOOKUP(Table1[[#This Row],[Origin INV]],$H$9:$L$67,5,0)</f>
        <v>#VALUE!</v>
      </c>
      <c r="H56" t="str">
        <f t="shared" si="2"/>
        <v>41002301</v>
      </c>
      <c r="I56" s="6">
        <v>41002301</v>
      </c>
      <c r="J56" s="6" t="s">
        <v>11</v>
      </c>
      <c r="K56" s="6">
        <v>30734.589999999997</v>
      </c>
      <c r="L56" s="11">
        <v>2102</v>
      </c>
    </row>
    <row r="57" spans="3:12" x14ac:dyDescent="0.25">
      <c r="C57" s="1"/>
      <c r="D57" s="2" t="str">
        <f t="shared" si="1"/>
        <v/>
      </c>
      <c r="E57" t="e">
        <f t="shared" si="3"/>
        <v>#VALUE!</v>
      </c>
      <c r="F57" t="e">
        <f>VLOOKUP(Table1[[#This Row],[Origin INV]],$H$9:$L$67,5,0)</f>
        <v>#VALUE!</v>
      </c>
      <c r="H57" t="str">
        <f t="shared" si="2"/>
        <v>41003301</v>
      </c>
      <c r="I57" s="7">
        <v>41003301</v>
      </c>
      <c r="J57" s="7" t="s">
        <v>11</v>
      </c>
      <c r="K57" s="7">
        <v>66477.470000000016</v>
      </c>
      <c r="L57" s="12">
        <v>2102</v>
      </c>
    </row>
    <row r="58" spans="3:12" x14ac:dyDescent="0.25">
      <c r="C58" s="1"/>
      <c r="D58" s="2" t="str">
        <f t="shared" si="1"/>
        <v/>
      </c>
      <c r="E58" t="e">
        <f t="shared" si="3"/>
        <v>#VALUE!</v>
      </c>
      <c r="F58" t="e">
        <f>VLOOKUP(Table1[[#This Row],[Origin INV]],$H$9:$L$67,5,0)</f>
        <v>#VALUE!</v>
      </c>
      <c r="H58" t="str">
        <f t="shared" si="2"/>
        <v>41004301</v>
      </c>
      <c r="I58" s="6">
        <v>41004301</v>
      </c>
      <c r="J58" s="6" t="s">
        <v>11</v>
      </c>
      <c r="K58" s="6">
        <v>69388.45</v>
      </c>
      <c r="L58" s="11">
        <v>2102</v>
      </c>
    </row>
    <row r="59" spans="3:12" x14ac:dyDescent="0.25">
      <c r="C59" s="1"/>
      <c r="D59" s="2" t="str">
        <f t="shared" si="1"/>
        <v/>
      </c>
      <c r="E59" t="e">
        <f t="shared" si="3"/>
        <v>#VALUE!</v>
      </c>
      <c r="F59" t="e">
        <f>VLOOKUP(Table1[[#This Row],[Origin INV]],$H$9:$L$67,5,0)</f>
        <v>#VALUE!</v>
      </c>
      <c r="H59" t="str">
        <f t="shared" si="2"/>
        <v>41005301</v>
      </c>
      <c r="I59" s="7">
        <v>41005301</v>
      </c>
      <c r="J59" s="7"/>
      <c r="K59" s="7">
        <v>66562.78</v>
      </c>
      <c r="L59" s="12">
        <v>1902</v>
      </c>
    </row>
    <row r="60" spans="3:12" x14ac:dyDescent="0.25">
      <c r="C60" s="1"/>
      <c r="D60" s="2" t="str">
        <f t="shared" si="1"/>
        <v/>
      </c>
      <c r="E60" t="e">
        <f t="shared" si="3"/>
        <v>#VALUE!</v>
      </c>
      <c r="F60" t="e">
        <f>VLOOKUP(Table1[[#This Row],[Origin INV]],$H$9:$L$67,5,0)</f>
        <v>#VALUE!</v>
      </c>
      <c r="H60" t="str">
        <f t="shared" si="2"/>
        <v>41006301</v>
      </c>
      <c r="I60" s="6">
        <v>41006301</v>
      </c>
      <c r="J60" s="6" t="s">
        <v>11</v>
      </c>
      <c r="K60" s="6">
        <v>63519.330000000009</v>
      </c>
      <c r="L60" s="11">
        <v>2102</v>
      </c>
    </row>
    <row r="61" spans="3:12" x14ac:dyDescent="0.25">
      <c r="C61" s="1"/>
      <c r="D61" s="2" t="str">
        <f t="shared" si="1"/>
        <v/>
      </c>
      <c r="E61" t="e">
        <f t="shared" si="3"/>
        <v>#VALUE!</v>
      </c>
      <c r="F61" t="e">
        <f>VLOOKUP(Table1[[#This Row],[Origin INV]],$H$9:$L$67,5,0)</f>
        <v>#VALUE!</v>
      </c>
      <c r="H61" t="str">
        <f t="shared" si="2"/>
        <v>41007301</v>
      </c>
      <c r="I61" s="7">
        <v>41007301</v>
      </c>
      <c r="J61" s="7"/>
      <c r="K61" s="7">
        <v>66467.42</v>
      </c>
      <c r="L61" s="12">
        <v>2002</v>
      </c>
    </row>
    <row r="62" spans="3:12" x14ac:dyDescent="0.25">
      <c r="C62" s="1"/>
      <c r="D62" s="2" t="str">
        <f t="shared" si="1"/>
        <v/>
      </c>
      <c r="E62" t="e">
        <f t="shared" si="3"/>
        <v>#VALUE!</v>
      </c>
      <c r="F62" t="e">
        <f>VLOOKUP(Table1[[#This Row],[Origin INV]],$H$9:$L$67,5,0)</f>
        <v>#VALUE!</v>
      </c>
      <c r="H62" t="str">
        <f t="shared" si="2"/>
        <v>41001302</v>
      </c>
      <c r="I62" s="6">
        <v>41001302</v>
      </c>
      <c r="J62" s="6"/>
      <c r="K62" s="6">
        <v>30095.150000000005</v>
      </c>
      <c r="L62" s="11">
        <v>2002</v>
      </c>
    </row>
    <row r="63" spans="3:12" x14ac:dyDescent="0.25">
      <c r="C63" s="1"/>
      <c r="D63" s="2" t="str">
        <f t="shared" si="1"/>
        <v/>
      </c>
      <c r="E63" t="e">
        <f t="shared" si="3"/>
        <v>#VALUE!</v>
      </c>
      <c r="F63" t="e">
        <f>VLOOKUP(Table1[[#This Row],[Origin INV]],$H$9:$L$67,5,0)</f>
        <v>#VALUE!</v>
      </c>
      <c r="H63" t="str">
        <f t="shared" si="2"/>
        <v>41002302</v>
      </c>
      <c r="I63" s="7">
        <v>41002302</v>
      </c>
      <c r="J63" s="7" t="s">
        <v>11</v>
      </c>
      <c r="K63" s="7">
        <v>61568.260000000009</v>
      </c>
      <c r="L63" s="12">
        <v>2102</v>
      </c>
    </row>
    <row r="64" spans="3:12" x14ac:dyDescent="0.25">
      <c r="C64" s="1"/>
      <c r="D64" s="2" t="str">
        <f t="shared" si="1"/>
        <v/>
      </c>
      <c r="E64" t="e">
        <f t="shared" si="3"/>
        <v>#VALUE!</v>
      </c>
      <c r="F64" t="e">
        <f>VLOOKUP(Table1[[#This Row],[Origin INV]],$H$9:$L$67,5,0)</f>
        <v>#VALUE!</v>
      </c>
      <c r="H64" t="str">
        <f t="shared" si="2"/>
        <v>41001211</v>
      </c>
      <c r="I64" s="6">
        <v>41001211</v>
      </c>
      <c r="J64" s="6"/>
      <c r="K64" s="6">
        <v>104961.15</v>
      </c>
      <c r="L64" s="11">
        <v>2002</v>
      </c>
    </row>
    <row r="65" spans="4:12" x14ac:dyDescent="0.25">
      <c r="D65" s="2" t="str">
        <f t="shared" si="1"/>
        <v/>
      </c>
      <c r="E65" t="e">
        <f t="shared" si="3"/>
        <v>#VALUE!</v>
      </c>
      <c r="F65" t="e">
        <f>VLOOKUP(Table1[[#This Row],[Origin INV]],$H$9:$L$67,5,0)</f>
        <v>#VALUE!</v>
      </c>
      <c r="H65" t="str">
        <f t="shared" si="2"/>
        <v>41002211</v>
      </c>
      <c r="I65" s="7">
        <v>41002211</v>
      </c>
      <c r="J65" s="7"/>
      <c r="K65" s="7">
        <v>169019.95</v>
      </c>
      <c r="L65" s="12">
        <v>2002</v>
      </c>
    </row>
    <row r="66" spans="4:12" x14ac:dyDescent="0.25">
      <c r="D66" s="2" t="str">
        <f t="shared" si="1"/>
        <v/>
      </c>
      <c r="E66" t="e">
        <f t="shared" ref="E66:E97" si="4">TRIM(MID(B66,SEARCH(" ",B66)+1,SEARCH("(",B66,SEARCH(" ",B66)+1)-SEARCH(" ",B66)-1))</f>
        <v>#VALUE!</v>
      </c>
      <c r="F66" t="e">
        <f>VLOOKUP(Table1[[#This Row],[Origin INV]],$H$9:$L$67,5,0)</f>
        <v>#VALUE!</v>
      </c>
      <c r="H66" t="str">
        <f t="shared" si="2"/>
        <v>41004211</v>
      </c>
      <c r="I66" s="6">
        <v>41004211</v>
      </c>
      <c r="J66" s="6"/>
      <c r="K66" s="6">
        <v>15613</v>
      </c>
      <c r="L66" s="11">
        <v>2002</v>
      </c>
    </row>
    <row r="67" spans="4:12" x14ac:dyDescent="0.25">
      <c r="D67" s="2" t="str">
        <f t="shared" ref="D67:D130" si="5">IFERROR(IF((SEARCH("final price",B67)),"x"),"")</f>
        <v/>
      </c>
      <c r="E67" t="e">
        <f t="shared" si="4"/>
        <v>#VALUE!</v>
      </c>
      <c r="F67" t="e">
        <f>VLOOKUP(Table1[[#This Row],[Origin INV]],$H$9:$L$67,5,0)</f>
        <v>#VALUE!</v>
      </c>
      <c r="H67" t="str">
        <f t="shared" si="2"/>
        <v>41008211</v>
      </c>
      <c r="I67" s="7">
        <v>41008211</v>
      </c>
      <c r="J67" s="7"/>
      <c r="K67" s="7">
        <v>15913.25</v>
      </c>
      <c r="L67" s="12">
        <v>2002</v>
      </c>
    </row>
    <row r="68" spans="4:12" x14ac:dyDescent="0.25">
      <c r="D68" s="2" t="str">
        <f t="shared" si="5"/>
        <v/>
      </c>
      <c r="E68" t="e">
        <f t="shared" si="4"/>
        <v>#VALUE!</v>
      </c>
      <c r="F68" t="e">
        <f>VLOOKUP(Table1[[#This Row],[Origin INV]],$H$9:$L$67,5,0)</f>
        <v>#VALUE!</v>
      </c>
      <c r="I68" s="6"/>
      <c r="J68" s="6"/>
      <c r="K68" s="6"/>
      <c r="L68" s="11"/>
    </row>
    <row r="69" spans="4:12" x14ac:dyDescent="0.25">
      <c r="D69" s="2" t="str">
        <f t="shared" si="5"/>
        <v/>
      </c>
      <c r="E69" t="e">
        <f t="shared" si="4"/>
        <v>#VALUE!</v>
      </c>
      <c r="F69" t="e">
        <f>VLOOKUP(Table1[[#This Row],[Origin INV]],$H$9:$L$67,5,0)</f>
        <v>#VALUE!</v>
      </c>
      <c r="I69" s="7"/>
      <c r="J69" s="7"/>
      <c r="K69" s="7"/>
      <c r="L69" s="12"/>
    </row>
    <row r="70" spans="4:12" x14ac:dyDescent="0.25">
      <c r="D70" s="2" t="str">
        <f t="shared" si="5"/>
        <v/>
      </c>
      <c r="E70" t="e">
        <f t="shared" si="4"/>
        <v>#VALUE!</v>
      </c>
      <c r="F70" t="e">
        <f>VLOOKUP(Table1[[#This Row],[Origin INV]],$H$9:$L$67,5,0)</f>
        <v>#VALUE!</v>
      </c>
      <c r="I70" s="6"/>
      <c r="J70" s="6"/>
      <c r="K70" s="6"/>
      <c r="L70" s="11"/>
    </row>
    <row r="71" spans="4:12" x14ac:dyDescent="0.25">
      <c r="D71" s="2" t="str">
        <f t="shared" si="5"/>
        <v/>
      </c>
      <c r="E71" t="e">
        <f t="shared" si="4"/>
        <v>#VALUE!</v>
      </c>
      <c r="F71" t="e">
        <f>VLOOKUP(Table1[[#This Row],[Origin INV]],$H$9:$L$67,5,0)</f>
        <v>#VALUE!</v>
      </c>
      <c r="I71" s="7"/>
      <c r="J71" s="7"/>
      <c r="K71" s="7"/>
      <c r="L71" s="12"/>
    </row>
    <row r="72" spans="4:12" x14ac:dyDescent="0.25">
      <c r="D72" s="2" t="str">
        <f t="shared" si="5"/>
        <v/>
      </c>
      <c r="E72" t="e">
        <f t="shared" si="4"/>
        <v>#VALUE!</v>
      </c>
      <c r="F72" t="e">
        <f>VLOOKUP(Table1[[#This Row],[Origin INV]],$H$9:$L$67,5,0)</f>
        <v>#VALUE!</v>
      </c>
      <c r="I72" s="6"/>
      <c r="J72" s="6"/>
      <c r="K72" s="6"/>
      <c r="L72" s="11"/>
    </row>
    <row r="73" spans="4:12" x14ac:dyDescent="0.25">
      <c r="D73" s="2" t="str">
        <f t="shared" si="5"/>
        <v/>
      </c>
      <c r="E73" t="e">
        <f t="shared" si="4"/>
        <v>#VALUE!</v>
      </c>
      <c r="F73" t="e">
        <f>VLOOKUP(Table1[[#This Row],[Origin INV]],$H$9:$L$67,5,0)</f>
        <v>#VALUE!</v>
      </c>
      <c r="I73" s="7"/>
      <c r="J73" s="7"/>
      <c r="K73" s="7"/>
      <c r="L73" s="12"/>
    </row>
    <row r="74" spans="4:12" x14ac:dyDescent="0.25">
      <c r="D74" s="2" t="str">
        <f t="shared" si="5"/>
        <v/>
      </c>
      <c r="E74" t="e">
        <f t="shared" si="4"/>
        <v>#VALUE!</v>
      </c>
      <c r="F74" t="e">
        <f>VLOOKUP(Table1[[#This Row],[Origin INV]],$H$9:$L$67,5,0)</f>
        <v>#VALUE!</v>
      </c>
      <c r="I74" s="6"/>
      <c r="J74" s="6"/>
      <c r="K74" s="6"/>
      <c r="L74" s="11"/>
    </row>
    <row r="75" spans="4:12" x14ac:dyDescent="0.25">
      <c r="D75" s="2" t="str">
        <f t="shared" si="5"/>
        <v/>
      </c>
      <c r="E75" t="e">
        <f t="shared" si="4"/>
        <v>#VALUE!</v>
      </c>
      <c r="F75" t="e">
        <f>VLOOKUP(Table1[[#This Row],[Origin INV]],$H$9:$L$67,5,0)</f>
        <v>#VALUE!</v>
      </c>
      <c r="I75" s="7"/>
      <c r="J75" s="7"/>
      <c r="K75" s="7"/>
      <c r="L75" s="12"/>
    </row>
    <row r="76" spans="4:12" x14ac:dyDescent="0.25">
      <c r="D76" s="2" t="str">
        <f t="shared" si="5"/>
        <v/>
      </c>
      <c r="E76" t="e">
        <f t="shared" si="4"/>
        <v>#VALUE!</v>
      </c>
      <c r="F76" t="e">
        <f>VLOOKUP(Table1[[#This Row],[Origin INV]],$H$9:$L$67,5,0)</f>
        <v>#VALUE!</v>
      </c>
      <c r="I76" s="6"/>
      <c r="J76" s="6"/>
      <c r="K76" s="6"/>
      <c r="L76" s="11"/>
    </row>
    <row r="77" spans="4:12" x14ac:dyDescent="0.25">
      <c r="D77" s="2" t="str">
        <f t="shared" si="5"/>
        <v/>
      </c>
      <c r="E77" t="e">
        <f t="shared" si="4"/>
        <v>#VALUE!</v>
      </c>
      <c r="F77" t="e">
        <f>VLOOKUP(Table1[[#This Row],[Origin INV]],$H$9:$L$67,5,0)</f>
        <v>#VALUE!</v>
      </c>
      <c r="I77" s="7"/>
      <c r="J77" s="7"/>
      <c r="K77" s="7"/>
      <c r="L77" s="12"/>
    </row>
    <row r="78" spans="4:12" x14ac:dyDescent="0.25">
      <c r="D78" s="2" t="str">
        <f t="shared" si="5"/>
        <v/>
      </c>
      <c r="E78" t="e">
        <f t="shared" si="4"/>
        <v>#VALUE!</v>
      </c>
      <c r="F78" t="e">
        <f>VLOOKUP(Table1[[#This Row],[Origin INV]],$H$9:$L$67,5,0)</f>
        <v>#VALUE!</v>
      </c>
      <c r="I78" s="6"/>
      <c r="J78" s="6"/>
      <c r="K78" s="6"/>
      <c r="L78" s="11"/>
    </row>
    <row r="79" spans="4:12" x14ac:dyDescent="0.25">
      <c r="D79" s="2" t="str">
        <f t="shared" si="5"/>
        <v/>
      </c>
      <c r="E79" t="e">
        <f t="shared" si="4"/>
        <v>#VALUE!</v>
      </c>
      <c r="F79" t="e">
        <f>VLOOKUP(Table1[[#This Row],[Origin INV]],$H$9:$L$67,5,0)</f>
        <v>#VALUE!</v>
      </c>
      <c r="I79" s="7"/>
      <c r="J79" s="7"/>
      <c r="K79" s="7"/>
      <c r="L79" s="12"/>
    </row>
    <row r="80" spans="4:12" x14ac:dyDescent="0.25">
      <c r="D80" s="2" t="str">
        <f t="shared" si="5"/>
        <v/>
      </c>
      <c r="E80" t="e">
        <f t="shared" si="4"/>
        <v>#VALUE!</v>
      </c>
      <c r="F80" t="e">
        <f>VLOOKUP(Table1[[#This Row],[Origin INV]],$H$9:$L$67,5,0)</f>
        <v>#VALUE!</v>
      </c>
      <c r="I80" s="6"/>
      <c r="J80" s="6"/>
      <c r="K80" s="6"/>
      <c r="L80" s="11"/>
    </row>
    <row r="81" spans="4:12" x14ac:dyDescent="0.25">
      <c r="D81" s="2" t="str">
        <f t="shared" si="5"/>
        <v/>
      </c>
      <c r="E81" t="e">
        <f t="shared" si="4"/>
        <v>#VALUE!</v>
      </c>
      <c r="F81" t="e">
        <f>VLOOKUP(Table1[[#This Row],[Origin INV]],$H$9:$L$67,5,0)</f>
        <v>#VALUE!</v>
      </c>
      <c r="I81" s="7"/>
      <c r="J81" s="7"/>
      <c r="K81" s="7"/>
      <c r="L81" s="12"/>
    </row>
    <row r="82" spans="4:12" x14ac:dyDescent="0.25">
      <c r="D82" s="2" t="str">
        <f t="shared" si="5"/>
        <v/>
      </c>
      <c r="E82" t="e">
        <f t="shared" si="4"/>
        <v>#VALUE!</v>
      </c>
      <c r="F82" t="e">
        <f>VLOOKUP(Table1[[#This Row],[Origin INV]],$H$9:$L$67,5,0)</f>
        <v>#VALUE!</v>
      </c>
      <c r="I82" s="6"/>
      <c r="J82" s="6"/>
      <c r="K82" s="6"/>
      <c r="L82" s="11"/>
    </row>
    <row r="83" spans="4:12" x14ac:dyDescent="0.25">
      <c r="D83" s="2" t="str">
        <f t="shared" si="5"/>
        <v/>
      </c>
      <c r="E83" t="e">
        <f t="shared" si="4"/>
        <v>#VALUE!</v>
      </c>
      <c r="F83" t="e">
        <f>VLOOKUP(Table1[[#This Row],[Origin INV]],$H$9:$L$67,5,0)</f>
        <v>#VALUE!</v>
      </c>
      <c r="I83" s="7"/>
      <c r="J83" s="7"/>
      <c r="K83" s="7"/>
      <c r="L83" s="12"/>
    </row>
    <row r="84" spans="4:12" x14ac:dyDescent="0.25">
      <c r="D84" s="2" t="str">
        <f t="shared" si="5"/>
        <v/>
      </c>
      <c r="E84" t="e">
        <f t="shared" si="4"/>
        <v>#VALUE!</v>
      </c>
      <c r="F84" t="e">
        <f>VLOOKUP(Table1[[#This Row],[Origin INV]],$H$9:$L$67,5,0)</f>
        <v>#VALUE!</v>
      </c>
      <c r="I84" s="6"/>
      <c r="J84" s="6"/>
      <c r="K84" s="6"/>
      <c r="L84" s="11"/>
    </row>
    <row r="85" spans="4:12" x14ac:dyDescent="0.25">
      <c r="D85" s="2" t="str">
        <f t="shared" si="5"/>
        <v/>
      </c>
      <c r="E85" t="e">
        <f t="shared" si="4"/>
        <v>#VALUE!</v>
      </c>
      <c r="F85" t="e">
        <f>VLOOKUP(Table1[[#This Row],[Origin INV]],$H$9:$L$67,5,0)</f>
        <v>#VALUE!</v>
      </c>
      <c r="I85" s="7"/>
      <c r="J85" s="7"/>
      <c r="K85" s="7"/>
      <c r="L85" s="12"/>
    </row>
    <row r="86" spans="4:12" x14ac:dyDescent="0.25">
      <c r="D86" s="2" t="str">
        <f t="shared" si="5"/>
        <v/>
      </c>
      <c r="E86" t="e">
        <f t="shared" si="4"/>
        <v>#VALUE!</v>
      </c>
      <c r="F86" t="e">
        <f>VLOOKUP(Table1[[#This Row],[Origin INV]],$H$9:$L$67,5,0)</f>
        <v>#VALUE!</v>
      </c>
      <c r="I86" s="6"/>
      <c r="J86" s="6"/>
      <c r="K86" s="6"/>
      <c r="L86" s="11"/>
    </row>
    <row r="87" spans="4:12" x14ac:dyDescent="0.25">
      <c r="D87" s="2" t="str">
        <f t="shared" si="5"/>
        <v/>
      </c>
      <c r="E87" t="e">
        <f t="shared" si="4"/>
        <v>#VALUE!</v>
      </c>
      <c r="F87" t="e">
        <f>VLOOKUP(Table1[[#This Row],[Origin INV]],$H$9:$L$67,5,0)</f>
        <v>#VALUE!</v>
      </c>
      <c r="I87" s="7"/>
      <c r="J87" s="7"/>
      <c r="K87" s="7"/>
      <c r="L87" s="12"/>
    </row>
    <row r="88" spans="4:12" x14ac:dyDescent="0.25">
      <c r="D88" s="2" t="str">
        <f t="shared" si="5"/>
        <v/>
      </c>
      <c r="E88" t="e">
        <f t="shared" si="4"/>
        <v>#VALUE!</v>
      </c>
      <c r="F88" t="e">
        <f>VLOOKUP(Table1[[#This Row],[Origin INV]],$H$9:$L$67,5,0)</f>
        <v>#VALUE!</v>
      </c>
      <c r="I88" s="6"/>
      <c r="J88" s="6"/>
      <c r="K88" s="6"/>
      <c r="L88" s="11"/>
    </row>
    <row r="89" spans="4:12" x14ac:dyDescent="0.25">
      <c r="D89" s="2" t="str">
        <f t="shared" si="5"/>
        <v/>
      </c>
      <c r="E89" t="e">
        <f t="shared" si="4"/>
        <v>#VALUE!</v>
      </c>
      <c r="F89" t="e">
        <f>VLOOKUP(Table1[[#This Row],[Origin INV]],$H$9:$L$67,5,0)</f>
        <v>#VALUE!</v>
      </c>
      <c r="I89" s="7"/>
      <c r="J89" s="7"/>
      <c r="K89" s="7"/>
      <c r="L89" s="12"/>
    </row>
    <row r="90" spans="4:12" x14ac:dyDescent="0.25">
      <c r="D90" s="2" t="str">
        <f t="shared" si="5"/>
        <v/>
      </c>
      <c r="E90" t="e">
        <f t="shared" si="4"/>
        <v>#VALUE!</v>
      </c>
      <c r="F90" t="e">
        <f>VLOOKUP(Table1[[#This Row],[Origin INV]],$H$9:$L$67,5,0)</f>
        <v>#VALUE!</v>
      </c>
      <c r="I90" s="6"/>
      <c r="J90" s="6"/>
      <c r="K90" s="6"/>
      <c r="L90" s="11"/>
    </row>
    <row r="91" spans="4:12" x14ac:dyDescent="0.25">
      <c r="D91" s="2" t="str">
        <f t="shared" si="5"/>
        <v/>
      </c>
      <c r="E91" t="e">
        <f t="shared" si="4"/>
        <v>#VALUE!</v>
      </c>
      <c r="F91" t="e">
        <f>VLOOKUP(Table1[[#This Row],[Origin INV]],$H$9:$L$67,5,0)</f>
        <v>#VALUE!</v>
      </c>
      <c r="I91" s="7"/>
      <c r="J91" s="7"/>
      <c r="K91" s="7"/>
      <c r="L91" s="12"/>
    </row>
    <row r="92" spans="4:12" x14ac:dyDescent="0.25">
      <c r="D92" s="2" t="str">
        <f t="shared" si="5"/>
        <v/>
      </c>
      <c r="E92" t="e">
        <f t="shared" si="4"/>
        <v>#VALUE!</v>
      </c>
      <c r="F92" t="e">
        <f>VLOOKUP(Table1[[#This Row],[Origin INV]],$H$9:$L$67,5,0)</f>
        <v>#VALUE!</v>
      </c>
      <c r="I92" s="6"/>
      <c r="J92" s="6"/>
      <c r="K92" s="6"/>
      <c r="L92" s="11"/>
    </row>
    <row r="93" spans="4:12" x14ac:dyDescent="0.25">
      <c r="D93" s="2" t="str">
        <f t="shared" si="5"/>
        <v/>
      </c>
      <c r="E93" t="e">
        <f t="shared" si="4"/>
        <v>#VALUE!</v>
      </c>
      <c r="F93" t="e">
        <f>VLOOKUP(Table1[[#This Row],[Origin INV]],$H$9:$L$67,5,0)</f>
        <v>#VALUE!</v>
      </c>
      <c r="I93" s="7"/>
      <c r="J93" s="7"/>
      <c r="K93" s="7"/>
      <c r="L93" s="12"/>
    </row>
    <row r="94" spans="4:12" x14ac:dyDescent="0.25">
      <c r="D94" s="2" t="str">
        <f t="shared" si="5"/>
        <v/>
      </c>
      <c r="E94" t="e">
        <f t="shared" si="4"/>
        <v>#VALUE!</v>
      </c>
      <c r="F94" t="e">
        <f>VLOOKUP(Table1[[#This Row],[Origin INV]],$H$9:$L$67,5,0)</f>
        <v>#VALUE!</v>
      </c>
      <c r="I94" s="6"/>
      <c r="J94" s="6"/>
      <c r="K94" s="6"/>
      <c r="L94" s="11"/>
    </row>
    <row r="95" spans="4:12" x14ac:dyDescent="0.25">
      <c r="D95" s="2" t="str">
        <f t="shared" si="5"/>
        <v/>
      </c>
      <c r="E95" t="e">
        <f t="shared" si="4"/>
        <v>#VALUE!</v>
      </c>
      <c r="F95" t="e">
        <f>VLOOKUP(Table1[[#This Row],[Origin INV]],$H$9:$L$67,5,0)</f>
        <v>#VALUE!</v>
      </c>
      <c r="I95" s="7"/>
      <c r="J95" s="7"/>
      <c r="K95" s="7"/>
      <c r="L95" s="12"/>
    </row>
    <row r="96" spans="4:12" x14ac:dyDescent="0.25">
      <c r="D96" s="2" t="str">
        <f t="shared" si="5"/>
        <v/>
      </c>
      <c r="E96" t="e">
        <f t="shared" si="4"/>
        <v>#VALUE!</v>
      </c>
      <c r="F96" t="e">
        <f>VLOOKUP(Table1[[#This Row],[Origin INV]],$H$9:$L$67,5,0)</f>
        <v>#VALUE!</v>
      </c>
      <c r="I96" s="6"/>
      <c r="J96" s="6"/>
      <c r="K96" s="6"/>
      <c r="L96" s="11"/>
    </row>
    <row r="97" spans="4:12" x14ac:dyDescent="0.25">
      <c r="D97" s="2" t="str">
        <f t="shared" si="5"/>
        <v/>
      </c>
      <c r="E97" t="e">
        <f t="shared" si="4"/>
        <v>#VALUE!</v>
      </c>
      <c r="F97" t="e">
        <f>VLOOKUP(Table1[[#This Row],[Origin INV]],$H$9:$L$67,5,0)</f>
        <v>#VALUE!</v>
      </c>
      <c r="I97" s="7"/>
      <c r="J97" s="7"/>
      <c r="K97" s="7"/>
      <c r="L97" s="12"/>
    </row>
    <row r="98" spans="4:12" x14ac:dyDescent="0.25">
      <c r="D98" s="2" t="str">
        <f t="shared" si="5"/>
        <v/>
      </c>
      <c r="E98" t="e">
        <f t="shared" ref="E98:E129" si="6">TRIM(MID(B98,SEARCH(" ",B98)+1,SEARCH("(",B98,SEARCH(" ",B98)+1)-SEARCH(" ",B98)-1))</f>
        <v>#VALUE!</v>
      </c>
      <c r="F98" t="e">
        <f>VLOOKUP(Table1[[#This Row],[Origin INV]],$H$9:$L$67,5,0)</f>
        <v>#VALUE!</v>
      </c>
      <c r="I98" s="6"/>
      <c r="J98" s="6"/>
      <c r="K98" s="6"/>
      <c r="L98" s="11"/>
    </row>
    <row r="99" spans="4:12" x14ac:dyDescent="0.25">
      <c r="D99" s="2" t="str">
        <f t="shared" si="5"/>
        <v/>
      </c>
      <c r="E99" t="e">
        <f t="shared" si="6"/>
        <v>#VALUE!</v>
      </c>
      <c r="F99" t="e">
        <f>VLOOKUP(Table1[[#This Row],[Origin INV]],$H$9:$L$67,5,0)</f>
        <v>#VALUE!</v>
      </c>
      <c r="I99" s="7"/>
      <c r="J99" s="7"/>
      <c r="K99" s="7"/>
      <c r="L99" s="12"/>
    </row>
    <row r="100" spans="4:12" x14ac:dyDescent="0.25">
      <c r="D100" s="2" t="str">
        <f t="shared" si="5"/>
        <v/>
      </c>
      <c r="E100" t="e">
        <f t="shared" si="6"/>
        <v>#VALUE!</v>
      </c>
      <c r="F100" t="e">
        <f>VLOOKUP(Table1[[#This Row],[Origin INV]],$H$9:$L$67,5,0)</f>
        <v>#VALUE!</v>
      </c>
      <c r="I100" s="6"/>
      <c r="J100" s="6"/>
      <c r="K100" s="6"/>
      <c r="L100" s="11"/>
    </row>
    <row r="101" spans="4:12" x14ac:dyDescent="0.25">
      <c r="D101" s="2" t="str">
        <f t="shared" si="5"/>
        <v/>
      </c>
      <c r="E101" t="e">
        <f t="shared" si="6"/>
        <v>#VALUE!</v>
      </c>
      <c r="F101" t="e">
        <f>VLOOKUP(Table1[[#This Row],[Origin INV]],$H$9:$L$67,5,0)</f>
        <v>#VALUE!</v>
      </c>
      <c r="I101" s="7"/>
      <c r="J101" s="7"/>
      <c r="K101" s="7"/>
      <c r="L101" s="12"/>
    </row>
    <row r="102" spans="4:12" x14ac:dyDescent="0.25">
      <c r="D102" s="2" t="str">
        <f t="shared" si="5"/>
        <v/>
      </c>
      <c r="E102" t="e">
        <f t="shared" si="6"/>
        <v>#VALUE!</v>
      </c>
      <c r="F102" t="e">
        <f>VLOOKUP(Table1[[#This Row],[Origin INV]],$H$9:$L$67,5,0)</f>
        <v>#VALUE!</v>
      </c>
      <c r="I102" s="6"/>
      <c r="J102" s="6"/>
      <c r="K102" s="6"/>
      <c r="L102" s="11"/>
    </row>
    <row r="103" spans="4:12" x14ac:dyDescent="0.25">
      <c r="D103" s="2" t="str">
        <f t="shared" si="5"/>
        <v/>
      </c>
      <c r="E103" t="e">
        <f t="shared" si="6"/>
        <v>#VALUE!</v>
      </c>
      <c r="F103" t="e">
        <f>VLOOKUP(Table1[[#This Row],[Origin INV]],$H$9:$L$67,5,0)</f>
        <v>#VALUE!</v>
      </c>
      <c r="I103" s="7"/>
      <c r="J103" s="7"/>
      <c r="K103" s="7"/>
      <c r="L103" s="12"/>
    </row>
    <row r="104" spans="4:12" x14ac:dyDescent="0.25">
      <c r="D104" s="2" t="str">
        <f t="shared" si="5"/>
        <v/>
      </c>
      <c r="E104" t="e">
        <f t="shared" si="6"/>
        <v>#VALUE!</v>
      </c>
      <c r="F104" t="e">
        <f>VLOOKUP(Table1[[#This Row],[Origin INV]],$H$9:$L$67,5,0)</f>
        <v>#VALUE!</v>
      </c>
      <c r="I104" s="6"/>
      <c r="J104" s="6"/>
      <c r="K104" s="6"/>
      <c r="L104" s="11"/>
    </row>
    <row r="105" spans="4:12" x14ac:dyDescent="0.25">
      <c r="D105" s="2" t="str">
        <f t="shared" si="5"/>
        <v/>
      </c>
      <c r="E105" t="e">
        <f t="shared" si="6"/>
        <v>#VALUE!</v>
      </c>
      <c r="F105" t="e">
        <f>VLOOKUP(Table1[[#This Row],[Origin INV]],$H$9:$L$67,5,0)</f>
        <v>#VALUE!</v>
      </c>
      <c r="I105" s="7"/>
      <c r="J105" s="7"/>
      <c r="K105" s="7"/>
      <c r="L105" s="12"/>
    </row>
    <row r="106" spans="4:12" x14ac:dyDescent="0.25">
      <c r="D106" s="2" t="str">
        <f t="shared" si="5"/>
        <v/>
      </c>
      <c r="E106" t="e">
        <f t="shared" si="6"/>
        <v>#VALUE!</v>
      </c>
      <c r="F106" t="e">
        <f>VLOOKUP(Table1[[#This Row],[Origin INV]],$H$9:$L$67,5,0)</f>
        <v>#VALUE!</v>
      </c>
      <c r="I106" s="6"/>
      <c r="J106" s="6"/>
      <c r="K106" s="6"/>
      <c r="L106" s="11"/>
    </row>
    <row r="107" spans="4:12" x14ac:dyDescent="0.25">
      <c r="D107" s="2" t="str">
        <f t="shared" si="5"/>
        <v/>
      </c>
      <c r="E107" t="e">
        <f t="shared" si="6"/>
        <v>#VALUE!</v>
      </c>
      <c r="F107" t="e">
        <f>VLOOKUP(Table1[[#This Row],[Origin INV]],$H$9:$L$67,5,0)</f>
        <v>#VALUE!</v>
      </c>
      <c r="I107" s="7"/>
      <c r="J107" s="7"/>
      <c r="K107" s="7"/>
      <c r="L107" s="12"/>
    </row>
    <row r="108" spans="4:12" x14ac:dyDescent="0.25">
      <c r="D108" s="2" t="str">
        <f t="shared" si="5"/>
        <v/>
      </c>
      <c r="E108" t="e">
        <f t="shared" si="6"/>
        <v>#VALUE!</v>
      </c>
      <c r="F108" t="e">
        <f>VLOOKUP(Table1[[#This Row],[Origin INV]],$H$9:$L$67,5,0)</f>
        <v>#VALUE!</v>
      </c>
      <c r="I108" s="6"/>
      <c r="J108" s="6"/>
      <c r="K108" s="6"/>
      <c r="L108" s="11"/>
    </row>
    <row r="109" spans="4:12" x14ac:dyDescent="0.25">
      <c r="D109" s="2" t="str">
        <f t="shared" si="5"/>
        <v/>
      </c>
      <c r="E109" t="e">
        <f t="shared" si="6"/>
        <v>#VALUE!</v>
      </c>
      <c r="F109" t="e">
        <f>VLOOKUP(Table1[[#This Row],[Origin INV]],$H$9:$L$67,5,0)</f>
        <v>#VALUE!</v>
      </c>
      <c r="I109" s="7"/>
      <c r="J109" s="7"/>
      <c r="K109" s="7"/>
      <c r="L109" s="12"/>
    </row>
    <row r="110" spans="4:12" x14ac:dyDescent="0.25">
      <c r="D110" s="2" t="str">
        <f t="shared" si="5"/>
        <v/>
      </c>
      <c r="E110" t="e">
        <f t="shared" si="6"/>
        <v>#VALUE!</v>
      </c>
      <c r="F110" t="e">
        <f>VLOOKUP(Table1[[#This Row],[Origin INV]],$H$9:$L$67,5,0)</f>
        <v>#VALUE!</v>
      </c>
      <c r="I110" s="6"/>
      <c r="J110" s="6"/>
      <c r="K110" s="6"/>
      <c r="L110" s="11"/>
    </row>
    <row r="111" spans="4:12" x14ac:dyDescent="0.25">
      <c r="D111" s="2" t="str">
        <f t="shared" si="5"/>
        <v/>
      </c>
      <c r="E111" t="e">
        <f t="shared" si="6"/>
        <v>#VALUE!</v>
      </c>
      <c r="F111" t="e">
        <f>VLOOKUP(Table1[[#This Row],[Origin INV]],$H$9:$L$67,5,0)</f>
        <v>#VALUE!</v>
      </c>
      <c r="I111" s="7"/>
      <c r="J111" s="7"/>
      <c r="K111" s="7"/>
      <c r="L111" s="12"/>
    </row>
    <row r="112" spans="4:12" x14ac:dyDescent="0.25">
      <c r="D112" s="2" t="str">
        <f t="shared" si="5"/>
        <v/>
      </c>
      <c r="E112" t="e">
        <f t="shared" si="6"/>
        <v>#VALUE!</v>
      </c>
      <c r="F112" t="e">
        <f>VLOOKUP(Table1[[#This Row],[Origin INV]],$H$9:$L$67,5,0)</f>
        <v>#VALUE!</v>
      </c>
      <c r="I112" s="6"/>
      <c r="J112" s="6"/>
      <c r="K112" s="6"/>
      <c r="L112" s="11"/>
    </row>
    <row r="113" spans="4:12" x14ac:dyDescent="0.25">
      <c r="D113" s="2" t="str">
        <f t="shared" si="5"/>
        <v/>
      </c>
      <c r="E113" t="e">
        <f t="shared" si="6"/>
        <v>#VALUE!</v>
      </c>
      <c r="F113" t="e">
        <f>VLOOKUP(Table1[[#This Row],[Origin INV]],$H$9:$L$67,5,0)</f>
        <v>#VALUE!</v>
      </c>
      <c r="I113" s="7"/>
      <c r="J113" s="7"/>
      <c r="K113" s="7"/>
      <c r="L113" s="12"/>
    </row>
    <row r="114" spans="4:12" x14ac:dyDescent="0.25">
      <c r="D114" s="2" t="str">
        <f t="shared" si="5"/>
        <v/>
      </c>
      <c r="E114" t="e">
        <f t="shared" si="6"/>
        <v>#VALUE!</v>
      </c>
      <c r="F114" t="e">
        <f>VLOOKUP(Table1[[#This Row],[Origin INV]],$H$9:$L$67,5,0)</f>
        <v>#VALUE!</v>
      </c>
      <c r="I114" s="6"/>
      <c r="J114" s="6"/>
      <c r="K114" s="6"/>
      <c r="L114" s="11"/>
    </row>
    <row r="115" spans="4:12" x14ac:dyDescent="0.25">
      <c r="D115" s="2" t="str">
        <f t="shared" si="5"/>
        <v/>
      </c>
      <c r="E115" t="e">
        <f t="shared" si="6"/>
        <v>#VALUE!</v>
      </c>
      <c r="F115" t="e">
        <f>VLOOKUP(Table1[[#This Row],[Origin INV]],$H$9:$L$67,5,0)</f>
        <v>#VALUE!</v>
      </c>
      <c r="I115" s="7"/>
      <c r="J115" s="7"/>
      <c r="K115" s="7"/>
      <c r="L115" s="12"/>
    </row>
    <row r="116" spans="4:12" x14ac:dyDescent="0.25">
      <c r="D116" s="2" t="str">
        <f t="shared" si="5"/>
        <v/>
      </c>
      <c r="E116" t="e">
        <f t="shared" si="6"/>
        <v>#VALUE!</v>
      </c>
      <c r="F116" t="e">
        <f>VLOOKUP(Table1[[#This Row],[Origin INV]],$H$9:$L$67,5,0)</f>
        <v>#VALUE!</v>
      </c>
      <c r="I116" s="6"/>
      <c r="J116" s="6"/>
      <c r="K116" s="6"/>
      <c r="L116" s="11"/>
    </row>
    <row r="117" spans="4:12" x14ac:dyDescent="0.25">
      <c r="D117" s="2" t="str">
        <f t="shared" si="5"/>
        <v/>
      </c>
      <c r="E117" t="e">
        <f t="shared" si="6"/>
        <v>#VALUE!</v>
      </c>
      <c r="F117" t="e">
        <f>VLOOKUP(Table1[[#This Row],[Origin INV]],$H$9:$L$67,5,0)</f>
        <v>#VALUE!</v>
      </c>
      <c r="I117" s="7"/>
      <c r="J117" s="7"/>
      <c r="K117" s="7"/>
      <c r="L117" s="12"/>
    </row>
    <row r="118" spans="4:12" x14ac:dyDescent="0.25">
      <c r="D118" s="2" t="str">
        <f t="shared" si="5"/>
        <v/>
      </c>
      <c r="E118" t="e">
        <f t="shared" si="6"/>
        <v>#VALUE!</v>
      </c>
      <c r="F118" t="e">
        <f>VLOOKUP(Table1[[#This Row],[Origin INV]],$H$9:$L$67,5,0)</f>
        <v>#VALUE!</v>
      </c>
      <c r="I118" s="6"/>
      <c r="J118" s="6"/>
      <c r="K118" s="6"/>
      <c r="L118" s="11"/>
    </row>
    <row r="119" spans="4:12" x14ac:dyDescent="0.25">
      <c r="D119" s="2" t="str">
        <f t="shared" si="5"/>
        <v/>
      </c>
      <c r="E119" t="e">
        <f t="shared" si="6"/>
        <v>#VALUE!</v>
      </c>
      <c r="F119" t="e">
        <f>VLOOKUP(Table1[[#This Row],[Origin INV]],$H$9:$L$67,5,0)</f>
        <v>#VALUE!</v>
      </c>
      <c r="I119" s="7"/>
      <c r="J119" s="7"/>
      <c r="K119" s="7"/>
      <c r="L119" s="12"/>
    </row>
    <row r="120" spans="4:12" x14ac:dyDescent="0.25">
      <c r="D120" s="2" t="str">
        <f t="shared" si="5"/>
        <v/>
      </c>
      <c r="E120" t="e">
        <f t="shared" si="6"/>
        <v>#VALUE!</v>
      </c>
      <c r="F120" t="e">
        <f>VLOOKUP(Table1[[#This Row],[Origin INV]],$H$9:$L$67,5,0)</f>
        <v>#VALUE!</v>
      </c>
      <c r="I120" s="6"/>
      <c r="J120" s="6"/>
      <c r="K120" s="6"/>
      <c r="L120" s="11"/>
    </row>
    <row r="121" spans="4:12" x14ac:dyDescent="0.25">
      <c r="D121" s="2" t="str">
        <f t="shared" si="5"/>
        <v/>
      </c>
      <c r="E121" t="e">
        <f t="shared" si="6"/>
        <v>#VALUE!</v>
      </c>
      <c r="F121" t="e">
        <f>VLOOKUP(Table1[[#This Row],[Origin INV]],$H$9:$L$67,5,0)</f>
        <v>#VALUE!</v>
      </c>
      <c r="I121" s="7"/>
      <c r="J121" s="7"/>
      <c r="K121" s="7"/>
      <c r="L121" s="12"/>
    </row>
    <row r="122" spans="4:12" x14ac:dyDescent="0.25">
      <c r="D122" s="2" t="str">
        <f t="shared" si="5"/>
        <v/>
      </c>
      <c r="E122" t="e">
        <f t="shared" si="6"/>
        <v>#VALUE!</v>
      </c>
      <c r="F122" t="e">
        <f>VLOOKUP(Table1[[#This Row],[Origin INV]],$H$9:$L$67,5,0)</f>
        <v>#VALUE!</v>
      </c>
      <c r="I122" s="6"/>
      <c r="J122" s="6"/>
      <c r="K122" s="6"/>
      <c r="L122" s="11"/>
    </row>
    <row r="123" spans="4:12" x14ac:dyDescent="0.25">
      <c r="D123" s="2" t="str">
        <f t="shared" si="5"/>
        <v/>
      </c>
      <c r="E123" t="e">
        <f t="shared" si="6"/>
        <v>#VALUE!</v>
      </c>
      <c r="F123" t="e">
        <f>VLOOKUP(Table1[[#This Row],[Origin INV]],$H$9:$L$67,5,0)</f>
        <v>#VALUE!</v>
      </c>
      <c r="I123" s="7"/>
      <c r="J123" s="7"/>
      <c r="K123" s="7"/>
      <c r="L123" s="12"/>
    </row>
    <row r="124" spans="4:12" x14ac:dyDescent="0.25">
      <c r="D124" s="2" t="str">
        <f t="shared" si="5"/>
        <v/>
      </c>
      <c r="E124" t="e">
        <f t="shared" si="6"/>
        <v>#VALUE!</v>
      </c>
      <c r="F124" t="e">
        <f>VLOOKUP(Table1[[#This Row],[Origin INV]],$H$9:$L$67,5,0)</f>
        <v>#VALUE!</v>
      </c>
      <c r="I124" s="6"/>
      <c r="J124" s="6"/>
      <c r="K124" s="6"/>
      <c r="L124" s="11"/>
    </row>
    <row r="125" spans="4:12" x14ac:dyDescent="0.25">
      <c r="D125" s="2" t="str">
        <f t="shared" si="5"/>
        <v/>
      </c>
      <c r="E125" t="e">
        <f t="shared" si="6"/>
        <v>#VALUE!</v>
      </c>
      <c r="F125" t="e">
        <f>VLOOKUP(Table1[[#This Row],[Origin INV]],$H$9:$L$67,5,0)</f>
        <v>#VALUE!</v>
      </c>
      <c r="I125" s="7"/>
      <c r="J125" s="7"/>
      <c r="K125" s="7"/>
      <c r="L125" s="12"/>
    </row>
    <row r="126" spans="4:12" x14ac:dyDescent="0.25">
      <c r="D126" s="2" t="str">
        <f t="shared" si="5"/>
        <v/>
      </c>
      <c r="E126" t="e">
        <f t="shared" si="6"/>
        <v>#VALUE!</v>
      </c>
      <c r="F126" t="e">
        <f>VLOOKUP(Table1[[#This Row],[Origin INV]],$H$9:$L$67,5,0)</f>
        <v>#VALUE!</v>
      </c>
      <c r="I126" s="6"/>
      <c r="J126" s="6"/>
      <c r="K126" s="6"/>
      <c r="L126" s="11"/>
    </row>
    <row r="127" spans="4:12" x14ac:dyDescent="0.25">
      <c r="D127" s="2" t="str">
        <f t="shared" si="5"/>
        <v/>
      </c>
      <c r="E127" t="e">
        <f t="shared" si="6"/>
        <v>#VALUE!</v>
      </c>
      <c r="F127" t="e">
        <f>VLOOKUP(Table1[[#This Row],[Origin INV]],$H$9:$L$67,5,0)</f>
        <v>#VALUE!</v>
      </c>
      <c r="I127" s="7"/>
      <c r="J127" s="7"/>
      <c r="K127" s="7"/>
      <c r="L127" s="12"/>
    </row>
    <row r="128" spans="4:12" x14ac:dyDescent="0.25">
      <c r="D128" s="2" t="str">
        <f t="shared" si="5"/>
        <v/>
      </c>
      <c r="E128" t="e">
        <f t="shared" si="6"/>
        <v>#VALUE!</v>
      </c>
      <c r="F128" t="e">
        <f>VLOOKUP(Table1[[#This Row],[Origin INV]],$H$9:$L$67,5,0)</f>
        <v>#VALUE!</v>
      </c>
      <c r="I128" s="6"/>
      <c r="J128" s="6"/>
      <c r="K128" s="6"/>
      <c r="L128" s="11"/>
    </row>
    <row r="129" spans="4:12" x14ac:dyDescent="0.25">
      <c r="D129" s="2" t="str">
        <f t="shared" si="5"/>
        <v/>
      </c>
      <c r="E129" t="e">
        <f t="shared" si="6"/>
        <v>#VALUE!</v>
      </c>
      <c r="F129" t="e">
        <f>VLOOKUP(Table1[[#This Row],[Origin INV]],$H$9:$L$67,5,0)</f>
        <v>#VALUE!</v>
      </c>
      <c r="I129" s="7"/>
      <c r="J129" s="7"/>
      <c r="K129" s="7"/>
      <c r="L129" s="12"/>
    </row>
    <row r="130" spans="4:12" x14ac:dyDescent="0.25">
      <c r="D130" s="2" t="str">
        <f t="shared" si="5"/>
        <v/>
      </c>
      <c r="E130" t="e">
        <f t="shared" ref="E130:E161" si="7">TRIM(MID(B130,SEARCH(" ",B130)+1,SEARCH("(",B130,SEARCH(" ",B130)+1)-SEARCH(" ",B130)-1))</f>
        <v>#VALUE!</v>
      </c>
      <c r="F130" t="e">
        <f>VLOOKUP(Table1[[#This Row],[Origin INV]],$H$9:$L$67,5,0)</f>
        <v>#VALUE!</v>
      </c>
      <c r="I130" s="6"/>
      <c r="J130" s="6"/>
      <c r="K130" s="6"/>
      <c r="L130" s="11"/>
    </row>
    <row r="131" spans="4:12" x14ac:dyDescent="0.25">
      <c r="D131" s="2" t="str">
        <f t="shared" ref="D131:D189" si="8">IFERROR(IF((SEARCH("final price",B131)),"x"),"")</f>
        <v/>
      </c>
      <c r="E131" t="e">
        <f t="shared" si="7"/>
        <v>#VALUE!</v>
      </c>
      <c r="F131" t="e">
        <f>VLOOKUP(Table1[[#This Row],[Origin INV]],$H$9:$L$67,5,0)</f>
        <v>#VALUE!</v>
      </c>
      <c r="I131" s="7"/>
      <c r="J131" s="7"/>
      <c r="K131" s="7"/>
      <c r="L131" s="12"/>
    </row>
    <row r="132" spans="4:12" x14ac:dyDescent="0.25">
      <c r="D132" s="2" t="str">
        <f t="shared" si="8"/>
        <v/>
      </c>
      <c r="E132" t="e">
        <f t="shared" si="7"/>
        <v>#VALUE!</v>
      </c>
      <c r="F132" t="e">
        <f>VLOOKUP(Table1[[#This Row],[Origin INV]],$H$9:$L$67,5,0)</f>
        <v>#VALUE!</v>
      </c>
      <c r="I132" s="6"/>
      <c r="J132" s="6"/>
      <c r="K132" s="6"/>
      <c r="L132" s="11"/>
    </row>
    <row r="133" spans="4:12" x14ac:dyDescent="0.25">
      <c r="D133" s="2" t="str">
        <f t="shared" si="8"/>
        <v/>
      </c>
      <c r="E133" t="e">
        <f t="shared" si="7"/>
        <v>#VALUE!</v>
      </c>
      <c r="F133" t="e">
        <f>VLOOKUP(Table1[[#This Row],[Origin INV]],$H$9:$L$67,5,0)</f>
        <v>#VALUE!</v>
      </c>
      <c r="I133" s="7"/>
      <c r="J133" s="7"/>
      <c r="K133" s="7"/>
      <c r="L133" s="12"/>
    </row>
    <row r="134" spans="4:12" x14ac:dyDescent="0.25">
      <c r="D134" s="2" t="str">
        <f t="shared" si="8"/>
        <v/>
      </c>
      <c r="E134" t="e">
        <f t="shared" si="7"/>
        <v>#VALUE!</v>
      </c>
      <c r="F134" t="e">
        <f>VLOOKUP(Table1[[#This Row],[Origin INV]],$H$9:$L$67,5,0)</f>
        <v>#VALUE!</v>
      </c>
      <c r="I134" s="6"/>
      <c r="J134" s="6"/>
      <c r="K134" s="6"/>
      <c r="L134" s="11"/>
    </row>
    <row r="135" spans="4:12" x14ac:dyDescent="0.25">
      <c r="D135" s="2" t="str">
        <f t="shared" si="8"/>
        <v/>
      </c>
      <c r="E135" t="e">
        <f t="shared" si="7"/>
        <v>#VALUE!</v>
      </c>
      <c r="F135" t="e">
        <f>VLOOKUP(Table1[[#This Row],[Origin INV]],$H$9:$L$67,5,0)</f>
        <v>#VALUE!</v>
      </c>
      <c r="I135" s="7"/>
      <c r="J135" s="7"/>
      <c r="K135" s="7"/>
      <c r="L135" s="12"/>
    </row>
    <row r="136" spans="4:12" x14ac:dyDescent="0.25">
      <c r="D136" s="2" t="str">
        <f t="shared" si="8"/>
        <v/>
      </c>
      <c r="E136" t="e">
        <f t="shared" si="7"/>
        <v>#VALUE!</v>
      </c>
      <c r="F136" t="e">
        <f>VLOOKUP(Table1[[#This Row],[Origin INV]],$H$9:$L$67,5,0)</f>
        <v>#VALUE!</v>
      </c>
      <c r="I136" s="6"/>
      <c r="J136" s="6"/>
      <c r="K136" s="6"/>
      <c r="L136" s="11"/>
    </row>
    <row r="137" spans="4:12" x14ac:dyDescent="0.25">
      <c r="D137" s="2" t="str">
        <f t="shared" si="8"/>
        <v/>
      </c>
      <c r="E137" t="e">
        <f t="shared" si="7"/>
        <v>#VALUE!</v>
      </c>
      <c r="F137" t="e">
        <f>VLOOKUP(Table1[[#This Row],[Origin INV]],$H$9:$L$67,5,0)</f>
        <v>#VALUE!</v>
      </c>
      <c r="I137" s="7"/>
      <c r="J137" s="7"/>
      <c r="K137" s="7"/>
      <c r="L137" s="12"/>
    </row>
    <row r="138" spans="4:12" x14ac:dyDescent="0.25">
      <c r="D138" s="2" t="str">
        <f t="shared" si="8"/>
        <v/>
      </c>
      <c r="E138" t="e">
        <f t="shared" si="7"/>
        <v>#VALUE!</v>
      </c>
      <c r="F138" t="e">
        <f>VLOOKUP(Table1[[#This Row],[Origin INV]],$H$9:$L$67,5,0)</f>
        <v>#VALUE!</v>
      </c>
      <c r="I138" s="6"/>
      <c r="J138" s="6"/>
      <c r="K138" s="6"/>
      <c r="L138" s="11"/>
    </row>
    <row r="139" spans="4:12" x14ac:dyDescent="0.25">
      <c r="D139" s="2" t="str">
        <f t="shared" si="8"/>
        <v/>
      </c>
      <c r="E139" t="e">
        <f t="shared" si="7"/>
        <v>#VALUE!</v>
      </c>
      <c r="F139" t="e">
        <f>VLOOKUP(Table1[[#This Row],[Origin INV]],$H$9:$L$67,5,0)</f>
        <v>#VALUE!</v>
      </c>
      <c r="I139" s="7"/>
      <c r="J139" s="7"/>
      <c r="K139" s="7"/>
      <c r="L139" s="12"/>
    </row>
    <row r="140" spans="4:12" x14ac:dyDescent="0.25">
      <c r="D140" s="2" t="str">
        <f t="shared" si="8"/>
        <v/>
      </c>
      <c r="E140" t="e">
        <f t="shared" si="7"/>
        <v>#VALUE!</v>
      </c>
      <c r="F140" t="e">
        <f>VLOOKUP(Table1[[#This Row],[Origin INV]],$H$9:$L$67,5,0)</f>
        <v>#VALUE!</v>
      </c>
      <c r="I140" s="6"/>
      <c r="J140" s="6"/>
      <c r="K140" s="6"/>
      <c r="L140" s="11"/>
    </row>
    <row r="141" spans="4:12" x14ac:dyDescent="0.25">
      <c r="D141" s="2" t="str">
        <f t="shared" si="8"/>
        <v/>
      </c>
      <c r="E141" t="e">
        <f t="shared" si="7"/>
        <v>#VALUE!</v>
      </c>
      <c r="F141" t="e">
        <f>VLOOKUP(Table1[[#This Row],[Origin INV]],$H$9:$L$67,5,0)</f>
        <v>#VALUE!</v>
      </c>
      <c r="I141" s="7"/>
      <c r="J141" s="7"/>
      <c r="K141" s="7"/>
      <c r="L141" s="12"/>
    </row>
    <row r="142" spans="4:12" x14ac:dyDescent="0.25">
      <c r="D142" s="2" t="str">
        <f t="shared" si="8"/>
        <v/>
      </c>
      <c r="E142" t="e">
        <f t="shared" si="7"/>
        <v>#VALUE!</v>
      </c>
      <c r="F142" t="e">
        <f>VLOOKUP(Table1[[#This Row],[Origin INV]],$H$9:$L$67,5,0)</f>
        <v>#VALUE!</v>
      </c>
      <c r="I142" s="6"/>
      <c r="J142" s="6"/>
      <c r="K142" s="6"/>
      <c r="L142" s="11"/>
    </row>
    <row r="143" spans="4:12" x14ac:dyDescent="0.25">
      <c r="D143" s="2" t="str">
        <f t="shared" si="8"/>
        <v/>
      </c>
      <c r="E143" t="e">
        <f t="shared" si="7"/>
        <v>#VALUE!</v>
      </c>
      <c r="F143" t="e">
        <f>VLOOKUP(Table1[[#This Row],[Origin INV]],$H$9:$L$67,5,0)</f>
        <v>#VALUE!</v>
      </c>
      <c r="I143" s="7"/>
      <c r="J143" s="7"/>
      <c r="K143" s="7"/>
      <c r="L143" s="12"/>
    </row>
    <row r="144" spans="4:12" x14ac:dyDescent="0.25">
      <c r="D144" s="2" t="str">
        <f t="shared" si="8"/>
        <v/>
      </c>
      <c r="E144" t="e">
        <f t="shared" si="7"/>
        <v>#VALUE!</v>
      </c>
      <c r="F144" t="e">
        <f>VLOOKUP(Table1[[#This Row],[Origin INV]],$H$9:$L$67,5,0)</f>
        <v>#VALUE!</v>
      </c>
      <c r="I144" s="6"/>
      <c r="J144" s="6"/>
      <c r="K144" s="6"/>
      <c r="L144" s="11"/>
    </row>
    <row r="145" spans="4:12" x14ac:dyDescent="0.25">
      <c r="D145" s="2" t="str">
        <f t="shared" si="8"/>
        <v/>
      </c>
      <c r="E145" t="e">
        <f t="shared" si="7"/>
        <v>#VALUE!</v>
      </c>
      <c r="F145" t="e">
        <f>VLOOKUP(Table1[[#This Row],[Origin INV]],$H$9:$L$67,5,0)</f>
        <v>#VALUE!</v>
      </c>
      <c r="I145" s="7"/>
      <c r="J145" s="7"/>
      <c r="K145" s="7"/>
      <c r="L145" s="12"/>
    </row>
    <row r="146" spans="4:12" x14ac:dyDescent="0.25">
      <c r="D146" s="2" t="str">
        <f t="shared" si="8"/>
        <v/>
      </c>
      <c r="E146" t="e">
        <f t="shared" si="7"/>
        <v>#VALUE!</v>
      </c>
      <c r="F146" t="e">
        <f>VLOOKUP(Table1[[#This Row],[Origin INV]],$H$9:$L$67,5,0)</f>
        <v>#VALUE!</v>
      </c>
      <c r="I146" s="6"/>
      <c r="J146" s="6"/>
      <c r="K146" s="6"/>
      <c r="L146" s="11"/>
    </row>
    <row r="147" spans="4:12" x14ac:dyDescent="0.25">
      <c r="D147" s="2" t="str">
        <f t="shared" si="8"/>
        <v/>
      </c>
      <c r="E147" t="e">
        <f t="shared" si="7"/>
        <v>#VALUE!</v>
      </c>
      <c r="F147" t="e">
        <f>VLOOKUP(Table1[[#This Row],[Origin INV]],$H$9:$L$67,5,0)</f>
        <v>#VALUE!</v>
      </c>
      <c r="I147" s="7"/>
      <c r="J147" s="7"/>
      <c r="K147" s="7"/>
      <c r="L147" s="12"/>
    </row>
    <row r="148" spans="4:12" x14ac:dyDescent="0.25">
      <c r="D148" s="2" t="str">
        <f t="shared" si="8"/>
        <v/>
      </c>
      <c r="E148" t="e">
        <f t="shared" si="7"/>
        <v>#VALUE!</v>
      </c>
      <c r="F148" t="e">
        <f>VLOOKUP(Table1[[#This Row],[Origin INV]],$H$9:$L$67,5,0)</f>
        <v>#VALUE!</v>
      </c>
      <c r="I148" s="6"/>
      <c r="J148" s="6"/>
      <c r="K148" s="6"/>
      <c r="L148" s="11"/>
    </row>
    <row r="149" spans="4:12" x14ac:dyDescent="0.25">
      <c r="D149" s="2" t="str">
        <f t="shared" si="8"/>
        <v/>
      </c>
      <c r="E149" t="e">
        <f t="shared" si="7"/>
        <v>#VALUE!</v>
      </c>
      <c r="F149" t="e">
        <f>VLOOKUP(Table1[[#This Row],[Origin INV]],$H$9:$L$67,5,0)</f>
        <v>#VALUE!</v>
      </c>
      <c r="I149" s="7"/>
      <c r="J149" s="7"/>
      <c r="K149" s="7"/>
      <c r="L149" s="12"/>
    </row>
    <row r="150" spans="4:12" x14ac:dyDescent="0.25">
      <c r="D150" s="2" t="str">
        <f t="shared" si="8"/>
        <v/>
      </c>
      <c r="E150" t="e">
        <f t="shared" si="7"/>
        <v>#VALUE!</v>
      </c>
      <c r="F150" t="e">
        <f>VLOOKUP(Table1[[#This Row],[Origin INV]],$H$9:$L$67,5,0)</f>
        <v>#VALUE!</v>
      </c>
      <c r="I150" s="6"/>
      <c r="J150" s="6"/>
      <c r="K150" s="6"/>
      <c r="L150" s="11"/>
    </row>
    <row r="151" spans="4:12" x14ac:dyDescent="0.25">
      <c r="D151" s="2" t="str">
        <f t="shared" si="8"/>
        <v/>
      </c>
      <c r="E151" t="e">
        <f t="shared" si="7"/>
        <v>#VALUE!</v>
      </c>
      <c r="F151" t="e">
        <f>VLOOKUP(Table1[[#This Row],[Origin INV]],$H$9:$L$67,5,0)</f>
        <v>#VALUE!</v>
      </c>
      <c r="I151" s="7"/>
      <c r="J151" s="7"/>
      <c r="K151" s="7"/>
      <c r="L151" s="12"/>
    </row>
    <row r="152" spans="4:12" x14ac:dyDescent="0.25">
      <c r="D152" s="2" t="str">
        <f t="shared" si="8"/>
        <v/>
      </c>
      <c r="E152" t="e">
        <f t="shared" si="7"/>
        <v>#VALUE!</v>
      </c>
      <c r="F152" t="e">
        <f>VLOOKUP(Table1[[#This Row],[Origin INV]],$H$9:$L$67,5,0)</f>
        <v>#VALUE!</v>
      </c>
      <c r="I152" s="6"/>
      <c r="J152" s="6"/>
      <c r="K152" s="6"/>
      <c r="L152" s="11"/>
    </row>
    <row r="153" spans="4:12" x14ac:dyDescent="0.25">
      <c r="D153" s="2" t="str">
        <f t="shared" si="8"/>
        <v/>
      </c>
      <c r="E153" t="e">
        <f t="shared" si="7"/>
        <v>#VALUE!</v>
      </c>
      <c r="F153" t="e">
        <f>VLOOKUP(Table1[[#This Row],[Origin INV]],$H$9:$L$67,5,0)</f>
        <v>#VALUE!</v>
      </c>
      <c r="I153" s="7"/>
      <c r="J153" s="7"/>
      <c r="K153" s="7"/>
      <c r="L153" s="12"/>
    </row>
    <row r="154" spans="4:12" x14ac:dyDescent="0.25">
      <c r="D154" s="2" t="str">
        <f t="shared" si="8"/>
        <v/>
      </c>
      <c r="E154" t="e">
        <f t="shared" si="7"/>
        <v>#VALUE!</v>
      </c>
      <c r="F154" t="e">
        <f>VLOOKUP(Table1[[#This Row],[Origin INV]],$H$9:$L$67,5,0)</f>
        <v>#VALUE!</v>
      </c>
      <c r="I154" s="6"/>
      <c r="J154" s="6"/>
      <c r="K154" s="6"/>
      <c r="L154" s="11"/>
    </row>
    <row r="155" spans="4:12" x14ac:dyDescent="0.25">
      <c r="D155" s="2" t="str">
        <f t="shared" si="8"/>
        <v/>
      </c>
      <c r="E155" t="e">
        <f t="shared" si="7"/>
        <v>#VALUE!</v>
      </c>
      <c r="F155" t="e">
        <f>VLOOKUP(Table1[[#This Row],[Origin INV]],$H$9:$L$67,5,0)</f>
        <v>#VALUE!</v>
      </c>
      <c r="I155" s="7"/>
      <c r="J155" s="7"/>
      <c r="K155" s="7"/>
      <c r="L155" s="12"/>
    </row>
    <row r="156" spans="4:12" x14ac:dyDescent="0.25">
      <c r="D156" s="2" t="str">
        <f t="shared" si="8"/>
        <v/>
      </c>
      <c r="E156" t="e">
        <f t="shared" si="7"/>
        <v>#VALUE!</v>
      </c>
      <c r="F156" t="e">
        <f>VLOOKUP(Table1[[#This Row],[Origin INV]],$H$9:$L$67,5,0)</f>
        <v>#VALUE!</v>
      </c>
      <c r="I156" s="6"/>
      <c r="J156" s="6"/>
      <c r="K156" s="6"/>
      <c r="L156" s="11"/>
    </row>
    <row r="157" spans="4:12" x14ac:dyDescent="0.25">
      <c r="D157" s="2" t="str">
        <f t="shared" si="8"/>
        <v/>
      </c>
      <c r="E157" t="e">
        <f t="shared" si="7"/>
        <v>#VALUE!</v>
      </c>
      <c r="F157" t="e">
        <f>VLOOKUP(Table1[[#This Row],[Origin INV]],$H$9:$L$67,5,0)</f>
        <v>#VALUE!</v>
      </c>
      <c r="I157" s="7"/>
      <c r="J157" s="7"/>
      <c r="K157" s="7"/>
      <c r="L157" s="12"/>
    </row>
    <row r="158" spans="4:12" x14ac:dyDescent="0.25">
      <c r="D158" s="2" t="str">
        <f t="shared" si="8"/>
        <v/>
      </c>
      <c r="E158" t="e">
        <f t="shared" si="7"/>
        <v>#VALUE!</v>
      </c>
      <c r="F158" t="e">
        <f>VLOOKUP(Table1[[#This Row],[Origin INV]],$H$9:$L$67,5,0)</f>
        <v>#VALUE!</v>
      </c>
      <c r="I158" s="6"/>
      <c r="J158" s="6"/>
      <c r="K158" s="6"/>
      <c r="L158" s="11"/>
    </row>
    <row r="159" spans="4:12" x14ac:dyDescent="0.25">
      <c r="D159" s="2" t="str">
        <f t="shared" si="8"/>
        <v/>
      </c>
      <c r="E159" t="e">
        <f t="shared" si="7"/>
        <v>#VALUE!</v>
      </c>
      <c r="F159" t="e">
        <f>VLOOKUP(Table1[[#This Row],[Origin INV]],$H$9:$L$67,5,0)</f>
        <v>#VALUE!</v>
      </c>
      <c r="I159" s="7"/>
      <c r="J159" s="7"/>
      <c r="K159" s="7"/>
      <c r="L159" s="12"/>
    </row>
    <row r="160" spans="4:12" x14ac:dyDescent="0.25">
      <c r="D160" s="2" t="str">
        <f t="shared" si="8"/>
        <v/>
      </c>
      <c r="E160" t="e">
        <f t="shared" si="7"/>
        <v>#VALUE!</v>
      </c>
      <c r="F160" t="e">
        <f>VLOOKUP(Table1[[#This Row],[Origin INV]],$H$9:$L$67,5,0)</f>
        <v>#VALUE!</v>
      </c>
      <c r="I160" s="6"/>
      <c r="J160" s="6"/>
      <c r="K160" s="6"/>
      <c r="L160" s="11"/>
    </row>
    <row r="161" spans="4:12" x14ac:dyDescent="0.25">
      <c r="D161" s="2" t="str">
        <f t="shared" si="8"/>
        <v/>
      </c>
      <c r="E161" t="e">
        <f t="shared" si="7"/>
        <v>#VALUE!</v>
      </c>
      <c r="F161" t="e">
        <f>VLOOKUP(Table1[[#This Row],[Origin INV]],$H$9:$L$67,5,0)</f>
        <v>#VALUE!</v>
      </c>
      <c r="I161" s="7"/>
      <c r="J161" s="7"/>
      <c r="K161" s="7"/>
      <c r="L161" s="12"/>
    </row>
    <row r="162" spans="4:12" x14ac:dyDescent="0.25">
      <c r="D162" s="2" t="str">
        <f t="shared" si="8"/>
        <v/>
      </c>
      <c r="E162" t="e">
        <f t="shared" ref="E162:E189" si="9">TRIM(MID(B162,SEARCH(" ",B162)+1,SEARCH("(",B162,SEARCH(" ",B162)+1)-SEARCH(" ",B162)-1))</f>
        <v>#VALUE!</v>
      </c>
      <c r="F162" t="e">
        <f>VLOOKUP(Table1[[#This Row],[Origin INV]],$H$9:$L$67,5,0)</f>
        <v>#VALUE!</v>
      </c>
      <c r="I162" s="6"/>
      <c r="J162" s="6"/>
      <c r="K162" s="6"/>
      <c r="L162" s="11"/>
    </row>
    <row r="163" spans="4:12" x14ac:dyDescent="0.25">
      <c r="D163" s="2" t="str">
        <f t="shared" si="8"/>
        <v/>
      </c>
      <c r="E163" t="e">
        <f t="shared" si="9"/>
        <v>#VALUE!</v>
      </c>
      <c r="F163" t="e">
        <f>VLOOKUP(Table1[[#This Row],[Origin INV]],$H$9:$L$67,5,0)</f>
        <v>#VALUE!</v>
      </c>
      <c r="I163" s="7"/>
      <c r="J163" s="7"/>
      <c r="K163" s="7"/>
      <c r="L163" s="12"/>
    </row>
    <row r="164" spans="4:12" x14ac:dyDescent="0.25">
      <c r="D164" s="2" t="str">
        <f t="shared" si="8"/>
        <v/>
      </c>
      <c r="E164" t="e">
        <f t="shared" si="9"/>
        <v>#VALUE!</v>
      </c>
      <c r="F164" t="e">
        <f>VLOOKUP(Table1[[#This Row],[Origin INV]],$H$9:$L$67,5,0)</f>
        <v>#VALUE!</v>
      </c>
      <c r="I164" s="6"/>
      <c r="J164" s="6"/>
      <c r="K164" s="6"/>
      <c r="L164" s="11"/>
    </row>
    <row r="165" spans="4:12" x14ac:dyDescent="0.25">
      <c r="D165" s="2" t="str">
        <f t="shared" si="8"/>
        <v/>
      </c>
      <c r="E165" t="e">
        <f t="shared" si="9"/>
        <v>#VALUE!</v>
      </c>
      <c r="F165" t="e">
        <f>VLOOKUP(Table1[[#This Row],[Origin INV]],$H$9:$L$67,5,0)</f>
        <v>#VALUE!</v>
      </c>
      <c r="I165" s="7"/>
      <c r="J165" s="7"/>
      <c r="K165" s="7"/>
      <c r="L165" s="12"/>
    </row>
    <row r="166" spans="4:12" x14ac:dyDescent="0.25">
      <c r="D166" s="2" t="str">
        <f t="shared" si="8"/>
        <v/>
      </c>
      <c r="E166" t="e">
        <f t="shared" si="9"/>
        <v>#VALUE!</v>
      </c>
      <c r="F166" t="e">
        <f>VLOOKUP(Table1[[#This Row],[Origin INV]],$H$9:$L$67,5,0)</f>
        <v>#VALUE!</v>
      </c>
      <c r="I166" s="6"/>
      <c r="J166" s="6"/>
      <c r="K166" s="6"/>
      <c r="L166" s="11"/>
    </row>
    <row r="167" spans="4:12" x14ac:dyDescent="0.25">
      <c r="D167" s="2" t="str">
        <f t="shared" si="8"/>
        <v/>
      </c>
      <c r="E167" t="e">
        <f t="shared" si="9"/>
        <v>#VALUE!</v>
      </c>
      <c r="F167" t="e">
        <f>VLOOKUP(Table1[[#This Row],[Origin INV]],$H$9:$L$67,5,0)</f>
        <v>#VALUE!</v>
      </c>
      <c r="I167" s="7"/>
      <c r="J167" s="7"/>
      <c r="K167" s="7"/>
      <c r="L167" s="12"/>
    </row>
    <row r="168" spans="4:12" x14ac:dyDescent="0.25">
      <c r="D168" s="2" t="str">
        <f t="shared" si="8"/>
        <v/>
      </c>
      <c r="E168" t="e">
        <f t="shared" si="9"/>
        <v>#VALUE!</v>
      </c>
      <c r="F168" t="e">
        <f>VLOOKUP(Table1[[#This Row],[Origin INV]],$H$9:$L$67,5,0)</f>
        <v>#VALUE!</v>
      </c>
      <c r="I168" s="6"/>
      <c r="J168" s="6"/>
      <c r="K168" s="6"/>
      <c r="L168" s="11"/>
    </row>
    <row r="169" spans="4:12" x14ac:dyDescent="0.25">
      <c r="D169" s="2" t="str">
        <f t="shared" si="8"/>
        <v/>
      </c>
      <c r="E169" t="e">
        <f t="shared" si="9"/>
        <v>#VALUE!</v>
      </c>
      <c r="F169" t="e">
        <f>VLOOKUP(Table1[[#This Row],[Origin INV]],$H$9:$L$67,5,0)</f>
        <v>#VALUE!</v>
      </c>
      <c r="I169" s="7"/>
      <c r="J169" s="7"/>
      <c r="K169" s="7"/>
      <c r="L169" s="12"/>
    </row>
    <row r="170" spans="4:12" x14ac:dyDescent="0.25">
      <c r="D170" s="2" t="str">
        <f t="shared" si="8"/>
        <v/>
      </c>
      <c r="E170" t="e">
        <f t="shared" si="9"/>
        <v>#VALUE!</v>
      </c>
      <c r="F170" t="e">
        <f>VLOOKUP(Table1[[#This Row],[Origin INV]],$H$9:$L$67,5,0)</f>
        <v>#VALUE!</v>
      </c>
      <c r="I170" s="6"/>
      <c r="J170" s="6"/>
      <c r="K170" s="6"/>
      <c r="L170" s="11"/>
    </row>
    <row r="171" spans="4:12" x14ac:dyDescent="0.25">
      <c r="D171" s="2" t="str">
        <f t="shared" si="8"/>
        <v/>
      </c>
      <c r="E171" t="e">
        <f t="shared" si="9"/>
        <v>#VALUE!</v>
      </c>
      <c r="F171" t="e">
        <f>VLOOKUP(Table1[[#This Row],[Origin INV]],$H$9:$L$67,5,0)</f>
        <v>#VALUE!</v>
      </c>
      <c r="I171" s="7"/>
      <c r="J171" s="7"/>
      <c r="K171" s="7"/>
      <c r="L171" s="12"/>
    </row>
    <row r="172" spans="4:12" x14ac:dyDescent="0.25">
      <c r="D172" s="2" t="str">
        <f t="shared" si="8"/>
        <v/>
      </c>
      <c r="E172" t="e">
        <f t="shared" si="9"/>
        <v>#VALUE!</v>
      </c>
      <c r="F172" t="e">
        <f>VLOOKUP(Table1[[#This Row],[Origin INV]],$H$9:$L$67,5,0)</f>
        <v>#VALUE!</v>
      </c>
      <c r="I172" s="6"/>
      <c r="J172" s="6"/>
      <c r="K172" s="6"/>
      <c r="L172" s="11"/>
    </row>
    <row r="173" spans="4:12" x14ac:dyDescent="0.25">
      <c r="D173" s="2" t="str">
        <f t="shared" si="8"/>
        <v/>
      </c>
      <c r="E173" t="e">
        <f t="shared" si="9"/>
        <v>#VALUE!</v>
      </c>
      <c r="F173" t="e">
        <f>VLOOKUP(Table1[[#This Row],[Origin INV]],$H$9:$L$67,5,0)</f>
        <v>#VALUE!</v>
      </c>
      <c r="I173" s="7"/>
      <c r="J173" s="7"/>
      <c r="K173" s="7"/>
      <c r="L173" s="12"/>
    </row>
    <row r="174" spans="4:12" x14ac:dyDescent="0.25">
      <c r="D174" s="2" t="str">
        <f t="shared" si="8"/>
        <v/>
      </c>
      <c r="E174" t="e">
        <f t="shared" si="9"/>
        <v>#VALUE!</v>
      </c>
      <c r="F174" t="e">
        <f>VLOOKUP(Table1[[#This Row],[Origin INV]],$H$9:$L$67,5,0)</f>
        <v>#VALUE!</v>
      </c>
      <c r="I174" s="6"/>
      <c r="J174" s="6"/>
      <c r="K174" s="6"/>
      <c r="L174" s="11"/>
    </row>
    <row r="175" spans="4:12" x14ac:dyDescent="0.25">
      <c r="D175" s="2" t="str">
        <f t="shared" si="8"/>
        <v/>
      </c>
      <c r="E175" t="e">
        <f t="shared" si="9"/>
        <v>#VALUE!</v>
      </c>
      <c r="F175" t="e">
        <f>VLOOKUP(Table1[[#This Row],[Origin INV]],$H$9:$L$67,5,0)</f>
        <v>#VALUE!</v>
      </c>
      <c r="I175" s="7"/>
      <c r="J175" s="7"/>
      <c r="K175" s="7"/>
      <c r="L175" s="12"/>
    </row>
    <row r="176" spans="4:12" x14ac:dyDescent="0.25">
      <c r="D176" s="2" t="str">
        <f t="shared" si="8"/>
        <v/>
      </c>
      <c r="E176" t="e">
        <f t="shared" si="9"/>
        <v>#VALUE!</v>
      </c>
      <c r="F176" t="e">
        <f>VLOOKUP(Table1[[#This Row],[Origin INV]],$H$9:$L$67,5,0)</f>
        <v>#VALUE!</v>
      </c>
      <c r="I176" s="6"/>
      <c r="J176" s="6"/>
      <c r="K176" s="6"/>
      <c r="L176" s="11"/>
    </row>
    <row r="177" spans="4:12" x14ac:dyDescent="0.25">
      <c r="D177" s="2" t="str">
        <f t="shared" si="8"/>
        <v/>
      </c>
      <c r="E177" t="e">
        <f t="shared" si="9"/>
        <v>#VALUE!</v>
      </c>
      <c r="F177" t="e">
        <f>VLOOKUP(Table1[[#This Row],[Origin INV]],$H$9:$L$67,5,0)</f>
        <v>#VALUE!</v>
      </c>
      <c r="I177" s="7"/>
      <c r="J177" s="7"/>
      <c r="K177" s="7"/>
      <c r="L177" s="12"/>
    </row>
    <row r="178" spans="4:12" x14ac:dyDescent="0.25">
      <c r="D178" s="2" t="str">
        <f t="shared" si="8"/>
        <v/>
      </c>
      <c r="E178" t="e">
        <f t="shared" si="9"/>
        <v>#VALUE!</v>
      </c>
      <c r="F178" t="e">
        <f>VLOOKUP(Table1[[#This Row],[Origin INV]],$H$9:$L$67,5,0)</f>
        <v>#VALUE!</v>
      </c>
      <c r="I178" s="6"/>
      <c r="J178" s="6"/>
      <c r="K178" s="6"/>
      <c r="L178" s="11"/>
    </row>
    <row r="179" spans="4:12" x14ac:dyDescent="0.25">
      <c r="D179" s="2" t="str">
        <f t="shared" si="8"/>
        <v/>
      </c>
      <c r="E179" t="e">
        <f t="shared" si="9"/>
        <v>#VALUE!</v>
      </c>
      <c r="F179" t="e">
        <f>VLOOKUP(Table1[[#This Row],[Origin INV]],$H$9:$L$67,5,0)</f>
        <v>#VALUE!</v>
      </c>
      <c r="I179" s="7"/>
      <c r="J179" s="7"/>
      <c r="K179" s="7"/>
      <c r="L179" s="12"/>
    </row>
    <row r="180" spans="4:12" x14ac:dyDescent="0.25">
      <c r="D180" s="2" t="str">
        <f t="shared" si="8"/>
        <v/>
      </c>
      <c r="E180" t="e">
        <f t="shared" si="9"/>
        <v>#VALUE!</v>
      </c>
      <c r="F180" t="e">
        <f>VLOOKUP(Table1[[#This Row],[Origin INV]],$H$9:$L$67,5,0)</f>
        <v>#VALUE!</v>
      </c>
      <c r="I180" s="6"/>
      <c r="J180" s="6"/>
      <c r="K180" s="6"/>
      <c r="L180" s="11"/>
    </row>
    <row r="181" spans="4:12" x14ac:dyDescent="0.25">
      <c r="D181" s="2" t="str">
        <f t="shared" si="8"/>
        <v/>
      </c>
      <c r="E181" t="e">
        <f t="shared" si="9"/>
        <v>#VALUE!</v>
      </c>
      <c r="F181" t="e">
        <f>VLOOKUP(Table1[[#This Row],[Origin INV]],$H$9:$L$67,5,0)</f>
        <v>#VALUE!</v>
      </c>
      <c r="I181" s="7"/>
      <c r="J181" s="7"/>
      <c r="K181" s="7"/>
      <c r="L181" s="12"/>
    </row>
    <row r="182" spans="4:12" x14ac:dyDescent="0.25">
      <c r="D182" s="2" t="str">
        <f t="shared" si="8"/>
        <v/>
      </c>
      <c r="E182" t="e">
        <f t="shared" si="9"/>
        <v>#VALUE!</v>
      </c>
      <c r="F182" t="e">
        <f>VLOOKUP(Table1[[#This Row],[Origin INV]],$H$9:$L$67,5,0)</f>
        <v>#VALUE!</v>
      </c>
      <c r="I182" s="6"/>
      <c r="J182" s="6"/>
      <c r="K182" s="6"/>
      <c r="L182" s="11"/>
    </row>
    <row r="183" spans="4:12" x14ac:dyDescent="0.25">
      <c r="D183" s="2" t="str">
        <f t="shared" si="8"/>
        <v/>
      </c>
      <c r="E183" t="e">
        <f t="shared" si="9"/>
        <v>#VALUE!</v>
      </c>
      <c r="F183" t="e">
        <f>VLOOKUP(Table1[[#This Row],[Origin INV]],$H$9:$L$67,5,0)</f>
        <v>#VALUE!</v>
      </c>
      <c r="I183" s="7"/>
      <c r="J183" s="7"/>
      <c r="K183" s="7"/>
      <c r="L183" s="12"/>
    </row>
    <row r="184" spans="4:12" x14ac:dyDescent="0.25">
      <c r="D184" s="2" t="str">
        <f t="shared" si="8"/>
        <v/>
      </c>
      <c r="E184" t="e">
        <f t="shared" si="9"/>
        <v>#VALUE!</v>
      </c>
      <c r="F184" t="e">
        <f>VLOOKUP(Table1[[#This Row],[Origin INV]],$H$9:$L$67,5,0)</f>
        <v>#VALUE!</v>
      </c>
      <c r="I184" s="6"/>
      <c r="J184" s="6"/>
      <c r="K184" s="6"/>
      <c r="L184" s="11"/>
    </row>
    <row r="185" spans="4:12" x14ac:dyDescent="0.25">
      <c r="D185" s="2" t="str">
        <f t="shared" si="8"/>
        <v/>
      </c>
      <c r="E185" t="e">
        <f t="shared" si="9"/>
        <v>#VALUE!</v>
      </c>
      <c r="F185" t="e">
        <f>VLOOKUP(Table1[[#This Row],[Origin INV]],$H$9:$L$67,5,0)</f>
        <v>#VALUE!</v>
      </c>
      <c r="I185" s="7"/>
      <c r="J185" s="7"/>
      <c r="K185" s="7"/>
      <c r="L185" s="12"/>
    </row>
    <row r="186" spans="4:12" x14ac:dyDescent="0.25">
      <c r="D186" s="2" t="str">
        <f t="shared" si="8"/>
        <v/>
      </c>
      <c r="E186" t="e">
        <f t="shared" si="9"/>
        <v>#VALUE!</v>
      </c>
      <c r="F186" t="e">
        <f>VLOOKUP(Table1[[#This Row],[Origin INV]],$H$9:$L$67,5,0)</f>
        <v>#VALUE!</v>
      </c>
      <c r="I186" s="6"/>
      <c r="J186" s="6"/>
      <c r="K186" s="6"/>
      <c r="L186" s="11"/>
    </row>
    <row r="187" spans="4:12" x14ac:dyDescent="0.25">
      <c r="D187" s="2" t="str">
        <f t="shared" si="8"/>
        <v/>
      </c>
      <c r="E187" t="e">
        <f t="shared" si="9"/>
        <v>#VALUE!</v>
      </c>
      <c r="F187" t="e">
        <f>VLOOKUP(Table1[[#This Row],[Origin INV]],$H$9:$L$67,5,0)</f>
        <v>#VALUE!</v>
      </c>
      <c r="I187" s="7"/>
      <c r="J187" s="7"/>
      <c r="K187" s="7"/>
      <c r="L187" s="12"/>
    </row>
    <row r="188" spans="4:12" x14ac:dyDescent="0.25">
      <c r="D188" s="2" t="str">
        <f t="shared" si="8"/>
        <v/>
      </c>
      <c r="E188" t="e">
        <f t="shared" si="9"/>
        <v>#VALUE!</v>
      </c>
      <c r="F188" t="e">
        <f>VLOOKUP(Table1[[#This Row],[Origin INV]],$H$9:$L$67,5,0)</f>
        <v>#VALUE!</v>
      </c>
      <c r="I188" s="6"/>
      <c r="J188" s="6"/>
      <c r="K188" s="6"/>
      <c r="L188" s="11"/>
    </row>
    <row r="189" spans="4:12" x14ac:dyDescent="0.25">
      <c r="D189" s="2" t="str">
        <f t="shared" si="8"/>
        <v/>
      </c>
      <c r="E189" t="e">
        <f t="shared" si="9"/>
        <v>#VALUE!</v>
      </c>
      <c r="F189" t="e">
        <f>VLOOKUP(Table1[[#This Row],[Origin INV]],$H$9:$L$67,5,0)</f>
        <v>#VALUE!</v>
      </c>
      <c r="I189" s="8"/>
      <c r="J189" s="8"/>
      <c r="K189" s="8"/>
      <c r="L189" s="13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2B284-409C-4419-9650-B581D46890FD}">
  <dimension ref="H1:I3"/>
  <sheetViews>
    <sheetView workbookViewId="0">
      <selection activeCell="H1" sqref="H1"/>
    </sheetView>
  </sheetViews>
  <sheetFormatPr defaultRowHeight="15" x14ac:dyDescent="0.25"/>
  <sheetData>
    <row r="1" spans="8:9" x14ac:dyDescent="0.25">
      <c r="H1">
        <v>45341</v>
      </c>
      <c r="I1" s="14" t="s">
        <v>46</v>
      </c>
    </row>
    <row r="2" spans="8:9" x14ac:dyDescent="0.25">
      <c r="H2">
        <v>45342</v>
      </c>
      <c r="I2" s="14" t="s">
        <v>47</v>
      </c>
    </row>
    <row r="3" spans="8:9" x14ac:dyDescent="0.25">
      <c r="H3">
        <v>45343</v>
      </c>
      <c r="I3" s="14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2015-06-05T18:17:20Z</dcterms:created>
  <dcterms:modified xsi:type="dcterms:W3CDTF">2024-02-16T04:59:19Z</dcterms:modified>
</cp:coreProperties>
</file>