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\\10.118.29.7\BTMV-Data\4-ACCOUNTING\4.Budget\Automate\"/>
    </mc:Choice>
  </mc:AlternateContent>
  <xr:revisionPtr revIDLastSave="0" documentId="13_ncr:1_{797706D8-F64C-433C-A6C0-E8087AA22989}" xr6:coauthVersionLast="47" xr6:coauthVersionMax="47" xr10:uidLastSave="{00000000-0000-0000-0000-000000000000}"/>
  <bookViews>
    <workbookView xWindow="-120" yWindow="-120" windowWidth="20730" windowHeight="11040" xr2:uid="{6854E2AB-F2BE-42DD-B607-0FC0AAA81AAE}"/>
  </bookViews>
  <sheets>
    <sheet name="Email Information" sheetId="1" r:id="rId1"/>
    <sheet name="Var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" i="1" l="1"/>
  <c r="J5" i="1"/>
  <c r="I5" i="1"/>
  <c r="H5" i="1"/>
  <c r="G5" i="1"/>
  <c r="J4" i="1"/>
  <c r="I4" i="1"/>
  <c r="H4" i="1"/>
  <c r="E2" i="1"/>
  <c r="F2" i="1"/>
  <c r="O5" i="1" s="1"/>
  <c r="K4" i="1"/>
  <c r="F5" i="1"/>
  <c r="F4" i="1"/>
  <c r="O4" i="1" l="1"/>
  <c r="M5" i="1"/>
  <c r="M4" i="1"/>
  <c r="L5" i="1"/>
  <c r="N5" i="1"/>
  <c r="N4" i="1"/>
  <c r="L4" i="1"/>
  <c r="G4" i="1"/>
  <c r="E4" i="1"/>
  <c r="E5" i="1"/>
  <c r="A1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Do Duc Anh</author>
  </authors>
  <commentList>
    <comment ref="G2" authorId="0" shapeId="0" xr:uid="{2548EE49-2BD3-421D-AAB0-2E1266E4EF90}">
      <text>
        <r>
          <rPr>
            <b/>
            <sz val="9"/>
            <color indexed="81"/>
            <rFont val="Tahoma"/>
            <charset val="1"/>
          </rPr>
          <t>Do Duc Anh:</t>
        </r>
        <r>
          <rPr>
            <sz val="9"/>
            <color indexed="81"/>
            <rFont val="Tahoma"/>
            <charset val="1"/>
          </rPr>
          <t xml:space="preserve">
Số lượng bộ phận cần gửi</t>
        </r>
      </text>
    </comment>
  </commentList>
</comments>
</file>

<file path=xl/sharedStrings.xml><?xml version="1.0" encoding="utf-8"?>
<sst xmlns="http://schemas.openxmlformats.org/spreadsheetml/2006/main" count="45" uniqueCount="41">
  <si>
    <t>Name</t>
  </si>
  <si>
    <t>EmailTo</t>
  </si>
  <si>
    <t>EmailCC</t>
  </si>
  <si>
    <t>Subject</t>
  </si>
  <si>
    <t>Body line 1</t>
  </si>
  <si>
    <t>Body line 2</t>
  </si>
  <si>
    <t>Body line 3</t>
  </si>
  <si>
    <t>Body line 4</t>
  </si>
  <si>
    <t>Month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</si>
  <si>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</si>
  <si>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</si>
  <si>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</si>
  <si>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</si>
  <si>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</si>
  <si>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</si>
  <si>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</si>
  <si>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</si>
  <si>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</si>
  <si>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</si>
  <si>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</si>
  <si>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</si>
  <si>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Prefix Exp</t>
  </si>
  <si>
    <t>Prefix Cap</t>
  </si>
  <si>
    <t>Capex_Dec-23 Actual vs OB Report -1211</t>
  </si>
  <si>
    <t>Capex_Dec-23 Actual vs RBA&amp;C Report -1211</t>
  </si>
  <si>
    <t>Expense_Dec-23 Actual vs OB Report -1211</t>
  </si>
  <si>
    <t>Expense_Dec-23 Actual vs RBAC Report -1211</t>
  </si>
  <si>
    <t>Link Expense OB</t>
  </si>
  <si>
    <t>Link Capex OB</t>
  </si>
  <si>
    <t>Link Expense RBAC</t>
  </si>
  <si>
    <t>Link Capex RBAC</t>
  </si>
  <si>
    <t>NewFileName = "Expense_" &amp; MonthName &amp; " Actual vs OB Report -" &amp; DeptCode</t>
  </si>
  <si>
    <t>NewFileName = "Expense_" &amp; MonthName &amp; " Actual vs RBAC Report -" &amp; DeptCode</t>
  </si>
  <si>
    <t>Dept</t>
  </si>
  <si>
    <t>Mr.Sơn</t>
  </si>
  <si>
    <t>Mr.Toàn</t>
  </si>
  <si>
    <t>Year</t>
  </si>
  <si>
    <t>Body line 5</t>
  </si>
  <si>
    <t>Body line 6</t>
  </si>
  <si>
    <t>do.anh@bridgestone.com</t>
  </si>
  <si>
    <t>Report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</si>
</sst>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0">
    <xf numFmtId="0" fontId="0" fillId="0" borderId="0" xfId="0"/>
    <xf numFmtId="0" fontId="0" fillId="2" borderId="0" xfId="0" applyFill="1"/>
    <xf numFmtId="0" fontId="2" fillId="0" borderId="0" xfId="1"/>
    <xf numFmtId="0" fontId="0" fillId="3" borderId="0" xfId="0" applyFill="1"/>
    <xf numFmtId="0" fontId="0" fillId="5" borderId="0" xfId="0" applyFill="1"/>
    <xf numFmtId="0" fontId="0" fillId="0" borderId="1" xfId="0" applyBorder="1"/>
    <xf numFmtId="49" fontId="0" fillId="0" borderId="1" xfId="0" applyNumberFormat="1" applyBorder="1"/>
    <xf numFmtId="0" fontId="1" fillId="6" borderId="1" xfId="0" applyFont="1" applyFill="1" applyBorder="1"/>
    <xf numFmtId="0" fontId="0" fillId="7" borderId="0" xfId="0" applyFill="1"/>
    <xf numFmtId="49" fontId="0" fillId="4" borderId="0" xfId="0" applyNumberFormat="1" applyFill="1"/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0</xdr:row>
      <xdr:rowOff>76200</xdr:rowOff>
    </xdr:from>
    <xdr:to>
      <xdr:col>9</xdr:col>
      <xdr:colOff>57150</xdr:colOff>
      <xdr:row>1</xdr:row>
      <xdr:rowOff>47625</xdr:rowOff>
    </xdr:to>
    <xdr:sp macro="[0]!Sheet1.ShowUserForm" textlink="">
      <xdr:nvSpPr>
        <xdr:cNvPr id="2" name="Rectangle 1">
          <a:extLst>
            <a:ext uri="{FF2B5EF4-FFF2-40B4-BE49-F238E27FC236}">
              <a16:creationId xmlns:a16="http://schemas.microsoft.com/office/drawing/2014/main" id="{9FB629B5-D77A-5A64-3924-6676B5AC10FF}"/>
            </a:ext>
          </a:extLst>
        </xdr:cNvPr>
        <xdr:cNvSpPr/>
      </xdr:nvSpPr>
      <xdr:spPr>
        <a:xfrm>
          <a:off x="7096125" y="76200"/>
          <a:ext cx="1247775" cy="1619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67537-3027-409A-A934-B0D1E7B1391F}">
  <sheetPr codeName="Sheet1"/>
  <dimension ref="A1:O5"/>
  <sheetViews>
    <sheetView tabSelected="1" topLeftCell="C1" workbookViewId="0">
      <selection activeCell="O5" sqref="O5"/>
    </sheetView>
  </sheetViews>
  <sheetFormatPr defaultRowHeight="15" x14ac:dyDescent="0.25"/>
  <cols>
    <col min="1" max="1" width="9.42578125" customWidth="1"/>
    <col min="2" max="2" width="11.42578125" customWidth="1"/>
    <col min="3" max="3" width="7" customWidth="1"/>
    <col min="4" max="4" width="5.28515625" customWidth="1"/>
    <col min="5" max="5" width="29.140625" customWidth="1"/>
    <col min="6" max="6" width="15.85546875" customWidth="1"/>
    <col min="7" max="7" width="13.5703125" customWidth="1"/>
    <col min="8" max="9" width="11.140625" customWidth="1"/>
    <col min="10" max="10" width="4.140625" customWidth="1"/>
    <col min="11" max="11" width="6.140625" customWidth="1"/>
    <col min="12" max="12" width="22.42578125" customWidth="1"/>
    <col min="13" max="13" width="13.140625" customWidth="1"/>
    <col min="15" max="15" width="11.5703125" customWidth="1"/>
  </cols>
  <sheetData>
    <row r="1" spans="1:15" x14ac:dyDescent="0.25">
      <c r="A1" s="2" t="str">
        <f ca="1">HYPERLINK(LEFT(CELL("filename",A2),FIND("|",SUBSTITUTE(CELL("filename",A2),"\","|",LEN(CELL("filename",A2))-LEN(SUBSTITUTE(CELL("filename",A2),"\",""))))))</f>
        <v>\\10.118.29.7\BTMV-Data\4-ACCOUNTING\4.Budget\Automate\</v>
      </c>
    </row>
    <row r="2" spans="1:15" x14ac:dyDescent="0.25">
      <c r="A2" s="1" t="s">
        <v>8</v>
      </c>
      <c r="B2" s="1" t="s">
        <v>20</v>
      </c>
      <c r="C2" s="3" t="s">
        <v>36</v>
      </c>
      <c r="D2" s="3">
        <v>23</v>
      </c>
      <c r="E2" s="4" t="str">
        <f>"-Act vs. Bud report - "</f>
        <v xml:space="preserve">-Act vs. Bud report - </v>
      </c>
      <c r="F2" s="9" t="str">
        <f>B2&amp;"-"&amp;D2</f>
        <v>Dec-23</v>
      </c>
      <c r="G2" s="8">
        <v>5</v>
      </c>
    </row>
    <row r="3" spans="1:15" x14ac:dyDescent="0.25">
      <c r="A3" s="7" t="s">
        <v>33</v>
      </c>
      <c r="B3" s="7" t="s">
        <v>0</v>
      </c>
      <c r="C3" s="7" t="s">
        <v>1</v>
      </c>
      <c r="D3" s="7" t="s">
        <v>2</v>
      </c>
      <c r="E3" s="7" t="s">
        <v>3</v>
      </c>
      <c r="F3" s="7" t="s">
        <v>4</v>
      </c>
      <c r="G3" s="7" t="s">
        <v>5</v>
      </c>
      <c r="H3" s="7" t="s">
        <v>6</v>
      </c>
      <c r="I3" s="7" t="s">
        <v>7</v>
      </c>
      <c r="J3" s="7" t="s">
        <v>37</v>
      </c>
      <c r="K3" s="7" t="s">
        <v>38</v>
      </c>
      <c r="L3" s="7" t="s">
        <v>27</v>
      </c>
      <c r="M3" s="7" t="s">
        <v>28</v>
      </c>
      <c r="N3" s="7" t="s">
        <v>29</v>
      </c>
      <c r="O3" s="7" t="s">
        <v>30</v>
      </c>
    </row>
    <row r="4" spans="1:15" ht="34.5" customHeight="1" x14ac:dyDescent="0.25">
      <c r="A4" s="6">
        <v>9111</v>
      </c>
      <c r="B4" s="5" t="s">
        <v>34</v>
      </c>
      <c r="C4" s="5" t="s">
        <v>39</v>
      </c>
      <c r="D4" s="5"/>
      <c r="E4" s="5" t="str">
        <f>$F$2&amp;$E$2&amp;A4</f>
        <v>Dec-23-Act vs. Bud report - 9111</v>
      </c>
      <c r="F4" s="5" t="str">
        <f>"Dear "&amp;B4&amp;","</f>
        <v>Dear Mr.Sơn,</v>
      </c>
      <c r="G4" s="5" t="str">
        <f>"We would like to send Act vs. Bud report for "&amp;F2</f>
        <v>We would like to send Act vs. Bud report for Dec-23</v>
      </c>
      <c r="H4" s="5" t="str">
        <f>"Please help to review and stay control for your section budget"</f>
        <v>Please help to review and stay control for your section budget</v>
      </c>
      <c r="I4" s="5" t="str">
        <f>"Should you have any question, please feedback Mai san (mai.pham1@bridgestone.com). Thank you."</f>
        <v>Should you have any question, please feedback Mai san (mai.pham1@bridgestone.com). Thank you.</v>
      </c>
      <c r="J4" s="5" t="str">
        <f>"Best regards,"</f>
        <v>Best regards,</v>
      </c>
      <c r="K4" s="5" t="str">
        <f>"Do Duc Anh - BTMV Accounting - Dect 51624"</f>
        <v>Do Duc Anh - BTMV Accounting - Dect 51624</v>
      </c>
      <c r="L4" s="5" t="str">
        <f>"Expense_" &amp;$F$2&amp;" Actual vs OB Report -"&amp;$A4</f>
        <v>Expense_Dec-23 Actual vs OB Report -9111</v>
      </c>
      <c r="M4" s="5" t="str">
        <f>"Capex_" &amp;$F$2&amp;" Actual vs OB Report -"&amp;$A4</f>
        <v>Capex_Dec-23 Actual vs OB Report -9111</v>
      </c>
      <c r="N4" s="5" t="str">
        <f>"Expense_" &amp;$F$2&amp;" Actual vs RBAC Report -"&amp;$A4</f>
        <v>Expense_Dec-23 Actual vs RBAC Report -9111</v>
      </c>
      <c r="O4" s="5" t="str">
        <f>"Capex_" &amp;$F$2&amp;" Actual vs RBA&amp;C Report -"&amp;$A4</f>
        <v>Capex_Dec-23 Actual vs RBA&amp;C Report -9111</v>
      </c>
    </row>
    <row r="5" spans="1:15" ht="34.5" customHeight="1" x14ac:dyDescent="0.25">
      <c r="A5" s="6">
        <v>8514</v>
      </c>
      <c r="B5" s="5" t="s">
        <v>35</v>
      </c>
      <c r="C5" s="5" t="s">
        <v>39</v>
      </c>
      <c r="D5" s="5" t="s">
        <v>39</v>
      </c>
      <c r="E5" s="5" t="str">
        <f t="shared" ref="E5" si="0">$F$2&amp;$E$2&amp;A5</f>
        <v>Dec-23-Act vs. Bud report - 8514</v>
      </c>
      <c r="F5" s="5" t="str">
        <f t="shared" ref="F5" si="1">"Dear "&amp;B5&amp;","</f>
        <v>Dear Mr.Toàn,</v>
      </c>
      <c r="G5" s="5" t="str">
        <f t="shared" ref="G5" si="2">"We would like to send Act vs. Bud report for "&amp;F3</f>
        <v>We would like to send Act vs. Bud report for Body line 1</v>
      </c>
      <c r="H5" s="5" t="str">
        <f t="shared" ref="H5" si="3">"Please help to review and stay control for your section budget"</f>
        <v>Please help to review and stay control for your section budget</v>
      </c>
      <c r="I5" s="5" t="str">
        <f t="shared" ref="I5" si="4">"Should you have any question, please feedback Mai san (mai.pham1@bridgestone.com). Thank you."</f>
        <v>Should you have any question, please feedback Mai san (mai.pham1@bridgestone.com). Thank you.</v>
      </c>
      <c r="J5" s="5" t="str">
        <f t="shared" ref="J5" si="5">"Best regards,"</f>
        <v>Best regards,</v>
      </c>
      <c r="K5" s="5" t="str">
        <f t="shared" ref="K5" si="6">"Do Duc Anh - BTMV Accounting - Dect 51624"</f>
        <v>Do Duc Anh - BTMV Accounting - Dect 51624</v>
      </c>
      <c r="L5" s="5" t="str">
        <f>"Expense_" &amp;$F$2&amp;" Actual vs OB Report -"&amp;$A5</f>
        <v>Expense_Dec-23 Actual vs OB Report -8514</v>
      </c>
      <c r="M5" s="5" t="str">
        <f>"Capex_" &amp;$F$2&amp;" Actual vs OB Report -"&amp;$A5</f>
        <v>Capex_Dec-23 Actual vs OB Report -8514</v>
      </c>
      <c r="N5" s="5" t="str">
        <f>"Expense_" &amp;$F$2&amp;" Actual vs RBAC Report -"&amp;$A5</f>
        <v>Expense_Dec-23 Actual vs RBAC Report -8514</v>
      </c>
      <c r="O5" s="5" t="str">
        <f>"Capex_" &amp;$F$2&amp;" Actual vs RBA&amp;C Report -"&amp;$A5</f>
        <v>Capex_Dec-23 Actual vs RBA&amp;C Report -8514</v>
      </c>
    </row>
  </sheetData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B37C0F-02C2-4115-8E47-FD45C680D213}">
  <sheetPr codeName="Sheet2"/>
  <dimension ref="A1:O13"/>
  <sheetViews>
    <sheetView workbookViewId="0">
      <selection activeCell="O1" sqref="O1"/>
    </sheetView>
  </sheetViews>
  <sheetFormatPr defaultRowHeight="15" x14ac:dyDescent="0.25"/>
  <sheetData>
    <row r="1" spans="1:15" x14ac:dyDescent="0.25">
      <c r="A1" t="s">
        <v>8</v>
      </c>
      <c r="B1" t="s">
        <v>21</v>
      </c>
      <c r="C1" t="s">
        <v>22</v>
      </c>
      <c r="F1" t="s">
        <v>31</v>
      </c>
      <c r="O1" t="s">
        <v>40</v>
      </c>
    </row>
    <row r="2" spans="1:15" x14ac:dyDescent="0.25">
      <c r="A2" t="s">
        <v>9</v>
      </c>
      <c r="F2" t="s">
        <v>32</v>
      </c>
    </row>
    <row r="3" spans="1:15" x14ac:dyDescent="0.25">
      <c r="A3" t="s">
        <v>10</v>
      </c>
      <c r="F3" t="s">
        <v>23</v>
      </c>
    </row>
    <row r="4" spans="1:15" x14ac:dyDescent="0.25">
      <c r="A4" t="s">
        <v>11</v>
      </c>
      <c r="F4" t="s">
        <v>24</v>
      </c>
    </row>
    <row r="5" spans="1:15" x14ac:dyDescent="0.25">
      <c r="A5" t="s">
        <v>12</v>
      </c>
      <c r="F5" t="s">
        <v>25</v>
      </c>
    </row>
    <row r="6" spans="1:15" x14ac:dyDescent="0.25">
      <c r="A6" t="s">
        <v>13</v>
      </c>
      <c r="F6" t="s">
        <v>26</v>
      </c>
    </row>
    <row r="7" spans="1:15" x14ac:dyDescent="0.25">
      <c r="A7" t="s">
        <v>14</v>
      </c>
    </row>
    <row r="8" spans="1:15" x14ac:dyDescent="0.25">
      <c r="A8" t="s">
        <v>15</v>
      </c>
    </row>
    <row r="9" spans="1:15" x14ac:dyDescent="0.25">
      <c r="A9" t="s">
        <v>16</v>
      </c>
    </row>
    <row r="10" spans="1:15" x14ac:dyDescent="0.25">
      <c r="A10" t="s">
        <v>17</v>
      </c>
    </row>
    <row r="11" spans="1:15" x14ac:dyDescent="0.25">
      <c r="A11" t="s">
        <v>18</v>
      </c>
    </row>
    <row r="12" spans="1:15" x14ac:dyDescent="0.25">
      <c r="A12" t="s">
        <v>19</v>
      </c>
    </row>
    <row r="13" spans="1:15" x14ac:dyDescent="0.25">
      <c r="A13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Email Information</vt:lpstr>
      <vt:lpstr>Var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 Duc Anh</dc:creator>
  <cp:lastModifiedBy>Do Duc Anh</cp:lastModifiedBy>
  <dcterms:created xsi:type="dcterms:W3CDTF">2024-01-23T09:39:21Z</dcterms:created>
  <dcterms:modified xsi:type="dcterms:W3CDTF">2024-01-25T09:56:24Z</dcterms:modified>
</cp:coreProperties>
</file>