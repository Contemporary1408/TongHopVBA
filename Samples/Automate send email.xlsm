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10.118.29.7\BTMV-Data\4-ACCOUNTING\4.Budget\Automate\Final\"/>
    </mc:Choice>
  </mc:AlternateContent>
  <xr:revisionPtr revIDLastSave="0" documentId="13_ncr:1_{60684619-2EE2-4104-B09D-7C00643BD231}" xr6:coauthVersionLast="47" xr6:coauthVersionMax="47" xr10:uidLastSave="{00000000-0000-0000-0000-000000000000}"/>
  <bookViews>
    <workbookView xWindow="-120" yWindow="-120" windowWidth="20730" windowHeight="11040" xr2:uid="{6854E2AB-F2BE-42DD-B607-0FC0AAA81AAE}"/>
  </bookViews>
  <sheets>
    <sheet name="Email Information" sheetId="1" r:id="rId1"/>
    <sheet name="Va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K20" i="1"/>
  <c r="J20" i="1"/>
  <c r="I20" i="1"/>
  <c r="H20" i="1"/>
  <c r="F20" i="1"/>
  <c r="K19" i="1"/>
  <c r="J19" i="1"/>
  <c r="I19" i="1"/>
  <c r="H19" i="1"/>
  <c r="F19" i="1"/>
  <c r="K18" i="1"/>
  <c r="J18" i="1"/>
  <c r="I18" i="1"/>
  <c r="H18" i="1"/>
  <c r="G18" i="1"/>
  <c r="F18" i="1"/>
  <c r="G20" i="1" s="1"/>
  <c r="K17" i="1"/>
  <c r="J17" i="1"/>
  <c r="I17" i="1"/>
  <c r="H17" i="1"/>
  <c r="F17" i="1"/>
  <c r="G19" i="1" s="1"/>
  <c r="K16" i="1"/>
  <c r="J16" i="1"/>
  <c r="I16" i="1"/>
  <c r="H16" i="1"/>
  <c r="G16" i="1"/>
  <c r="F16" i="1"/>
  <c r="K15" i="1"/>
  <c r="J15" i="1"/>
  <c r="I15" i="1"/>
  <c r="H15" i="1"/>
  <c r="F15" i="1"/>
  <c r="G17" i="1" s="1"/>
  <c r="K14" i="1"/>
  <c r="J14" i="1"/>
  <c r="I14" i="1"/>
  <c r="H14" i="1"/>
  <c r="G14" i="1"/>
  <c r="F14" i="1"/>
  <c r="K13" i="1"/>
  <c r="J13" i="1"/>
  <c r="I13" i="1"/>
  <c r="H13" i="1"/>
  <c r="F13" i="1"/>
  <c r="G15" i="1" s="1"/>
  <c r="K12" i="1"/>
  <c r="J12" i="1"/>
  <c r="I12" i="1"/>
  <c r="H12" i="1"/>
  <c r="G12" i="1"/>
  <c r="F12" i="1"/>
  <c r="K11" i="1"/>
  <c r="J11" i="1"/>
  <c r="I11" i="1"/>
  <c r="H11" i="1"/>
  <c r="F11" i="1"/>
  <c r="G13" i="1" s="1"/>
  <c r="K10" i="1"/>
  <c r="J10" i="1"/>
  <c r="I10" i="1"/>
  <c r="H10" i="1"/>
  <c r="G10" i="1"/>
  <c r="F10" i="1"/>
  <c r="K9" i="1"/>
  <c r="J9" i="1"/>
  <c r="I9" i="1"/>
  <c r="H9" i="1"/>
  <c r="F9" i="1"/>
  <c r="G11" i="1" s="1"/>
  <c r="K8" i="1"/>
  <c r="J8" i="1"/>
  <c r="I8" i="1"/>
  <c r="H8" i="1"/>
  <c r="G8" i="1"/>
  <c r="F8" i="1"/>
  <c r="K7" i="1"/>
  <c r="J7" i="1"/>
  <c r="I7" i="1"/>
  <c r="H7" i="1"/>
  <c r="F7" i="1"/>
  <c r="G9" i="1" s="1"/>
  <c r="K6" i="1"/>
  <c r="J6" i="1"/>
  <c r="I6" i="1"/>
  <c r="H6" i="1"/>
  <c r="G6" i="1"/>
  <c r="F6" i="1"/>
  <c r="K5" i="1"/>
  <c r="J5" i="1"/>
  <c r="I5" i="1"/>
  <c r="H5" i="1"/>
  <c r="G5" i="1"/>
  <c r="F5" i="1"/>
  <c r="G7" i="1" s="1"/>
  <c r="F4" i="1"/>
  <c r="N90" i="1"/>
  <c r="O90" i="1" s="1"/>
  <c r="N89" i="1"/>
  <c r="O89" i="1" s="1"/>
  <c r="N88" i="1"/>
  <c r="O88" i="1" s="1"/>
  <c r="N87" i="1"/>
  <c r="O87" i="1" s="1"/>
  <c r="N86" i="1"/>
  <c r="O86" i="1" s="1"/>
  <c r="N85" i="1"/>
  <c r="O85" i="1" s="1"/>
  <c r="N84" i="1"/>
  <c r="O84" i="1" s="1"/>
  <c r="N83" i="1"/>
  <c r="O83" i="1" s="1"/>
  <c r="O82" i="1"/>
  <c r="N82" i="1"/>
  <c r="N81" i="1"/>
  <c r="O81" i="1" s="1"/>
  <c r="N80" i="1"/>
  <c r="O80" i="1" s="1"/>
  <c r="N79" i="1"/>
  <c r="O79" i="1" s="1"/>
  <c r="N78" i="1"/>
  <c r="O78" i="1" s="1"/>
  <c r="N77" i="1"/>
  <c r="O77" i="1" s="1"/>
  <c r="N76" i="1"/>
  <c r="O76" i="1" s="1"/>
  <c r="N75" i="1"/>
  <c r="O75" i="1" s="1"/>
  <c r="N74" i="1"/>
  <c r="O74" i="1" s="1"/>
  <c r="N73" i="1"/>
  <c r="O73" i="1" s="1"/>
  <c r="N72" i="1"/>
  <c r="O72" i="1" s="1"/>
  <c r="N71" i="1"/>
  <c r="O71" i="1" s="1"/>
  <c r="O70" i="1"/>
  <c r="N70" i="1"/>
  <c r="N69" i="1"/>
  <c r="O69" i="1" s="1"/>
  <c r="N68" i="1"/>
  <c r="O68" i="1" s="1"/>
  <c r="N67" i="1"/>
  <c r="O67" i="1" s="1"/>
  <c r="N66" i="1"/>
  <c r="O66" i="1" s="1"/>
  <c r="N65" i="1"/>
  <c r="O65" i="1" s="1"/>
  <c r="N64" i="1"/>
  <c r="O64" i="1" s="1"/>
  <c r="N63" i="1"/>
  <c r="O63" i="1" s="1"/>
  <c r="N62" i="1"/>
  <c r="O62" i="1" s="1"/>
  <c r="N61" i="1"/>
  <c r="O61" i="1" s="1"/>
  <c r="N60" i="1"/>
  <c r="O60" i="1" s="1"/>
  <c r="N59" i="1"/>
  <c r="O59" i="1" s="1"/>
  <c r="N58" i="1"/>
  <c r="O58" i="1" s="1"/>
  <c r="N57" i="1"/>
  <c r="O57" i="1" s="1"/>
  <c r="N56" i="1"/>
  <c r="O56" i="1" s="1"/>
  <c r="N55" i="1"/>
  <c r="O55" i="1" s="1"/>
  <c r="N54" i="1"/>
  <c r="O54" i="1" s="1"/>
  <c r="N53" i="1"/>
  <c r="O53" i="1" s="1"/>
  <c r="N52" i="1"/>
  <c r="O52" i="1" s="1"/>
  <c r="N51" i="1"/>
  <c r="O51" i="1" s="1"/>
  <c r="N50" i="1"/>
  <c r="O50" i="1" s="1"/>
  <c r="N49" i="1"/>
  <c r="O49" i="1" s="1"/>
  <c r="N48" i="1"/>
  <c r="O48" i="1" s="1"/>
  <c r="N47" i="1"/>
  <c r="O47" i="1" s="1"/>
  <c r="N46" i="1"/>
  <c r="O46" i="1" s="1"/>
  <c r="N45" i="1"/>
  <c r="O45" i="1" s="1"/>
  <c r="N44" i="1"/>
  <c r="O44" i="1" s="1"/>
  <c r="N43" i="1"/>
  <c r="O43" i="1" s="1"/>
  <c r="N42" i="1"/>
  <c r="O42" i="1" s="1"/>
  <c r="N41" i="1"/>
  <c r="O41" i="1" s="1"/>
  <c r="N40" i="1"/>
  <c r="O40" i="1" s="1"/>
  <c r="N39" i="1"/>
  <c r="O39" i="1" s="1"/>
  <c r="N38" i="1"/>
  <c r="O38" i="1" s="1"/>
  <c r="N37" i="1"/>
  <c r="O37" i="1" s="1"/>
  <c r="N36" i="1"/>
  <c r="O36" i="1" s="1"/>
  <c r="N4" i="1"/>
  <c r="O4" i="1" s="1"/>
  <c r="N35" i="1"/>
  <c r="O35" i="1" s="1"/>
  <c r="N34" i="1"/>
  <c r="O34" i="1" s="1"/>
  <c r="N33" i="1"/>
  <c r="O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O25" i="1" s="1"/>
  <c r="N24" i="1"/>
  <c r="O24" i="1" s="1"/>
  <c r="N23" i="1"/>
  <c r="O23" i="1" s="1"/>
  <c r="N22" i="1"/>
  <c r="O22" i="1" s="1"/>
  <c r="N21" i="1"/>
  <c r="O21" i="1" s="1"/>
  <c r="N20" i="1"/>
  <c r="O20" i="1" s="1"/>
  <c r="N19" i="1"/>
  <c r="O19" i="1" s="1"/>
  <c r="N18" i="1"/>
  <c r="O18" i="1" s="1"/>
  <c r="N17" i="1"/>
  <c r="O17" i="1" s="1"/>
  <c r="N16" i="1"/>
  <c r="O16" i="1" s="1"/>
  <c r="N15" i="1"/>
  <c r="O15" i="1" s="1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5" i="1"/>
  <c r="O5" i="1" s="1"/>
  <c r="J4" i="1" l="1"/>
  <c r="I4" i="1"/>
  <c r="H4" i="1"/>
  <c r="F2" i="1"/>
  <c r="G4" i="1" s="1"/>
  <c r="K4" i="1"/>
  <c r="E4" i="1" l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 Duc Anh</author>
  </authors>
  <commentList>
    <comment ref="G2" authorId="0" shapeId="0" xr:uid="{2548EE49-2BD3-421D-AAB0-2E1266E4EF90}">
      <text>
        <r>
          <rPr>
            <b/>
            <sz val="9"/>
            <color indexed="81"/>
            <rFont val="Tahoma"/>
            <charset val="1"/>
          </rPr>
          <t>Do Duc Anh:</t>
        </r>
        <r>
          <rPr>
            <sz val="9"/>
            <color indexed="81"/>
            <rFont val="Tahoma"/>
            <charset val="1"/>
          </rPr>
          <t xml:space="preserve">
Số lượng bộ phận cần gửi</t>
        </r>
      </text>
    </comment>
  </commentList>
</comments>
</file>

<file path=xl/sharedStrings.xml><?xml version="1.0" encoding="utf-8"?>
<sst xmlns="http://schemas.openxmlformats.org/spreadsheetml/2006/main" count="69" uniqueCount="49">
  <si>
    <t>Name</t>
  </si>
  <si>
    <t>EmailTo</t>
  </si>
  <si>
    <t>EmailCC</t>
  </si>
  <si>
    <t>Subject</t>
  </si>
  <si>
    <t>Body line 1</t>
  </si>
  <si>
    <t>Body line 2</t>
  </si>
  <si>
    <t>Body line 3</t>
  </si>
  <si>
    <t>Body line 4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</si>
  <si>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</si>
  <si>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</si>
  <si>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</si>
  <si>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</si>
  <si>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</si>
  <si>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</si>
  <si>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</si>
  <si>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</si>
  <si>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</si>
  <si>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</si>
  <si>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</si>
  <si>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</si>
  <si>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</si>
  <si>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Prefix Exp</t>
  </si>
  <si>
    <t>Prefix Cap</t>
  </si>
  <si>
    <t>Capex_Dec-23 Actual vs OB Report -1211</t>
  </si>
  <si>
    <t>Capex_Dec-23 Actual vs RBA&amp;C Report -1211</t>
  </si>
  <si>
    <t>Expense_Dec-23 Actual vs OB Report -1211</t>
  </si>
  <si>
    <t>Expense_Dec-23 Actual vs RBAC Report -1211</t>
  </si>
  <si>
    <t>NewFileName = "Expense_" &amp; MonthName &amp; " Actual vs OB Report -" &amp; DeptCode</t>
  </si>
  <si>
    <t>NewFileName = "Expense_" &amp; MonthName &amp; " Actual vs RBAC Report -" &amp; DeptCode</t>
  </si>
  <si>
    <t>Dept</t>
  </si>
  <si>
    <t>Mr.Sơn</t>
  </si>
  <si>
    <t>Mr.Toàn</t>
  </si>
  <si>
    <t>Year</t>
  </si>
  <si>
    <t>Body line 5</t>
  </si>
  <si>
    <t>Body line 6</t>
  </si>
  <si>
    <t>do.anh@bridgestone.com</t>
  </si>
  <si>
    <t>Report</t>
  </si>
  <si>
    <t>Automate send email.xlsm</t>
  </si>
  <si>
    <t>Capex_Dec-23 Actual vs OB Report -9111.xlsx</t>
  </si>
  <si>
    <t>Capex_Dec-23 Actual vs RBA&amp;C Report -9111.xlsx</t>
  </si>
  <si>
    <t>Expense_Dec-23 Actual vs OB Report -8514.xlsx</t>
  </si>
  <si>
    <t>Expense_Dec-23 Actual vs OB Report -9111.xlsx</t>
  </si>
  <si>
    <t>Expense_Dec-23 Actual vs RBAC Report -8514.xlsx</t>
  </si>
  <si>
    <t>Expense_Dec-23 Actual vs RBAC Report -9111.xlsx</t>
  </si>
  <si>
    <t>.</t>
  </si>
  <si>
    <t>File name</t>
  </si>
  <si>
    <t>Trim1</t>
  </si>
  <si>
    <t>Dept1</t>
  </si>
  <si>
    <t>~$Automate send email.xlsm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</si>
</sst>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0" borderId="1" xfId="0" applyBorder="1"/>
    <xf numFmtId="49" fontId="0" fillId="0" borderId="1" xfId="0" applyNumberFormat="1" applyBorder="1"/>
    <xf numFmtId="0" fontId="1" fillId="6" borderId="1" xfId="0" applyFont="1" applyFill="1" applyBorder="1"/>
    <xf numFmtId="0" fontId="0" fillId="7" borderId="0" xfId="0" applyFill="1"/>
    <xf numFmtId="49" fontId="0" fillId="4" borderId="0" xfId="0" applyNumberFormat="1" applyFill="1"/>
    <xf numFmtId="0" fontId="1" fillId="8" borderId="1" xfId="0" applyFont="1" applyFill="1" applyBorder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0</xdr:row>
      <xdr:rowOff>57150</xdr:rowOff>
    </xdr:from>
    <xdr:to>
      <xdr:col>8</xdr:col>
      <xdr:colOff>581025</xdr:colOff>
      <xdr:row>1</xdr:row>
      <xdr:rowOff>142875</xdr:rowOff>
    </xdr:to>
    <xdr:sp macro="[0]!Sheet1.ShowUserForm" textlink="">
      <xdr:nvSpPr>
        <xdr:cNvPr id="2" name="Rectangle 1">
          <a:extLst>
            <a:ext uri="{FF2B5EF4-FFF2-40B4-BE49-F238E27FC236}">
              <a16:creationId xmlns:a16="http://schemas.microsoft.com/office/drawing/2014/main" id="{9FB629B5-D77A-5A64-3924-6676B5AC10FF}"/>
            </a:ext>
          </a:extLst>
        </xdr:cNvPr>
        <xdr:cNvSpPr/>
      </xdr:nvSpPr>
      <xdr:spPr>
        <a:xfrm>
          <a:off x="7010400" y="57150"/>
          <a:ext cx="428625" cy="276225"/>
        </a:xfrm>
        <a:prstGeom prst="rect">
          <a:avLst/>
        </a:prstGeom>
        <a:solidFill>
          <a:srgbClr val="FFFF00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67537-3027-409A-A934-B0D1E7B1391F}">
  <sheetPr codeName="Sheet1"/>
  <dimension ref="A1:O90"/>
  <sheetViews>
    <sheetView tabSelected="1" workbookViewId="0">
      <selection activeCell="F11" sqref="F11"/>
    </sheetView>
  </sheetViews>
  <sheetFormatPr defaultRowHeight="15" x14ac:dyDescent="0.25"/>
  <cols>
    <col min="1" max="1" width="9.42578125" customWidth="1"/>
    <col min="2" max="2" width="11.42578125" customWidth="1"/>
    <col min="3" max="3" width="7" customWidth="1"/>
    <col min="4" max="4" width="5.28515625" customWidth="1"/>
    <col min="5" max="5" width="29.140625" customWidth="1"/>
    <col min="6" max="6" width="15.85546875" customWidth="1"/>
    <col min="7" max="7" width="13.5703125" customWidth="1"/>
    <col min="8" max="9" width="11.140625" customWidth="1"/>
    <col min="10" max="10" width="14" customWidth="1"/>
    <col min="11" max="11" width="21.140625" customWidth="1"/>
    <col min="13" max="13" width="45.140625" customWidth="1"/>
  </cols>
  <sheetData>
    <row r="1" spans="1:15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</row>
    <row r="2" spans="1:15" x14ac:dyDescent="0.25">
      <c r="A2" s="1" t="s">
        <v>8</v>
      </c>
      <c r="B2" s="1" t="s">
        <v>20</v>
      </c>
      <c r="C2" s="2" t="s">
        <v>32</v>
      </c>
      <c r="D2" s="2">
        <v>2023</v>
      </c>
      <c r="E2" s="3" t="str">
        <f>"-FA list report - "</f>
        <v xml:space="preserve">-FA list report - </v>
      </c>
      <c r="F2" s="8" t="str">
        <f>B2&amp;"-"&amp;D2</f>
        <v>Dec-2023</v>
      </c>
      <c r="G2" s="7">
        <v>5</v>
      </c>
    </row>
    <row r="3" spans="1:15" x14ac:dyDescent="0.25">
      <c r="A3" s="9" t="s">
        <v>29</v>
      </c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9" t="s">
        <v>5</v>
      </c>
      <c r="H3" s="9" t="s">
        <v>6</v>
      </c>
      <c r="I3" s="9" t="s">
        <v>7</v>
      </c>
      <c r="J3" s="9" t="s">
        <v>33</v>
      </c>
      <c r="K3" s="9" t="s">
        <v>34</v>
      </c>
      <c r="M3" s="6" t="s">
        <v>45</v>
      </c>
      <c r="N3" s="6" t="s">
        <v>46</v>
      </c>
      <c r="O3" s="6" t="s">
        <v>47</v>
      </c>
    </row>
    <row r="4" spans="1:15" ht="34.5" customHeight="1" x14ac:dyDescent="0.25">
      <c r="A4" s="5">
        <v>9111</v>
      </c>
      <c r="B4" s="4" t="s">
        <v>30</v>
      </c>
      <c r="C4" s="4" t="s">
        <v>35</v>
      </c>
      <c r="D4" s="4"/>
      <c r="E4" s="10" t="str">
        <f>$F$2&amp;$E$2&amp;A4</f>
        <v>Dec-2023-FA list report - 9111</v>
      </c>
      <c r="F4" s="10" t="str">
        <f>"Dear "&amp;$B4&amp;","</f>
        <v>Dear Mr.Sơn,</v>
      </c>
      <c r="G4" s="10" t="str">
        <f>"We would like to send Act vs. Bud report for "&amp;$F2</f>
        <v>We would like to send Act vs. Bud report for Dec-2023</v>
      </c>
      <c r="H4" s="10" t="str">
        <f>"Please help to review and stay control for your section budget"</f>
        <v>Please help to review and stay control for your section budget</v>
      </c>
      <c r="I4" s="10" t="str">
        <f>"Should you have any question, please feedback Mai san (mai.pham1@bridgestone.com). Thank you."</f>
        <v>Should you have any question, please feedback Mai san (mai.pham1@bridgestone.com). Thank you.</v>
      </c>
      <c r="J4" s="10" t="str">
        <f>"Best regards,"</f>
        <v>Best regards,</v>
      </c>
      <c r="K4" s="10" t="str">
        <f>"Do Duc Anh - BTMV Accounting - Dect 51624"</f>
        <v>Do Duc Anh - BTMV Accounting - Dect 51624</v>
      </c>
      <c r="L4" t="s">
        <v>44</v>
      </c>
      <c r="M4" s="4" t="s">
        <v>37</v>
      </c>
      <c r="N4" s="4" t="str">
        <f>RIGHT(M4,9)</f>
        <v>mail.xlsm</v>
      </c>
      <c r="O4" s="4" t="str">
        <f>RIGHT(N4,9)</f>
        <v>mail.xlsm</v>
      </c>
    </row>
    <row r="5" spans="1:15" ht="34.5" customHeight="1" x14ac:dyDescent="0.25">
      <c r="A5" s="5">
        <v>8514</v>
      </c>
      <c r="B5" s="4" t="s">
        <v>31</v>
      </c>
      <c r="C5" s="4" t="s">
        <v>35</v>
      </c>
      <c r="D5" s="4" t="s">
        <v>35</v>
      </c>
      <c r="E5" s="10" t="str">
        <f t="shared" ref="E5:E20" si="0">$F$2&amp;$E$2&amp;A5</f>
        <v>Dec-2023-FA list report - 8514</v>
      </c>
      <c r="F5" s="10" t="str">
        <f t="shared" ref="F5:F20" si="1">"Dear "&amp;$B5&amp;","</f>
        <v>Dear Mr.Toàn,</v>
      </c>
      <c r="G5" s="10" t="str">
        <f t="shared" ref="G5:G20" si="2">"We would like to send Act vs. Bud report for "&amp;$F3</f>
        <v>We would like to send Act vs. Bud report for Body line 1</v>
      </c>
      <c r="H5" s="10" t="str">
        <f t="shared" ref="H5:H20" si="3">"Please help to review and stay control for your section budget"</f>
        <v>Please help to review and stay control for your section budget</v>
      </c>
      <c r="I5" s="10" t="str">
        <f t="shared" ref="I5:I20" si="4">"Should you have any question, please feedback Mai san (mai.pham1@bridgestone.com). Thank you."</f>
        <v>Should you have any question, please feedback Mai san (mai.pham1@bridgestone.com). Thank you.</v>
      </c>
      <c r="J5" s="10" t="str">
        <f t="shared" ref="J5:J20" si="5">"Best regards,"</f>
        <v>Best regards,</v>
      </c>
      <c r="K5" s="10" t="str">
        <f t="shared" ref="K5:K20" si="6">"Do Duc Anh - BTMV Accounting - Dect 51624"</f>
        <v>Do Duc Anh - BTMV Accounting - Dect 51624</v>
      </c>
      <c r="L5" t="s">
        <v>44</v>
      </c>
      <c r="M5" s="4" t="s">
        <v>38</v>
      </c>
      <c r="N5" s="4" t="str">
        <f>RIGHT(M5,9)</f>
        <v>9111.xlsx</v>
      </c>
      <c r="O5" s="4" t="str">
        <f>LEFT(N5,4)</f>
        <v>9111</v>
      </c>
    </row>
    <row r="6" spans="1:15" x14ac:dyDescent="0.25">
      <c r="E6" s="10" t="str">
        <f t="shared" si="0"/>
        <v xml:space="preserve">Dec-2023-FA list report - </v>
      </c>
      <c r="F6" s="10" t="str">
        <f t="shared" si="1"/>
        <v>Dear ,</v>
      </c>
      <c r="G6" s="10" t="str">
        <f t="shared" si="2"/>
        <v>We would like to send Act vs. Bud report for Dear Mr.Sơn,</v>
      </c>
      <c r="H6" s="10" t="str">
        <f t="shared" si="3"/>
        <v>Please help to review and stay control for your section budget</v>
      </c>
      <c r="I6" s="10" t="str">
        <f t="shared" si="4"/>
        <v>Should you have any question, please feedback Mai san (mai.pham1@bridgestone.com). Thank you.</v>
      </c>
      <c r="J6" s="10" t="str">
        <f t="shared" si="5"/>
        <v>Best regards,</v>
      </c>
      <c r="K6" s="10" t="str">
        <f t="shared" si="6"/>
        <v>Do Duc Anh - BTMV Accounting - Dect 51624</v>
      </c>
      <c r="L6" t="s">
        <v>44</v>
      </c>
      <c r="M6" s="4" t="s">
        <v>39</v>
      </c>
      <c r="N6" s="4" t="str">
        <f t="shared" ref="N6:N35" si="7">RIGHT(M6,9)</f>
        <v>9111.xlsx</v>
      </c>
      <c r="O6" s="4" t="str">
        <f t="shared" ref="O6:O35" si="8">LEFT(N6,4)</f>
        <v>9111</v>
      </c>
    </row>
    <row r="7" spans="1:15" x14ac:dyDescent="0.25">
      <c r="E7" s="10" t="str">
        <f t="shared" si="0"/>
        <v xml:space="preserve">Dec-2023-FA list report - </v>
      </c>
      <c r="F7" s="10" t="str">
        <f t="shared" si="1"/>
        <v>Dear ,</v>
      </c>
      <c r="G7" s="10" t="str">
        <f t="shared" si="2"/>
        <v>We would like to send Act vs. Bud report for Dear Mr.Toàn,</v>
      </c>
      <c r="H7" s="10" t="str">
        <f t="shared" si="3"/>
        <v>Please help to review and stay control for your section budget</v>
      </c>
      <c r="I7" s="10" t="str">
        <f t="shared" si="4"/>
        <v>Should you have any question, please feedback Mai san (mai.pham1@bridgestone.com). Thank you.</v>
      </c>
      <c r="J7" s="10" t="str">
        <f t="shared" si="5"/>
        <v>Best regards,</v>
      </c>
      <c r="K7" s="10" t="str">
        <f t="shared" si="6"/>
        <v>Do Duc Anh - BTMV Accounting - Dect 51624</v>
      </c>
      <c r="L7" t="s">
        <v>44</v>
      </c>
      <c r="M7" s="4" t="s">
        <v>40</v>
      </c>
      <c r="N7" s="4" t="str">
        <f t="shared" si="7"/>
        <v>8514.xlsx</v>
      </c>
      <c r="O7" s="4" t="str">
        <f t="shared" si="8"/>
        <v>8514</v>
      </c>
    </row>
    <row r="8" spans="1:15" x14ac:dyDescent="0.25">
      <c r="E8" s="10" t="str">
        <f t="shared" si="0"/>
        <v xml:space="preserve">Dec-2023-FA list report - </v>
      </c>
      <c r="F8" s="10" t="str">
        <f t="shared" si="1"/>
        <v>Dear ,</v>
      </c>
      <c r="G8" s="10" t="str">
        <f t="shared" si="2"/>
        <v>We would like to send Act vs. Bud report for Dear ,</v>
      </c>
      <c r="H8" s="10" t="str">
        <f t="shared" si="3"/>
        <v>Please help to review and stay control for your section budget</v>
      </c>
      <c r="I8" s="10" t="str">
        <f t="shared" si="4"/>
        <v>Should you have any question, please feedback Mai san (mai.pham1@bridgestone.com). Thank you.</v>
      </c>
      <c r="J8" s="10" t="str">
        <f t="shared" si="5"/>
        <v>Best regards,</v>
      </c>
      <c r="K8" s="10" t="str">
        <f t="shared" si="6"/>
        <v>Do Duc Anh - BTMV Accounting - Dect 51624</v>
      </c>
      <c r="L8" t="s">
        <v>44</v>
      </c>
      <c r="M8" s="4" t="s">
        <v>41</v>
      </c>
      <c r="N8" s="4" t="str">
        <f t="shared" si="7"/>
        <v>9111.xlsx</v>
      </c>
      <c r="O8" s="4" t="str">
        <f t="shared" si="8"/>
        <v>9111</v>
      </c>
    </row>
    <row r="9" spans="1:15" x14ac:dyDescent="0.25">
      <c r="E9" s="10" t="str">
        <f t="shared" si="0"/>
        <v xml:space="preserve">Dec-2023-FA list report - </v>
      </c>
      <c r="F9" s="10" t="str">
        <f t="shared" si="1"/>
        <v>Dear ,</v>
      </c>
      <c r="G9" s="10" t="str">
        <f t="shared" si="2"/>
        <v>We would like to send Act vs. Bud report for Dear ,</v>
      </c>
      <c r="H9" s="10" t="str">
        <f t="shared" si="3"/>
        <v>Please help to review and stay control for your section budget</v>
      </c>
      <c r="I9" s="10" t="str">
        <f t="shared" si="4"/>
        <v>Should you have any question, please feedback Mai san (mai.pham1@bridgestone.com). Thank you.</v>
      </c>
      <c r="J9" s="10" t="str">
        <f t="shared" si="5"/>
        <v>Best regards,</v>
      </c>
      <c r="K9" s="10" t="str">
        <f t="shared" si="6"/>
        <v>Do Duc Anh - BTMV Accounting - Dect 51624</v>
      </c>
      <c r="L9" t="s">
        <v>44</v>
      </c>
      <c r="M9" s="4" t="s">
        <v>42</v>
      </c>
      <c r="N9" s="4" t="str">
        <f t="shared" si="7"/>
        <v>8514.xlsx</v>
      </c>
      <c r="O9" s="4" t="str">
        <f t="shared" si="8"/>
        <v>8514</v>
      </c>
    </row>
    <row r="10" spans="1:15" x14ac:dyDescent="0.25">
      <c r="E10" s="10" t="str">
        <f t="shared" si="0"/>
        <v xml:space="preserve">Dec-2023-FA list report - </v>
      </c>
      <c r="F10" s="10" t="str">
        <f t="shared" si="1"/>
        <v>Dear ,</v>
      </c>
      <c r="G10" s="10" t="str">
        <f t="shared" si="2"/>
        <v>We would like to send Act vs. Bud report for Dear ,</v>
      </c>
      <c r="H10" s="10" t="str">
        <f t="shared" si="3"/>
        <v>Please help to review and stay control for your section budget</v>
      </c>
      <c r="I10" s="10" t="str">
        <f t="shared" si="4"/>
        <v>Should you have any question, please feedback Mai san (mai.pham1@bridgestone.com). Thank you.</v>
      </c>
      <c r="J10" s="10" t="str">
        <f t="shared" si="5"/>
        <v>Best regards,</v>
      </c>
      <c r="K10" s="10" t="str">
        <f t="shared" si="6"/>
        <v>Do Duc Anh - BTMV Accounting - Dect 51624</v>
      </c>
      <c r="L10" t="s">
        <v>44</v>
      </c>
      <c r="M10" s="4" t="s">
        <v>43</v>
      </c>
      <c r="N10" s="4" t="str">
        <f t="shared" si="7"/>
        <v>9111.xlsx</v>
      </c>
      <c r="O10" s="4" t="str">
        <f t="shared" si="8"/>
        <v>9111</v>
      </c>
    </row>
    <row r="11" spans="1:15" x14ac:dyDescent="0.25">
      <c r="E11" s="10" t="str">
        <f t="shared" si="0"/>
        <v xml:space="preserve">Dec-2023-FA list report - </v>
      </c>
      <c r="F11" s="10" t="str">
        <f t="shared" si="1"/>
        <v>Dear ,</v>
      </c>
      <c r="G11" s="10" t="str">
        <f t="shared" si="2"/>
        <v>We would like to send Act vs. Bud report for Dear ,</v>
      </c>
      <c r="H11" s="10" t="str">
        <f t="shared" si="3"/>
        <v>Please help to review and stay control for your section budget</v>
      </c>
      <c r="I11" s="10" t="str">
        <f t="shared" si="4"/>
        <v>Should you have any question, please feedback Mai san (mai.pham1@bridgestone.com). Thank you.</v>
      </c>
      <c r="J11" s="10" t="str">
        <f t="shared" si="5"/>
        <v>Best regards,</v>
      </c>
      <c r="K11" s="10" t="str">
        <f t="shared" si="6"/>
        <v>Do Duc Anh - BTMV Accounting - Dect 51624</v>
      </c>
      <c r="L11" t="s">
        <v>44</v>
      </c>
      <c r="M11" s="4" t="s">
        <v>48</v>
      </c>
      <c r="N11" s="4" t="str">
        <f t="shared" si="7"/>
        <v>mail.xlsm</v>
      </c>
      <c r="O11" s="4" t="str">
        <f t="shared" si="8"/>
        <v>mail</v>
      </c>
    </row>
    <row r="12" spans="1:15" x14ac:dyDescent="0.25">
      <c r="E12" s="10" t="str">
        <f t="shared" si="0"/>
        <v xml:space="preserve">Dec-2023-FA list report - </v>
      </c>
      <c r="F12" s="10" t="str">
        <f t="shared" si="1"/>
        <v>Dear ,</v>
      </c>
      <c r="G12" s="10" t="str">
        <f t="shared" si="2"/>
        <v>We would like to send Act vs. Bud report for Dear ,</v>
      </c>
      <c r="H12" s="10" t="str">
        <f t="shared" si="3"/>
        <v>Please help to review and stay control for your section budget</v>
      </c>
      <c r="I12" s="10" t="str">
        <f t="shared" si="4"/>
        <v>Should you have any question, please feedback Mai san (mai.pham1@bridgestone.com). Thank you.</v>
      </c>
      <c r="J12" s="10" t="str">
        <f t="shared" si="5"/>
        <v>Best regards,</v>
      </c>
      <c r="K12" s="10" t="str">
        <f t="shared" si="6"/>
        <v>Do Duc Anh - BTMV Accounting - Dect 51624</v>
      </c>
      <c r="L12" t="s">
        <v>44</v>
      </c>
      <c r="M12" s="4"/>
      <c r="N12" s="4" t="str">
        <f t="shared" si="7"/>
        <v/>
      </c>
      <c r="O12" s="4" t="str">
        <f t="shared" si="8"/>
        <v/>
      </c>
    </row>
    <row r="13" spans="1:15" x14ac:dyDescent="0.25">
      <c r="E13" s="10" t="str">
        <f t="shared" si="0"/>
        <v xml:space="preserve">Dec-2023-FA list report - </v>
      </c>
      <c r="F13" s="10" t="str">
        <f t="shared" si="1"/>
        <v>Dear ,</v>
      </c>
      <c r="G13" s="10" t="str">
        <f t="shared" si="2"/>
        <v>We would like to send Act vs. Bud report for Dear ,</v>
      </c>
      <c r="H13" s="10" t="str">
        <f t="shared" si="3"/>
        <v>Please help to review and stay control for your section budget</v>
      </c>
      <c r="I13" s="10" t="str">
        <f t="shared" si="4"/>
        <v>Should you have any question, please feedback Mai san (mai.pham1@bridgestone.com). Thank you.</v>
      </c>
      <c r="J13" s="10" t="str">
        <f t="shared" si="5"/>
        <v>Best regards,</v>
      </c>
      <c r="K13" s="10" t="str">
        <f t="shared" si="6"/>
        <v>Do Duc Anh - BTMV Accounting - Dect 51624</v>
      </c>
      <c r="L13" t="s">
        <v>44</v>
      </c>
      <c r="M13" s="4"/>
      <c r="N13" s="4" t="str">
        <f t="shared" si="7"/>
        <v/>
      </c>
      <c r="O13" s="4" t="str">
        <f t="shared" si="8"/>
        <v/>
      </c>
    </row>
    <row r="14" spans="1:15" x14ac:dyDescent="0.25">
      <c r="E14" s="10" t="str">
        <f t="shared" si="0"/>
        <v xml:space="preserve">Dec-2023-FA list report - </v>
      </c>
      <c r="F14" s="10" t="str">
        <f t="shared" si="1"/>
        <v>Dear ,</v>
      </c>
      <c r="G14" s="10" t="str">
        <f t="shared" si="2"/>
        <v>We would like to send Act vs. Bud report for Dear ,</v>
      </c>
      <c r="H14" s="10" t="str">
        <f t="shared" si="3"/>
        <v>Please help to review and stay control for your section budget</v>
      </c>
      <c r="I14" s="10" t="str">
        <f t="shared" si="4"/>
        <v>Should you have any question, please feedback Mai san (mai.pham1@bridgestone.com). Thank you.</v>
      </c>
      <c r="J14" s="10" t="str">
        <f t="shared" si="5"/>
        <v>Best regards,</v>
      </c>
      <c r="K14" s="10" t="str">
        <f t="shared" si="6"/>
        <v>Do Duc Anh - BTMV Accounting - Dect 51624</v>
      </c>
      <c r="L14" t="s">
        <v>44</v>
      </c>
      <c r="M14" s="4"/>
      <c r="N14" s="4" t="str">
        <f t="shared" si="7"/>
        <v/>
      </c>
      <c r="O14" s="4" t="str">
        <f t="shared" si="8"/>
        <v/>
      </c>
    </row>
    <row r="15" spans="1:15" x14ac:dyDescent="0.25">
      <c r="E15" s="10" t="str">
        <f t="shared" si="0"/>
        <v xml:space="preserve">Dec-2023-FA list report - </v>
      </c>
      <c r="F15" s="10" t="str">
        <f t="shared" si="1"/>
        <v>Dear ,</v>
      </c>
      <c r="G15" s="10" t="str">
        <f t="shared" si="2"/>
        <v>We would like to send Act vs. Bud report for Dear ,</v>
      </c>
      <c r="H15" s="10" t="str">
        <f t="shared" si="3"/>
        <v>Please help to review and stay control for your section budget</v>
      </c>
      <c r="I15" s="10" t="str">
        <f t="shared" si="4"/>
        <v>Should you have any question, please feedback Mai san (mai.pham1@bridgestone.com). Thank you.</v>
      </c>
      <c r="J15" s="10" t="str">
        <f t="shared" si="5"/>
        <v>Best regards,</v>
      </c>
      <c r="K15" s="10" t="str">
        <f t="shared" si="6"/>
        <v>Do Duc Anh - BTMV Accounting - Dect 51624</v>
      </c>
      <c r="L15" t="s">
        <v>44</v>
      </c>
      <c r="M15" s="4"/>
      <c r="N15" s="4" t="str">
        <f t="shared" si="7"/>
        <v/>
      </c>
      <c r="O15" s="4" t="str">
        <f t="shared" si="8"/>
        <v/>
      </c>
    </row>
    <row r="16" spans="1:15" x14ac:dyDescent="0.25">
      <c r="E16" s="10" t="str">
        <f t="shared" si="0"/>
        <v xml:space="preserve">Dec-2023-FA list report - </v>
      </c>
      <c r="F16" s="10" t="str">
        <f t="shared" si="1"/>
        <v>Dear ,</v>
      </c>
      <c r="G16" s="10" t="str">
        <f t="shared" si="2"/>
        <v>We would like to send Act vs. Bud report for Dear ,</v>
      </c>
      <c r="H16" s="10" t="str">
        <f t="shared" si="3"/>
        <v>Please help to review and stay control for your section budget</v>
      </c>
      <c r="I16" s="10" t="str">
        <f t="shared" si="4"/>
        <v>Should you have any question, please feedback Mai san (mai.pham1@bridgestone.com). Thank you.</v>
      </c>
      <c r="J16" s="10" t="str">
        <f t="shared" si="5"/>
        <v>Best regards,</v>
      </c>
      <c r="K16" s="10" t="str">
        <f t="shared" si="6"/>
        <v>Do Duc Anh - BTMV Accounting - Dect 51624</v>
      </c>
      <c r="L16" t="s">
        <v>44</v>
      </c>
      <c r="M16" s="4"/>
      <c r="N16" s="4" t="str">
        <f t="shared" si="7"/>
        <v/>
      </c>
      <c r="O16" s="4" t="str">
        <f t="shared" si="8"/>
        <v/>
      </c>
    </row>
    <row r="17" spans="5:15" x14ac:dyDescent="0.25">
      <c r="E17" s="10" t="str">
        <f t="shared" si="0"/>
        <v xml:space="preserve">Dec-2023-FA list report - </v>
      </c>
      <c r="F17" s="10" t="str">
        <f t="shared" si="1"/>
        <v>Dear ,</v>
      </c>
      <c r="G17" s="10" t="str">
        <f t="shared" si="2"/>
        <v>We would like to send Act vs. Bud report for Dear ,</v>
      </c>
      <c r="H17" s="10" t="str">
        <f t="shared" si="3"/>
        <v>Please help to review and stay control for your section budget</v>
      </c>
      <c r="I17" s="10" t="str">
        <f t="shared" si="4"/>
        <v>Should you have any question, please feedback Mai san (mai.pham1@bridgestone.com). Thank you.</v>
      </c>
      <c r="J17" s="10" t="str">
        <f t="shared" si="5"/>
        <v>Best regards,</v>
      </c>
      <c r="K17" s="10" t="str">
        <f t="shared" si="6"/>
        <v>Do Duc Anh - BTMV Accounting - Dect 51624</v>
      </c>
      <c r="L17" t="s">
        <v>44</v>
      </c>
      <c r="M17" s="4"/>
      <c r="N17" s="4" t="str">
        <f t="shared" si="7"/>
        <v/>
      </c>
      <c r="O17" s="4" t="str">
        <f t="shared" si="8"/>
        <v/>
      </c>
    </row>
    <row r="18" spans="5:15" x14ac:dyDescent="0.25">
      <c r="E18" s="10" t="str">
        <f t="shared" si="0"/>
        <v xml:space="preserve">Dec-2023-FA list report - </v>
      </c>
      <c r="F18" s="10" t="str">
        <f t="shared" si="1"/>
        <v>Dear ,</v>
      </c>
      <c r="G18" s="10" t="str">
        <f t="shared" si="2"/>
        <v>We would like to send Act vs. Bud report for Dear ,</v>
      </c>
      <c r="H18" s="10" t="str">
        <f t="shared" si="3"/>
        <v>Please help to review and stay control for your section budget</v>
      </c>
      <c r="I18" s="10" t="str">
        <f t="shared" si="4"/>
        <v>Should you have any question, please feedback Mai san (mai.pham1@bridgestone.com). Thank you.</v>
      </c>
      <c r="J18" s="10" t="str">
        <f t="shared" si="5"/>
        <v>Best regards,</v>
      </c>
      <c r="K18" s="10" t="str">
        <f t="shared" si="6"/>
        <v>Do Duc Anh - BTMV Accounting - Dect 51624</v>
      </c>
      <c r="L18" t="s">
        <v>44</v>
      </c>
      <c r="M18" s="4"/>
      <c r="N18" s="4" t="str">
        <f t="shared" si="7"/>
        <v/>
      </c>
      <c r="O18" s="4" t="str">
        <f t="shared" si="8"/>
        <v/>
      </c>
    </row>
    <row r="19" spans="5:15" x14ac:dyDescent="0.25">
      <c r="E19" s="10" t="str">
        <f t="shared" si="0"/>
        <v xml:space="preserve">Dec-2023-FA list report - </v>
      </c>
      <c r="F19" s="10" t="str">
        <f t="shared" si="1"/>
        <v>Dear ,</v>
      </c>
      <c r="G19" s="10" t="str">
        <f t="shared" si="2"/>
        <v>We would like to send Act vs. Bud report for Dear ,</v>
      </c>
      <c r="H19" s="10" t="str">
        <f t="shared" si="3"/>
        <v>Please help to review and stay control for your section budget</v>
      </c>
      <c r="I19" s="10" t="str">
        <f t="shared" si="4"/>
        <v>Should you have any question, please feedback Mai san (mai.pham1@bridgestone.com). Thank you.</v>
      </c>
      <c r="J19" s="10" t="str">
        <f t="shared" si="5"/>
        <v>Best regards,</v>
      </c>
      <c r="K19" s="10" t="str">
        <f t="shared" si="6"/>
        <v>Do Duc Anh - BTMV Accounting - Dect 51624</v>
      </c>
      <c r="L19" t="s">
        <v>44</v>
      </c>
      <c r="M19" s="4"/>
      <c r="N19" s="4" t="str">
        <f t="shared" si="7"/>
        <v/>
      </c>
      <c r="O19" s="4" t="str">
        <f t="shared" si="8"/>
        <v/>
      </c>
    </row>
    <row r="20" spans="5:15" x14ac:dyDescent="0.25">
      <c r="E20" s="10" t="str">
        <f t="shared" si="0"/>
        <v xml:space="preserve">Dec-2023-FA list report - </v>
      </c>
      <c r="F20" s="10" t="str">
        <f t="shared" si="1"/>
        <v>Dear ,</v>
      </c>
      <c r="G20" s="10" t="str">
        <f t="shared" si="2"/>
        <v>We would like to send Act vs. Bud report for Dear ,</v>
      </c>
      <c r="H20" s="10" t="str">
        <f t="shared" si="3"/>
        <v>Please help to review and stay control for your section budget</v>
      </c>
      <c r="I20" s="10" t="str">
        <f t="shared" si="4"/>
        <v>Should you have any question, please feedback Mai san (mai.pham1@bridgestone.com). Thank you.</v>
      </c>
      <c r="J20" s="10" t="str">
        <f t="shared" si="5"/>
        <v>Best regards,</v>
      </c>
      <c r="K20" s="10" t="str">
        <f t="shared" si="6"/>
        <v>Do Duc Anh - BTMV Accounting - Dect 51624</v>
      </c>
      <c r="L20" t="s">
        <v>44</v>
      </c>
      <c r="M20" s="4"/>
      <c r="N20" s="4" t="str">
        <f t="shared" si="7"/>
        <v/>
      </c>
      <c r="O20" s="4" t="str">
        <f t="shared" si="8"/>
        <v/>
      </c>
    </row>
    <row r="21" spans="5:15" x14ac:dyDescent="0.25">
      <c r="M21" s="4"/>
      <c r="N21" s="4" t="str">
        <f t="shared" si="7"/>
        <v/>
      </c>
      <c r="O21" s="4" t="str">
        <f t="shared" si="8"/>
        <v/>
      </c>
    </row>
    <row r="22" spans="5:15" x14ac:dyDescent="0.25">
      <c r="M22" s="4"/>
      <c r="N22" s="4" t="str">
        <f t="shared" si="7"/>
        <v/>
      </c>
      <c r="O22" s="4" t="str">
        <f t="shared" si="8"/>
        <v/>
      </c>
    </row>
    <row r="23" spans="5:15" x14ac:dyDescent="0.25">
      <c r="M23" s="4"/>
      <c r="N23" s="4" t="str">
        <f t="shared" si="7"/>
        <v/>
      </c>
      <c r="O23" s="4" t="str">
        <f t="shared" si="8"/>
        <v/>
      </c>
    </row>
    <row r="24" spans="5:15" x14ac:dyDescent="0.25">
      <c r="M24" s="4"/>
      <c r="N24" s="4" t="str">
        <f t="shared" si="7"/>
        <v/>
      </c>
      <c r="O24" s="4" t="str">
        <f t="shared" si="8"/>
        <v/>
      </c>
    </row>
    <row r="25" spans="5:15" x14ac:dyDescent="0.25">
      <c r="M25" s="4"/>
      <c r="N25" s="4" t="str">
        <f t="shared" si="7"/>
        <v/>
      </c>
      <c r="O25" s="4" t="str">
        <f t="shared" si="8"/>
        <v/>
      </c>
    </row>
    <row r="26" spans="5:15" x14ac:dyDescent="0.25">
      <c r="M26" s="4"/>
      <c r="N26" s="4" t="str">
        <f t="shared" si="7"/>
        <v/>
      </c>
      <c r="O26" s="4" t="str">
        <f t="shared" si="8"/>
        <v/>
      </c>
    </row>
    <row r="27" spans="5:15" x14ac:dyDescent="0.25">
      <c r="M27" s="4"/>
      <c r="N27" s="4" t="str">
        <f t="shared" si="7"/>
        <v/>
      </c>
      <c r="O27" s="4" t="str">
        <f t="shared" si="8"/>
        <v/>
      </c>
    </row>
    <row r="28" spans="5:15" x14ac:dyDescent="0.25">
      <c r="M28" s="4"/>
      <c r="N28" s="4" t="str">
        <f t="shared" si="7"/>
        <v/>
      </c>
      <c r="O28" s="4" t="str">
        <f t="shared" si="8"/>
        <v/>
      </c>
    </row>
    <row r="29" spans="5:15" x14ac:dyDescent="0.25">
      <c r="M29" s="4"/>
      <c r="N29" s="4" t="str">
        <f t="shared" si="7"/>
        <v/>
      </c>
      <c r="O29" s="4" t="str">
        <f t="shared" si="8"/>
        <v/>
      </c>
    </row>
    <row r="30" spans="5:15" x14ac:dyDescent="0.25">
      <c r="M30" s="4"/>
      <c r="N30" s="4" t="str">
        <f t="shared" si="7"/>
        <v/>
      </c>
      <c r="O30" s="4" t="str">
        <f t="shared" si="8"/>
        <v/>
      </c>
    </row>
    <row r="31" spans="5:15" x14ac:dyDescent="0.25">
      <c r="M31" s="4"/>
      <c r="N31" s="4" t="str">
        <f t="shared" si="7"/>
        <v/>
      </c>
      <c r="O31" s="4" t="str">
        <f t="shared" si="8"/>
        <v/>
      </c>
    </row>
    <row r="32" spans="5:15" x14ac:dyDescent="0.25">
      <c r="M32" s="4"/>
      <c r="N32" s="4" t="str">
        <f t="shared" si="7"/>
        <v/>
      </c>
      <c r="O32" s="4" t="str">
        <f t="shared" si="8"/>
        <v/>
      </c>
    </row>
    <row r="33" spans="13:15" x14ac:dyDescent="0.25">
      <c r="M33" s="4"/>
      <c r="N33" s="4" t="str">
        <f t="shared" si="7"/>
        <v/>
      </c>
      <c r="O33" s="4" t="str">
        <f t="shared" si="8"/>
        <v/>
      </c>
    </row>
    <row r="34" spans="13:15" x14ac:dyDescent="0.25">
      <c r="M34" s="4"/>
      <c r="N34" s="4" t="str">
        <f t="shared" si="7"/>
        <v/>
      </c>
      <c r="O34" s="4" t="str">
        <f t="shared" si="8"/>
        <v/>
      </c>
    </row>
    <row r="35" spans="13:15" x14ac:dyDescent="0.25">
      <c r="M35" s="4"/>
      <c r="N35" s="4" t="str">
        <f t="shared" si="7"/>
        <v/>
      </c>
      <c r="O35" s="4" t="str">
        <f t="shared" si="8"/>
        <v/>
      </c>
    </row>
    <row r="36" spans="13:15" x14ac:dyDescent="0.25">
      <c r="M36" s="4"/>
      <c r="N36" s="4" t="str">
        <f>RIGHT(M36,9)</f>
        <v/>
      </c>
      <c r="O36" s="4" t="str">
        <f>RIGHT(N36,9)</f>
        <v/>
      </c>
    </row>
    <row r="37" spans="13:15" x14ac:dyDescent="0.25">
      <c r="M37" s="4"/>
      <c r="N37" s="4" t="str">
        <f t="shared" ref="N37:O37" si="9">RIGHT(M37,9)</f>
        <v/>
      </c>
      <c r="O37" s="4" t="str">
        <f t="shared" si="9"/>
        <v/>
      </c>
    </row>
    <row r="38" spans="13:15" x14ac:dyDescent="0.25">
      <c r="M38" s="4"/>
      <c r="N38" s="4" t="str">
        <f t="shared" ref="N38:O38" si="10">RIGHT(M38,9)</f>
        <v/>
      </c>
      <c r="O38" s="4" t="str">
        <f t="shared" si="10"/>
        <v/>
      </c>
    </row>
    <row r="39" spans="13:15" x14ac:dyDescent="0.25">
      <c r="M39" s="4"/>
      <c r="N39" s="4" t="str">
        <f t="shared" ref="N39:O39" si="11">RIGHT(M39,9)</f>
        <v/>
      </c>
      <c r="O39" s="4" t="str">
        <f t="shared" si="11"/>
        <v/>
      </c>
    </row>
    <row r="40" spans="13:15" x14ac:dyDescent="0.25">
      <c r="M40" s="4"/>
      <c r="N40" s="4" t="str">
        <f t="shared" ref="N40:O40" si="12">RIGHT(M40,9)</f>
        <v/>
      </c>
      <c r="O40" s="4" t="str">
        <f t="shared" si="12"/>
        <v/>
      </c>
    </row>
    <row r="41" spans="13:15" x14ac:dyDescent="0.25">
      <c r="M41" s="4"/>
      <c r="N41" s="4" t="str">
        <f t="shared" ref="N41:O41" si="13">RIGHT(M41,9)</f>
        <v/>
      </c>
      <c r="O41" s="4" t="str">
        <f t="shared" si="13"/>
        <v/>
      </c>
    </row>
    <row r="42" spans="13:15" x14ac:dyDescent="0.25">
      <c r="M42" s="4"/>
      <c r="N42" s="4" t="str">
        <f t="shared" ref="N42:O42" si="14">RIGHT(M42,9)</f>
        <v/>
      </c>
      <c r="O42" s="4" t="str">
        <f t="shared" si="14"/>
        <v/>
      </c>
    </row>
    <row r="43" spans="13:15" x14ac:dyDescent="0.25">
      <c r="M43" s="4"/>
      <c r="N43" s="4" t="str">
        <f t="shared" ref="N43:O43" si="15">RIGHT(M43,9)</f>
        <v/>
      </c>
      <c r="O43" s="4" t="str">
        <f t="shared" si="15"/>
        <v/>
      </c>
    </row>
    <row r="44" spans="13:15" x14ac:dyDescent="0.25">
      <c r="M44" s="4"/>
      <c r="N44" s="4" t="str">
        <f t="shared" ref="N44:O44" si="16">RIGHT(M44,9)</f>
        <v/>
      </c>
      <c r="O44" s="4" t="str">
        <f t="shared" si="16"/>
        <v/>
      </c>
    </row>
    <row r="45" spans="13:15" x14ac:dyDescent="0.25">
      <c r="M45" s="4"/>
      <c r="N45" s="4" t="str">
        <f t="shared" ref="N45:O45" si="17">RIGHT(M45,9)</f>
        <v/>
      </c>
      <c r="O45" s="4" t="str">
        <f t="shared" si="17"/>
        <v/>
      </c>
    </row>
    <row r="46" spans="13:15" x14ac:dyDescent="0.25">
      <c r="M46" s="4"/>
      <c r="N46" s="4" t="str">
        <f t="shared" ref="N46:O46" si="18">RIGHT(M46,9)</f>
        <v/>
      </c>
      <c r="O46" s="4" t="str">
        <f t="shared" si="18"/>
        <v/>
      </c>
    </row>
    <row r="47" spans="13:15" x14ac:dyDescent="0.25">
      <c r="M47" s="4"/>
      <c r="N47" s="4" t="str">
        <f t="shared" ref="N47:O47" si="19">RIGHT(M47,9)</f>
        <v/>
      </c>
      <c r="O47" s="4" t="str">
        <f t="shared" si="19"/>
        <v/>
      </c>
    </row>
    <row r="48" spans="13:15" x14ac:dyDescent="0.25">
      <c r="M48" s="4"/>
      <c r="N48" s="4" t="str">
        <f t="shared" ref="N48:O48" si="20">RIGHT(M48,9)</f>
        <v/>
      </c>
      <c r="O48" s="4" t="str">
        <f t="shared" si="20"/>
        <v/>
      </c>
    </row>
    <row r="49" spans="13:15" x14ac:dyDescent="0.25">
      <c r="M49" s="4"/>
      <c r="N49" s="4" t="str">
        <f t="shared" ref="N49:O49" si="21">RIGHT(M49,9)</f>
        <v/>
      </c>
      <c r="O49" s="4" t="str">
        <f t="shared" si="21"/>
        <v/>
      </c>
    </row>
    <row r="50" spans="13:15" x14ac:dyDescent="0.25">
      <c r="M50" s="4"/>
      <c r="N50" s="4" t="str">
        <f t="shared" ref="N50:O50" si="22">RIGHT(M50,9)</f>
        <v/>
      </c>
      <c r="O50" s="4" t="str">
        <f t="shared" si="22"/>
        <v/>
      </c>
    </row>
    <row r="51" spans="13:15" x14ac:dyDescent="0.25">
      <c r="M51" s="4"/>
      <c r="N51" s="4" t="str">
        <f t="shared" ref="N51:O51" si="23">RIGHT(M51,9)</f>
        <v/>
      </c>
      <c r="O51" s="4" t="str">
        <f t="shared" si="23"/>
        <v/>
      </c>
    </row>
    <row r="52" spans="13:15" x14ac:dyDescent="0.25">
      <c r="M52" s="4"/>
      <c r="N52" s="4" t="str">
        <f t="shared" ref="N52:O52" si="24">RIGHT(M52,9)</f>
        <v/>
      </c>
      <c r="O52" s="4" t="str">
        <f t="shared" si="24"/>
        <v/>
      </c>
    </row>
    <row r="53" spans="13:15" x14ac:dyDescent="0.25">
      <c r="M53" s="4"/>
      <c r="N53" s="4" t="str">
        <f t="shared" ref="N53:O53" si="25">RIGHT(M53,9)</f>
        <v/>
      </c>
      <c r="O53" s="4" t="str">
        <f t="shared" si="25"/>
        <v/>
      </c>
    </row>
    <row r="54" spans="13:15" x14ac:dyDescent="0.25">
      <c r="M54" s="4"/>
      <c r="N54" s="4" t="str">
        <f t="shared" ref="N54:O54" si="26">RIGHT(M54,9)</f>
        <v/>
      </c>
      <c r="O54" s="4" t="str">
        <f t="shared" si="26"/>
        <v/>
      </c>
    </row>
    <row r="55" spans="13:15" x14ac:dyDescent="0.25">
      <c r="M55" s="4"/>
      <c r="N55" s="4" t="str">
        <f t="shared" ref="N55:O55" si="27">RIGHT(M55,9)</f>
        <v/>
      </c>
      <c r="O55" s="4" t="str">
        <f t="shared" si="27"/>
        <v/>
      </c>
    </row>
    <row r="56" spans="13:15" x14ac:dyDescent="0.25">
      <c r="M56" s="4"/>
      <c r="N56" s="4" t="str">
        <f t="shared" ref="N56:O56" si="28">RIGHT(M56,9)</f>
        <v/>
      </c>
      <c r="O56" s="4" t="str">
        <f t="shared" si="28"/>
        <v/>
      </c>
    </row>
    <row r="57" spans="13:15" x14ac:dyDescent="0.25">
      <c r="M57" s="4"/>
      <c r="N57" s="4" t="str">
        <f t="shared" ref="N57:O57" si="29">RIGHT(M57,9)</f>
        <v/>
      </c>
      <c r="O57" s="4" t="str">
        <f t="shared" si="29"/>
        <v/>
      </c>
    </row>
    <row r="58" spans="13:15" x14ac:dyDescent="0.25">
      <c r="M58" s="4"/>
      <c r="N58" s="4" t="str">
        <f t="shared" ref="N58:O58" si="30">RIGHT(M58,9)</f>
        <v/>
      </c>
      <c r="O58" s="4" t="str">
        <f t="shared" si="30"/>
        <v/>
      </c>
    </row>
    <row r="59" spans="13:15" x14ac:dyDescent="0.25">
      <c r="M59" s="4"/>
      <c r="N59" s="4" t="str">
        <f t="shared" ref="N59:O59" si="31">RIGHT(M59,9)</f>
        <v/>
      </c>
      <c r="O59" s="4" t="str">
        <f t="shared" si="31"/>
        <v/>
      </c>
    </row>
    <row r="60" spans="13:15" x14ac:dyDescent="0.25">
      <c r="M60" s="4"/>
      <c r="N60" s="4" t="str">
        <f t="shared" ref="N60:O60" si="32">RIGHT(M60,9)</f>
        <v/>
      </c>
      <c r="O60" s="4" t="str">
        <f t="shared" si="32"/>
        <v/>
      </c>
    </row>
    <row r="61" spans="13:15" x14ac:dyDescent="0.25">
      <c r="M61" s="4"/>
      <c r="N61" s="4" t="str">
        <f t="shared" ref="N61:O61" si="33">RIGHT(M61,9)</f>
        <v/>
      </c>
      <c r="O61" s="4" t="str">
        <f t="shared" si="33"/>
        <v/>
      </c>
    </row>
    <row r="62" spans="13:15" x14ac:dyDescent="0.25">
      <c r="M62" s="4"/>
      <c r="N62" s="4" t="str">
        <f t="shared" ref="N62:O62" si="34">RIGHT(M62,9)</f>
        <v/>
      </c>
      <c r="O62" s="4" t="str">
        <f t="shared" si="34"/>
        <v/>
      </c>
    </row>
    <row r="63" spans="13:15" x14ac:dyDescent="0.25">
      <c r="M63" s="4"/>
      <c r="N63" s="4" t="str">
        <f t="shared" ref="N63:O63" si="35">RIGHT(M63,9)</f>
        <v/>
      </c>
      <c r="O63" s="4" t="str">
        <f t="shared" si="35"/>
        <v/>
      </c>
    </row>
    <row r="64" spans="13:15" x14ac:dyDescent="0.25">
      <c r="M64" s="4"/>
      <c r="N64" s="4" t="str">
        <f t="shared" ref="N64:O64" si="36">RIGHT(M64,9)</f>
        <v/>
      </c>
      <c r="O64" s="4" t="str">
        <f t="shared" si="36"/>
        <v/>
      </c>
    </row>
    <row r="65" spans="13:15" x14ac:dyDescent="0.25">
      <c r="M65" s="4"/>
      <c r="N65" s="4" t="str">
        <f t="shared" ref="N65:O65" si="37">RIGHT(M65,9)</f>
        <v/>
      </c>
      <c r="O65" s="4" t="str">
        <f t="shared" si="37"/>
        <v/>
      </c>
    </row>
    <row r="66" spans="13:15" x14ac:dyDescent="0.25">
      <c r="M66" s="4"/>
      <c r="N66" s="4" t="str">
        <f t="shared" ref="N66:O66" si="38">RIGHT(M66,9)</f>
        <v/>
      </c>
      <c r="O66" s="4" t="str">
        <f t="shared" si="38"/>
        <v/>
      </c>
    </row>
    <row r="67" spans="13:15" x14ac:dyDescent="0.25">
      <c r="M67" s="4"/>
      <c r="N67" s="4" t="str">
        <f t="shared" ref="N67:O67" si="39">RIGHT(M67,9)</f>
        <v/>
      </c>
      <c r="O67" s="4" t="str">
        <f t="shared" si="39"/>
        <v/>
      </c>
    </row>
    <row r="68" spans="13:15" x14ac:dyDescent="0.25">
      <c r="M68" s="4"/>
      <c r="N68" s="4" t="str">
        <f t="shared" ref="N68:O68" si="40">RIGHT(M68,9)</f>
        <v/>
      </c>
      <c r="O68" s="4" t="str">
        <f t="shared" si="40"/>
        <v/>
      </c>
    </row>
    <row r="69" spans="13:15" x14ac:dyDescent="0.25">
      <c r="M69" s="4"/>
      <c r="N69" s="4" t="str">
        <f t="shared" ref="N69:O69" si="41">RIGHT(M69,9)</f>
        <v/>
      </c>
      <c r="O69" s="4" t="str">
        <f t="shared" si="41"/>
        <v/>
      </c>
    </row>
    <row r="70" spans="13:15" x14ac:dyDescent="0.25">
      <c r="M70" s="4"/>
      <c r="N70" s="4" t="str">
        <f t="shared" ref="N70:O70" si="42">RIGHT(M70,9)</f>
        <v/>
      </c>
      <c r="O70" s="4" t="str">
        <f t="shared" si="42"/>
        <v/>
      </c>
    </row>
    <row r="71" spans="13:15" x14ac:dyDescent="0.25">
      <c r="M71" s="4"/>
      <c r="N71" s="4" t="str">
        <f t="shared" ref="N71:O71" si="43">RIGHT(M71,9)</f>
        <v/>
      </c>
      <c r="O71" s="4" t="str">
        <f t="shared" si="43"/>
        <v/>
      </c>
    </row>
    <row r="72" spans="13:15" x14ac:dyDescent="0.25">
      <c r="M72" s="4"/>
      <c r="N72" s="4" t="str">
        <f t="shared" ref="N72:O72" si="44">RIGHT(M72,9)</f>
        <v/>
      </c>
      <c r="O72" s="4" t="str">
        <f t="shared" si="44"/>
        <v/>
      </c>
    </row>
    <row r="73" spans="13:15" x14ac:dyDescent="0.25">
      <c r="M73" s="4"/>
      <c r="N73" s="4" t="str">
        <f t="shared" ref="N73:O73" si="45">RIGHT(M73,9)</f>
        <v/>
      </c>
      <c r="O73" s="4" t="str">
        <f t="shared" si="45"/>
        <v/>
      </c>
    </row>
    <row r="74" spans="13:15" x14ac:dyDescent="0.25">
      <c r="M74" s="4"/>
      <c r="N74" s="4" t="str">
        <f t="shared" ref="N74:O74" si="46">RIGHT(M74,9)</f>
        <v/>
      </c>
      <c r="O74" s="4" t="str">
        <f t="shared" si="46"/>
        <v/>
      </c>
    </row>
    <row r="75" spans="13:15" x14ac:dyDescent="0.25">
      <c r="M75" s="4"/>
      <c r="N75" s="4" t="str">
        <f t="shared" ref="N75:O75" si="47">RIGHT(M75,9)</f>
        <v/>
      </c>
      <c r="O75" s="4" t="str">
        <f t="shared" si="47"/>
        <v/>
      </c>
    </row>
    <row r="76" spans="13:15" x14ac:dyDescent="0.25">
      <c r="M76" s="4"/>
      <c r="N76" s="4" t="str">
        <f t="shared" ref="N76:O76" si="48">RIGHT(M76,9)</f>
        <v/>
      </c>
      <c r="O76" s="4" t="str">
        <f t="shared" si="48"/>
        <v/>
      </c>
    </row>
    <row r="77" spans="13:15" x14ac:dyDescent="0.25">
      <c r="M77" s="4"/>
      <c r="N77" s="4" t="str">
        <f t="shared" ref="N77:O77" si="49">RIGHT(M77,9)</f>
        <v/>
      </c>
      <c r="O77" s="4" t="str">
        <f t="shared" si="49"/>
        <v/>
      </c>
    </row>
    <row r="78" spans="13:15" x14ac:dyDescent="0.25">
      <c r="M78" s="4"/>
      <c r="N78" s="4" t="str">
        <f t="shared" ref="N78:O78" si="50">RIGHT(M78,9)</f>
        <v/>
      </c>
      <c r="O78" s="4" t="str">
        <f t="shared" si="50"/>
        <v/>
      </c>
    </row>
    <row r="79" spans="13:15" x14ac:dyDescent="0.25">
      <c r="M79" s="4"/>
      <c r="N79" s="4" t="str">
        <f t="shared" ref="N79:O79" si="51">RIGHT(M79,9)</f>
        <v/>
      </c>
      <c r="O79" s="4" t="str">
        <f t="shared" si="51"/>
        <v/>
      </c>
    </row>
    <row r="80" spans="13:15" x14ac:dyDescent="0.25">
      <c r="M80" s="4"/>
      <c r="N80" s="4" t="str">
        <f t="shared" ref="N80:O80" si="52">RIGHT(M80,9)</f>
        <v/>
      </c>
      <c r="O80" s="4" t="str">
        <f t="shared" si="52"/>
        <v/>
      </c>
    </row>
    <row r="81" spans="13:15" x14ac:dyDescent="0.25">
      <c r="M81" s="4"/>
      <c r="N81" s="4" t="str">
        <f t="shared" ref="N81:O81" si="53">RIGHT(M81,9)</f>
        <v/>
      </c>
      <c r="O81" s="4" t="str">
        <f t="shared" si="53"/>
        <v/>
      </c>
    </row>
    <row r="82" spans="13:15" x14ac:dyDescent="0.25">
      <c r="M82" s="4"/>
      <c r="N82" s="4" t="str">
        <f t="shared" ref="N82:O82" si="54">RIGHT(M82,9)</f>
        <v/>
      </c>
      <c r="O82" s="4" t="str">
        <f t="shared" si="54"/>
        <v/>
      </c>
    </row>
    <row r="83" spans="13:15" x14ac:dyDescent="0.25">
      <c r="M83" s="4"/>
      <c r="N83" s="4" t="str">
        <f t="shared" ref="N83:O83" si="55">RIGHT(M83,9)</f>
        <v/>
      </c>
      <c r="O83" s="4" t="str">
        <f t="shared" si="55"/>
        <v/>
      </c>
    </row>
    <row r="84" spans="13:15" x14ac:dyDescent="0.25">
      <c r="M84" s="4"/>
      <c r="N84" s="4" t="str">
        <f t="shared" ref="N84:O84" si="56">RIGHT(M84,9)</f>
        <v/>
      </c>
      <c r="O84" s="4" t="str">
        <f t="shared" si="56"/>
        <v/>
      </c>
    </row>
    <row r="85" spans="13:15" x14ac:dyDescent="0.25">
      <c r="M85" s="4"/>
      <c r="N85" s="4" t="str">
        <f t="shared" ref="N85:O85" si="57">RIGHT(M85,9)</f>
        <v/>
      </c>
      <c r="O85" s="4" t="str">
        <f t="shared" si="57"/>
        <v/>
      </c>
    </row>
    <row r="86" spans="13:15" x14ac:dyDescent="0.25">
      <c r="M86" s="4"/>
      <c r="N86" s="4" t="str">
        <f t="shared" ref="N86:O86" si="58">RIGHT(M86,9)</f>
        <v/>
      </c>
      <c r="O86" s="4" t="str">
        <f t="shared" si="58"/>
        <v/>
      </c>
    </row>
    <row r="87" spans="13:15" x14ac:dyDescent="0.25">
      <c r="M87" s="4"/>
      <c r="N87" s="4" t="str">
        <f t="shared" ref="N87:O87" si="59">RIGHT(M87,9)</f>
        <v/>
      </c>
      <c r="O87" s="4" t="str">
        <f t="shared" si="59"/>
        <v/>
      </c>
    </row>
    <row r="88" spans="13:15" x14ac:dyDescent="0.25">
      <c r="M88" s="4"/>
      <c r="N88" s="4" t="str">
        <f t="shared" ref="N88:O88" si="60">RIGHT(M88,9)</f>
        <v/>
      </c>
      <c r="O88" s="4" t="str">
        <f t="shared" si="60"/>
        <v/>
      </c>
    </row>
    <row r="89" spans="13:15" x14ac:dyDescent="0.25">
      <c r="M89" s="4"/>
      <c r="N89" s="4" t="str">
        <f t="shared" ref="N89:O89" si="61">RIGHT(M89,9)</f>
        <v/>
      </c>
      <c r="O89" s="4" t="str">
        <f t="shared" si="61"/>
        <v/>
      </c>
    </row>
    <row r="90" spans="13:15" x14ac:dyDescent="0.25">
      <c r="M90" s="4"/>
      <c r="N90" s="4" t="str">
        <f t="shared" ref="N90:O90" si="62">RIGHT(M90,9)</f>
        <v/>
      </c>
      <c r="O90" s="4" t="str">
        <f t="shared" si="62"/>
        <v/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7C0F-02C2-4115-8E47-FD45C680D213}">
  <sheetPr codeName="Sheet2"/>
  <dimension ref="A1:O13"/>
  <sheetViews>
    <sheetView workbookViewId="0">
      <selection activeCell="O1" sqref="O1"/>
    </sheetView>
  </sheetViews>
  <sheetFormatPr defaultRowHeight="15" x14ac:dyDescent="0.25"/>
  <sheetData>
    <row r="1" spans="1:15" x14ac:dyDescent="0.25">
      <c r="A1" t="s">
        <v>8</v>
      </c>
      <c r="B1" t="s">
        <v>21</v>
      </c>
      <c r="C1" t="s">
        <v>22</v>
      </c>
      <c r="F1" t="s">
        <v>27</v>
      </c>
      <c r="O1" t="s">
        <v>36</v>
      </c>
    </row>
    <row r="2" spans="1:15" x14ac:dyDescent="0.25">
      <c r="A2" t="s">
        <v>9</v>
      </c>
      <c r="F2" t="s">
        <v>28</v>
      </c>
    </row>
    <row r="3" spans="1:15" x14ac:dyDescent="0.25">
      <c r="A3" t="s">
        <v>10</v>
      </c>
      <c r="F3" t="s">
        <v>23</v>
      </c>
    </row>
    <row r="4" spans="1:15" x14ac:dyDescent="0.25">
      <c r="A4" t="s">
        <v>11</v>
      </c>
      <c r="F4" t="s">
        <v>24</v>
      </c>
    </row>
    <row r="5" spans="1:15" x14ac:dyDescent="0.25">
      <c r="A5" t="s">
        <v>12</v>
      </c>
      <c r="F5" t="s">
        <v>25</v>
      </c>
    </row>
    <row r="6" spans="1:15" x14ac:dyDescent="0.25">
      <c r="A6" t="s">
        <v>13</v>
      </c>
      <c r="F6" t="s">
        <v>26</v>
      </c>
    </row>
    <row r="7" spans="1:15" x14ac:dyDescent="0.25">
      <c r="A7" t="s">
        <v>14</v>
      </c>
    </row>
    <row r="8" spans="1:15" x14ac:dyDescent="0.25">
      <c r="A8" t="s">
        <v>15</v>
      </c>
    </row>
    <row r="9" spans="1:15" x14ac:dyDescent="0.25">
      <c r="A9" t="s">
        <v>16</v>
      </c>
    </row>
    <row r="10" spans="1:15" x14ac:dyDescent="0.25">
      <c r="A10" t="s">
        <v>17</v>
      </c>
    </row>
    <row r="11" spans="1:15" x14ac:dyDescent="0.25">
      <c r="A11" t="s">
        <v>18</v>
      </c>
    </row>
    <row r="12" spans="1:15" x14ac:dyDescent="0.25">
      <c r="A12" t="s">
        <v>19</v>
      </c>
    </row>
    <row r="13" spans="1:15" x14ac:dyDescent="0.25">
      <c r="A1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 Information</vt:lpstr>
      <vt:lpstr>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2024-01-23T09:39:21Z</dcterms:created>
  <dcterms:modified xsi:type="dcterms:W3CDTF">2024-01-29T03:06:31Z</dcterms:modified>
</cp:coreProperties>
</file>