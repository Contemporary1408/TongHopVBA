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10.118.29.7\BTMV-Data\4-ACCOUNTING\4.Budget\Automate\Final\"/>
    </mc:Choice>
  </mc:AlternateContent>
  <xr:revisionPtr revIDLastSave="0" documentId="13_ncr:1_{C9AA53E9-6D41-409C-AC89-6AD3560A766D}" xr6:coauthVersionLast="47" xr6:coauthVersionMax="47" xr10:uidLastSave="{00000000-0000-0000-0000-000000000000}"/>
  <bookViews>
    <workbookView xWindow="-120" yWindow="-120" windowWidth="20730" windowHeight="11040" xr2:uid="{6854E2AB-F2BE-42DD-B607-0FC0AAA81AAE}"/>
  </bookViews>
  <sheets>
    <sheet name="Email Information" sheetId="1" r:id="rId1"/>
    <sheet name="Va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0" i="1" l="1" a="1"/>
  <c r="O90" i="1" s="1"/>
  <c r="O89" i="1" a="1"/>
  <c r="O89" i="1" s="1"/>
  <c r="O88" i="1" a="1"/>
  <c r="O88" i="1" s="1"/>
  <c r="O87" i="1" a="1"/>
  <c r="O87" i="1" s="1"/>
  <c r="O86" i="1" a="1"/>
  <c r="O86" i="1" s="1"/>
  <c r="O85" i="1" a="1"/>
  <c r="O85" i="1" s="1"/>
  <c r="O84" i="1" a="1"/>
  <c r="O84" i="1" s="1"/>
  <c r="O83" i="1" a="1"/>
  <c r="O83" i="1" s="1"/>
  <c r="O82" i="1" a="1"/>
  <c r="O82" i="1" s="1"/>
  <c r="O81" i="1" a="1"/>
  <c r="O81" i="1" s="1"/>
  <c r="O80" i="1" a="1"/>
  <c r="O80" i="1" s="1"/>
  <c r="O79" i="1" a="1"/>
  <c r="O79" i="1" s="1"/>
  <c r="O78" i="1" a="1"/>
  <c r="O78" i="1" s="1"/>
  <c r="O77" i="1" a="1"/>
  <c r="O77" i="1" s="1"/>
  <c r="O76" i="1" a="1"/>
  <c r="O76" i="1" s="1"/>
  <c r="O75" i="1" a="1"/>
  <c r="O75" i="1" s="1"/>
  <c r="O74" i="1" a="1"/>
  <c r="O74" i="1" s="1"/>
  <c r="O73" i="1" a="1"/>
  <c r="O73" i="1" s="1"/>
  <c r="O72" i="1" a="1"/>
  <c r="O72" i="1" s="1"/>
  <c r="O71" i="1" a="1"/>
  <c r="O71" i="1" s="1"/>
  <c r="O70" i="1" a="1"/>
  <c r="O70" i="1" s="1"/>
  <c r="O69" i="1" a="1"/>
  <c r="O69" i="1" s="1"/>
  <c r="O68" i="1" a="1"/>
  <c r="O68" i="1" s="1"/>
  <c r="O67" i="1" a="1"/>
  <c r="O67" i="1" s="1"/>
  <c r="O66" i="1" a="1"/>
  <c r="O66" i="1" s="1"/>
  <c r="O65" i="1" a="1"/>
  <c r="O65" i="1" s="1"/>
  <c r="O64" i="1" a="1"/>
  <c r="O64" i="1" s="1"/>
  <c r="O63" i="1" a="1"/>
  <c r="O63" i="1" s="1"/>
  <c r="O62" i="1" a="1"/>
  <c r="O62" i="1" s="1"/>
  <c r="O61" i="1" a="1"/>
  <c r="O61" i="1" s="1"/>
  <c r="O60" i="1" a="1"/>
  <c r="O60" i="1" s="1"/>
  <c r="O59" i="1" a="1"/>
  <c r="O59" i="1" s="1"/>
  <c r="O58" i="1" a="1"/>
  <c r="O58" i="1" s="1"/>
  <c r="O57" i="1" a="1"/>
  <c r="O57" i="1" s="1"/>
  <c r="O56" i="1" a="1"/>
  <c r="O56" i="1" s="1"/>
  <c r="O55" i="1" a="1"/>
  <c r="O55" i="1" s="1"/>
  <c r="O54" i="1" a="1"/>
  <c r="O54" i="1" s="1"/>
  <c r="O53" i="1" a="1"/>
  <c r="O53" i="1" s="1"/>
  <c r="O52" i="1" a="1"/>
  <c r="O52" i="1" s="1"/>
  <c r="O51" i="1" a="1"/>
  <c r="O51" i="1" s="1"/>
  <c r="O50" i="1" a="1"/>
  <c r="O50" i="1" s="1"/>
  <c r="O49" i="1" a="1"/>
  <c r="O49" i="1" s="1"/>
  <c r="O48" i="1" a="1"/>
  <c r="O48" i="1" s="1"/>
  <c r="O47" i="1" a="1"/>
  <c r="O47" i="1" s="1"/>
  <c r="O46" i="1" a="1"/>
  <c r="O46" i="1" s="1"/>
  <c r="O45" i="1" a="1"/>
  <c r="O45" i="1" s="1"/>
  <c r="O44" i="1" a="1"/>
  <c r="O44" i="1" s="1"/>
  <c r="O43" i="1" a="1"/>
  <c r="O43" i="1" s="1"/>
  <c r="O42" i="1" a="1"/>
  <c r="O42" i="1" s="1"/>
  <c r="O41" i="1" a="1"/>
  <c r="O41" i="1" s="1"/>
  <c r="O40" i="1" a="1"/>
  <c r="O40" i="1" s="1"/>
  <c r="O39" i="1" a="1"/>
  <c r="O39" i="1" s="1"/>
  <c r="O38" i="1" a="1"/>
  <c r="O38" i="1" s="1"/>
  <c r="O37" i="1" a="1"/>
  <c r="O37" i="1" s="1"/>
  <c r="O36" i="1" a="1"/>
  <c r="O36" i="1" s="1"/>
  <c r="O35" i="1" a="1"/>
  <c r="O35" i="1" s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29" i="1" a="1"/>
  <c r="O29" i="1" s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 s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J20" i="1" l="1"/>
  <c r="I20" i="1"/>
  <c r="H20" i="1"/>
  <c r="F20" i="1"/>
  <c r="J19" i="1"/>
  <c r="I19" i="1"/>
  <c r="H19" i="1"/>
  <c r="F19" i="1"/>
  <c r="J18" i="1"/>
  <c r="I18" i="1"/>
  <c r="H18" i="1"/>
  <c r="F18" i="1"/>
  <c r="J17" i="1"/>
  <c r="I17" i="1"/>
  <c r="H17" i="1"/>
  <c r="F17" i="1"/>
  <c r="J16" i="1"/>
  <c r="I16" i="1"/>
  <c r="H16" i="1"/>
  <c r="F16" i="1"/>
  <c r="J15" i="1"/>
  <c r="I15" i="1"/>
  <c r="H15" i="1"/>
  <c r="F15" i="1"/>
  <c r="J14" i="1"/>
  <c r="I14" i="1"/>
  <c r="H14" i="1"/>
  <c r="F14" i="1"/>
  <c r="J13" i="1"/>
  <c r="I13" i="1"/>
  <c r="H13" i="1"/>
  <c r="F13" i="1"/>
  <c r="J12" i="1"/>
  <c r="I12" i="1"/>
  <c r="H12" i="1"/>
  <c r="F12" i="1"/>
  <c r="J11" i="1"/>
  <c r="I11" i="1"/>
  <c r="H11" i="1"/>
  <c r="F11" i="1"/>
  <c r="J10" i="1"/>
  <c r="I10" i="1"/>
  <c r="H10" i="1"/>
  <c r="F10" i="1"/>
  <c r="J9" i="1"/>
  <c r="I9" i="1"/>
  <c r="H9" i="1"/>
  <c r="F9" i="1"/>
  <c r="J8" i="1"/>
  <c r="I8" i="1"/>
  <c r="H8" i="1"/>
  <c r="F8" i="1"/>
  <c r="J7" i="1"/>
  <c r="I7" i="1"/>
  <c r="H7" i="1"/>
  <c r="F7" i="1"/>
  <c r="J6" i="1"/>
  <c r="I6" i="1"/>
  <c r="H6" i="1"/>
  <c r="F6" i="1"/>
  <c r="J5" i="1"/>
  <c r="I5" i="1"/>
  <c r="H5" i="1"/>
  <c r="F5" i="1"/>
  <c r="F4" i="1"/>
  <c r="J4" i="1" l="1"/>
  <c r="I4" i="1"/>
  <c r="H4" i="1"/>
  <c r="F2" i="1"/>
  <c r="E20" i="1" l="1"/>
  <c r="E8" i="1"/>
  <c r="E19" i="1"/>
  <c r="E7" i="1"/>
  <c r="E15" i="1"/>
  <c r="E13" i="1"/>
  <c r="E11" i="1"/>
  <c r="E18" i="1"/>
  <c r="E6" i="1"/>
  <c r="E4" i="1"/>
  <c r="E14" i="1"/>
  <c r="E17" i="1"/>
  <c r="E5" i="1"/>
  <c r="E16" i="1"/>
  <c r="E10" i="1"/>
  <c r="E9" i="1"/>
  <c r="E12" i="1"/>
  <c r="G20" i="1"/>
  <c r="G8" i="1"/>
  <c r="G19" i="1"/>
  <c r="G7" i="1"/>
  <c r="G5" i="1"/>
  <c r="G15" i="1"/>
  <c r="G14" i="1"/>
  <c r="G17" i="1"/>
  <c r="G13" i="1"/>
  <c r="G12" i="1"/>
  <c r="G18" i="1"/>
  <c r="G4" i="1"/>
  <c r="G11" i="1"/>
  <c r="G10" i="1"/>
  <c r="G9" i="1"/>
  <c r="G6" i="1"/>
  <c r="G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 Duc Anh</author>
  </authors>
  <commentList>
    <comment ref="G2" authorId="0" shapeId="0" xr:uid="{2548EE49-2BD3-421D-AAB0-2E1266E4EF90}">
      <text>
        <r>
          <rPr>
            <b/>
            <sz val="9"/>
            <color indexed="81"/>
            <rFont val="Tahoma"/>
            <family val="2"/>
          </rPr>
          <t>Do Duc Anh:</t>
        </r>
        <r>
          <rPr>
            <sz val="9"/>
            <color indexed="81"/>
            <rFont val="Tahoma"/>
            <family val="2"/>
          </rPr>
          <t xml:space="preserve">
Số lượng bộ phận cần gửi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<sst xmlns="http://schemas.openxmlformats.org/spreadsheetml/2006/main" count="119" uniqueCount="93">
  <si>
    <t>Name</t>
  </si>
  <si>
    <t>EmailTo</t>
  </si>
  <si>
    <t>EmailCC</t>
  </si>
  <si>
    <t>Subject</t>
  </si>
  <si>
    <t>Body line 1</t>
  </si>
  <si>
    <t>Body line 2</t>
  </si>
  <si>
    <t>Body line 3</t>
  </si>
  <si>
    <t>Body line 4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</si>
  <si>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</si>
  <si>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</si>
  <si>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</si>
  <si>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</si>
  <si>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</si>
  <si>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</si>
  <si>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</si>
  <si>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</si>
  <si>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</si>
  <si>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</si>
  <si>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</si>
  <si>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</si>
  <si>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</si>
  <si>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Prefix Exp</t>
  </si>
  <si>
    <t>Prefix Cap</t>
  </si>
  <si>
    <t>Capex_Dec-23 Actual vs OB Report -1211</t>
  </si>
  <si>
    <t>Capex_Dec-23 Actual vs RBA&amp;C Report -1211</t>
  </si>
  <si>
    <t>Expense_Dec-23 Actual vs OB Report -1211</t>
  </si>
  <si>
    <t>Expense_Dec-23 Actual vs RBAC Report -1211</t>
  </si>
  <si>
    <t>NewFileName = "Expense_" &amp; MonthName &amp; " Actual vs OB Report -" &amp; DeptCode</t>
  </si>
  <si>
    <t>NewFileName = "Expense_" &amp; MonthName &amp; " Actual vs RBAC Report -" &amp; DeptCode</t>
  </si>
  <si>
    <t>Dept</t>
  </si>
  <si>
    <t>Mr.Sơn</t>
  </si>
  <si>
    <t>Mr.Toàn</t>
  </si>
  <si>
    <t>Year</t>
  </si>
  <si>
    <t>Body line 5</t>
  </si>
  <si>
    <t>Body line 6</t>
  </si>
  <si>
    <t>Report</t>
  </si>
  <si>
    <t>Automate send email.xlsm</t>
  </si>
  <si>
    <t>Capex_Dec-23 Actual vs OB Report -9111.xlsx</t>
  </si>
  <si>
    <t>Capex_Dec-23 Actual vs RBA&amp;C Report -9111.xlsx</t>
  </si>
  <si>
    <t>Expense_Dec-23 Actual vs OB Report -8514.xlsx</t>
  </si>
  <si>
    <t>Expense_Dec-23 Actual vs OB Report -9111.xlsx</t>
  </si>
  <si>
    <t>Expense_Dec-23 Actual vs RBAC Report -8514.xlsx</t>
  </si>
  <si>
    <t>Expense_Dec-23 Actual vs RBAC Report -9111.xlsx</t>
  </si>
  <si>
    <t>.</t>
  </si>
  <si>
    <t>Trim1</t>
  </si>
  <si>
    <t>Dept1</t>
  </si>
  <si>
    <t>~$Automate send email.xlsm</t>
  </si>
  <si>
    <t>Mr.Dũng</t>
  </si>
  <si>
    <t>Mr.Khương</t>
  </si>
  <si>
    <t>Mr.Thắng</t>
  </si>
  <si>
    <t>Mr.Đăng</t>
  </si>
  <si>
    <t>Mr.Thi</t>
  </si>
  <si>
    <t>Mr.Hùng</t>
  </si>
  <si>
    <t>Ms.Hạnh</t>
  </si>
  <si>
    <t>Mr.Giang</t>
  </si>
  <si>
    <t>Ms.Thuận</t>
  </si>
  <si>
    <t>Mr.Hưng</t>
  </si>
  <si>
    <t>Ms.Trang</t>
  </si>
  <si>
    <t>Mr.Cương</t>
  </si>
  <si>
    <t>son.nguyen1@bridgestone.com</t>
  </si>
  <si>
    <t>buingoctoan@bridgestone.com</t>
  </si>
  <si>
    <t>hoangtuandung@bridgestone.com</t>
  </si>
  <si>
    <t>chuduckhuong@bridgestone.com</t>
  </si>
  <si>
    <t>doanchienthang@bridgestone.com</t>
  </si>
  <si>
    <t>nguyenhaidang@bridgestone.com</t>
  </si>
  <si>
    <t>thi.nguyen@bridgestone.com</t>
  </si>
  <si>
    <t>letienhung@bridgestone.com</t>
  </si>
  <si>
    <t>hanh.nguyen1@bridgestone.com</t>
  </si>
  <si>
    <t>daovandung@bridgestone.com</t>
  </si>
  <si>
    <t>nguyennamgiang@bridgestone.com</t>
  </si>
  <si>
    <t>nguyenthithanhthuan@bridgestone.com</t>
  </si>
  <si>
    <t>phungquanghung@bridgestone.com</t>
  </si>
  <si>
    <t>trang.nguyen2@bridgestone.com</t>
  </si>
  <si>
    <t>nguyenxuandung@bridgestone.com</t>
  </si>
  <si>
    <t>cuong.vu1@bridgestone.com</t>
  </si>
  <si>
    <t>akira.shimada@bridgestone.com;mai.pham1@bridgestone.com;thao.do@bridgestone.com;Huong.Nguyen1@bridgestone.com</t>
  </si>
  <si>
    <t>vuhonguyen@bridgestone.com;mai.pham1@bridgestone.com;thao.do@bridgestone.com;Huong.Nguyen1@bridgestone.com</t>
  </si>
  <si>
    <t>vuhonguyen@bridgestone.com;chuduckhuong@bridgestone.com;mai.pham1@bridgestone.com;thao.do@bridgestone.com;Huong.Nguyen1@bridgestone.com</t>
  </si>
  <si>
    <t>yuichiro.nagura@bridgestone.com;vuhonguyen@bridgestone.com;cuong.phamquang@bridgestone.com;mai.pham1@bridgestone.com;thao.do@bridgestone.com;Huong.Nguyen1@bridgestone.com</t>
  </si>
  <si>
    <t>noboru.watanabe@bridgestone.com;vuhonguyen@bridgestone.com;nguyenquocdung@bridgestone.com;phandinhlam@bridgestone.com;dovanmanh@bridgestone.com;nguyenquocdai@bridgestone.com;phamvanchi@bridgestone.com;vuducthe@bridgestone.com;nguyenchithong@bridgestone.com;mai.pham1@bridgestone.com;thao.do@bridgestone.com;Huong.Nguyen1@bridgestone.com</t>
  </si>
  <si>
    <t>vuhonguyen@bridgestone.com;nam.le@bridgestone.com;hoa.trinh@bridgestone.com;nga.nguyen1@bridgestone.com;mai.pham1@bridgestone.com;thao.do@bridgestone.com;Huong.Nguyen1@bridgestone.com</t>
  </si>
  <si>
    <t>hanh.nguyen1@bridgestone.com;nhan.pham@bridgestone.com;dongthininh@bridgestone.com;mai.pham1@bridgestone.com;thao.do@bridgestone.com;Huong.Nguyen1@bridgestone.com</t>
  </si>
  <si>
    <t>hiroyuki.agata@bridgestone.com;nguyenthidung@bridgestone.com;trang.doan@bridgestone.com;mai.pham1@bridgestone.com;thao.do@bridgestone.com;Huong.Nguyen1@bridgestone.com</t>
  </si>
  <si>
    <t>noboru.watanabe@bridgestone.com;ngoc.dao@bridgestone.com;mai.pham1@bridgestone.com;thao.do@bridgestone.com;Huong.Nguyen1@bridgestone.com</t>
  </si>
  <si>
    <t>van.doanmai@bridgestone.com;mai.pham1@bridgestone.com;thao.do@bridgestone.com;Huong.Nguyen1@bridgestone.com</t>
  </si>
  <si>
    <t>cuong.vu1@bridgestone.com;mai.pham1@bridgestone.com;thao.do@bridgestone.com;Huong.Nguyen1@bridgestone.com</t>
  </si>
  <si>
    <t>mai.pham1@bridgestone.com;thao.do@bridgestone.com;Huong.Nguyen1@bridgestone.com</t>
  </si>
  <si>
    <t>trang.hoang1@bridgestone.com;mai.pham1@bridgestone.com;thao.do@bridgestone.com;Huong.Nguyen1@bridgestone.com</t>
  </si>
  <si>
    <t>3212H</t>
  </si>
  <si>
    <t>Capex_Dec-23 Actual vs OB Report -8514.xlsx</t>
  </si>
  <si>
    <t>Capex_Dec-23 Actual vs RBA&amp;C Report -8514.xlsx</t>
  </si>
  <si>
    <t>File list</t>
  </si>
  <si>
    <t>9111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</si>
</sst>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49" fontId="0" fillId="0" borderId="1" xfId="0" applyNumberFormat="1" applyBorder="1"/>
    <xf numFmtId="0" fontId="1" fillId="6" borderId="1" xfId="0" applyFont="1" applyFill="1" applyBorder="1"/>
    <xf numFmtId="0" fontId="1" fillId="8" borderId="1" xfId="0" applyFont="1" applyFill="1" applyBorder="1"/>
    <xf numFmtId="0" fontId="0" fillId="9" borderId="1" xfId="0" applyFill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/>
    <xf numFmtId="49" fontId="0" fillId="4" borderId="1" xfId="0" applyNumberFormat="1" applyFill="1" applyBorder="1"/>
    <xf numFmtId="0" fontId="0" fillId="7" borderId="1" xfId="0" applyFill="1" applyBorder="1"/>
    <xf numFmtId="0" fontId="4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0</xdr:row>
      <xdr:rowOff>57150</xdr:rowOff>
    </xdr:from>
    <xdr:to>
      <xdr:col>8</xdr:col>
      <xdr:colOff>581025</xdr:colOff>
      <xdr:row>1</xdr:row>
      <xdr:rowOff>142875</xdr:rowOff>
    </xdr:to>
    <xdr:sp macro="[0]!Sheet1.ShowUserForm" textlink="">
      <xdr:nvSpPr>
        <xdr:cNvPr id="2" name="Rectangle 1">
          <a:extLst>
            <a:ext uri="{FF2B5EF4-FFF2-40B4-BE49-F238E27FC236}">
              <a16:creationId xmlns:a16="http://schemas.microsoft.com/office/drawing/2014/main" id="{9FB629B5-D77A-5A64-3924-6676B5AC10FF}"/>
            </a:ext>
          </a:extLst>
        </xdr:cNvPr>
        <xdr:cNvSpPr/>
      </xdr:nvSpPr>
      <xdr:spPr>
        <a:xfrm>
          <a:off x="7010400" y="57150"/>
          <a:ext cx="428625" cy="276225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0000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67537-3027-409A-A934-B0D1E7B1391F}">
  <sheetPr codeName="Sheet1"/>
  <dimension ref="A1:O90"/>
  <sheetViews>
    <sheetView tabSelected="1" topLeftCell="E1" workbookViewId="0">
      <selection activeCell="O5" sqref="O5"/>
    </sheetView>
  </sheetViews>
  <sheetFormatPr defaultRowHeight="15" x14ac:dyDescent="0.25"/>
  <cols>
    <col min="1" max="1" width="9.42578125" customWidth="1"/>
    <col min="2" max="2" width="11.42578125" customWidth="1"/>
    <col min="3" max="3" width="37" customWidth="1"/>
    <col min="4" max="4" width="59.42578125" customWidth="1"/>
    <col min="5" max="5" width="29.140625" customWidth="1"/>
    <col min="6" max="6" width="15.85546875" customWidth="1"/>
    <col min="7" max="7" width="13.5703125" customWidth="1"/>
    <col min="8" max="9" width="11.140625" customWidth="1"/>
    <col min="10" max="10" width="14" customWidth="1"/>
    <col min="11" max="11" width="21.140625" customWidth="1"/>
    <col min="13" max="13" width="45.140625" customWidth="1"/>
  </cols>
  <sheetData>
    <row r="1" spans="1:15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</row>
    <row r="2" spans="1:15" x14ac:dyDescent="0.25">
      <c r="A2" s="6" t="s">
        <v>8</v>
      </c>
      <c r="B2" s="6" t="s">
        <v>20</v>
      </c>
      <c r="C2" s="7" t="s">
        <v>32</v>
      </c>
      <c r="D2" s="7">
        <v>23</v>
      </c>
      <c r="E2" s="8">
        <v>22</v>
      </c>
      <c r="F2" s="9" t="str">
        <f>B2&amp;"-"&amp;D2</f>
        <v>Dec-23</v>
      </c>
      <c r="G2" s="10">
        <v>11</v>
      </c>
    </row>
    <row r="3" spans="1:15" x14ac:dyDescent="0.25">
      <c r="A3" s="4" t="s">
        <v>29</v>
      </c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5</v>
      </c>
      <c r="H3" s="4" t="s">
        <v>6</v>
      </c>
      <c r="I3" s="4" t="s">
        <v>7</v>
      </c>
      <c r="J3" s="4" t="s">
        <v>33</v>
      </c>
      <c r="K3" s="4" t="s">
        <v>34</v>
      </c>
      <c r="M3" s="3" t="s">
        <v>91</v>
      </c>
      <c r="N3" s="3" t="s">
        <v>44</v>
      </c>
      <c r="O3" s="3" t="s">
        <v>45</v>
      </c>
    </row>
    <row r="4" spans="1:15" ht="14.25" customHeight="1" x14ac:dyDescent="0.25">
      <c r="A4" s="2" t="s">
        <v>92</v>
      </c>
      <c r="B4" s="1" t="s">
        <v>30</v>
      </c>
      <c r="C4" s="1" t="s">
        <v>59</v>
      </c>
      <c r="D4" s="1" t="s">
        <v>75</v>
      </c>
      <c r="E4" s="5" t="str">
        <f>$F$2&amp;"_"&amp;$E$2&amp;"_"&amp;A4</f>
        <v>Dec-23_22_9111</v>
      </c>
      <c r="F4" s="5" t="str">
        <f>"Dear "&amp;$B4&amp;","</f>
        <v>Dear Mr.Sơn,</v>
      </c>
      <c r="G4" s="5" t="str">
        <f>"We would like to send Act vs. Bud report for "&amp;$F$2</f>
        <v>We would like to send Act vs. Bud report for Dec-23</v>
      </c>
      <c r="H4" s="5" t="str">
        <f>"Please help to review and stay control for your section budget"</f>
        <v>Please help to review and stay control for your section budget</v>
      </c>
      <c r="I4" s="5" t="str">
        <f>"Should you have any question, please feedback Mai san (mai.pham1@bridgestone.com). Thank you."</f>
        <v>Should you have any question, please feedback Mai san (mai.pham1@bridgestone.com). Thank you.</v>
      </c>
      <c r="J4" s="5" t="str">
        <f>"Best regards,"</f>
        <v>Best regards,</v>
      </c>
      <c r="K4" s="5" t="str">
        <f>$G$2&amp;" - BTMV Accounting - Dect 51624"</f>
        <v>11 - BTMV Accounting - Dect 51624</v>
      </c>
      <c r="L4" t="s">
        <v>43</v>
      </c>
      <c r="M4" s="1" t="s">
        <v>36</v>
      </c>
      <c r="N4" s="1"/>
      <c r="O4" s="11" t="str" cm="1">
        <f t="array" ref="O4">IF(ISNA(INDEX($A$4:$A$20, MATCH(1, COUNTIF(M4, "*"&amp;$A$4:$A$20&amp;"*"), 0))),"",INDEX($A$4:$A$20, MATCH(1, COUNTIF(M4, "*"&amp;$A$4:$A$20&amp;"*"), 0)))</f>
        <v/>
      </c>
    </row>
    <row r="5" spans="1:15" ht="14.25" customHeight="1" x14ac:dyDescent="0.25">
      <c r="A5" s="2">
        <v>8514</v>
      </c>
      <c r="B5" s="1" t="s">
        <v>31</v>
      </c>
      <c r="C5" s="1" t="s">
        <v>60</v>
      </c>
      <c r="D5" s="1" t="s">
        <v>76</v>
      </c>
      <c r="E5" s="5" t="str">
        <f t="shared" ref="E5:E20" si="0">$F$2&amp;"_"&amp;$E$2&amp;"_"&amp;A5</f>
        <v>Dec-23_22_8514</v>
      </c>
      <c r="F5" s="5" t="str">
        <f t="shared" ref="F5:F20" si="1">"Dear "&amp;$B5&amp;","</f>
        <v>Dear Mr.Toàn,</v>
      </c>
      <c r="G5" s="5" t="str">
        <f t="shared" ref="G5:G20" si="2">"We would like to send Act vs. Bud report for "&amp;$F$2</f>
        <v>We would like to send Act vs. Bud report for Dec-23</v>
      </c>
      <c r="H5" s="5" t="str">
        <f t="shared" ref="H5:H20" si="3">"Please help to review and stay control for your section budget"</f>
        <v>Please help to review and stay control for your section budget</v>
      </c>
      <c r="I5" s="5" t="str">
        <f t="shared" ref="I5:I20" si="4">"Should you have any question, please feedback Mai san (mai.pham1@bridgestone.com). Thank you."</f>
        <v>Should you have any question, please feedback Mai san (mai.pham1@bridgestone.com). Thank you.</v>
      </c>
      <c r="J5" s="5" t="str">
        <f t="shared" ref="J5:J20" si="5">"Best regards,"</f>
        <v>Best regards,</v>
      </c>
      <c r="K5" s="5" t="str">
        <f t="shared" ref="K5:K20" si="6">$G$2&amp;" - BTMV Accounting - Dect 51624"</f>
        <v>11 - BTMV Accounting - Dect 51624</v>
      </c>
      <c r="L5" t="s">
        <v>43</v>
      </c>
      <c r="M5" s="1" t="s">
        <v>89</v>
      </c>
      <c r="N5" s="1"/>
      <c r="O5" s="11" cm="1">
        <f t="array" ref="O5">IF(ISNA(INDEX($A$4:$A$20, MATCH(1, COUNTIF(M5, "*"&amp;$A$4:$A$20&amp;"*"), 0))),"",INDEX($A$4:$A$20, MATCH(1, COUNTIF(M5, "*"&amp;$A$4:$A$20&amp;"*"), 0)))</f>
        <v>8514</v>
      </c>
    </row>
    <row r="6" spans="1:15" ht="14.25" customHeight="1" x14ac:dyDescent="0.25">
      <c r="A6" s="2">
        <v>8512</v>
      </c>
      <c r="B6" s="1" t="s">
        <v>47</v>
      </c>
      <c r="C6" s="1" t="s">
        <v>61</v>
      </c>
      <c r="D6" s="1" t="s">
        <v>77</v>
      </c>
      <c r="E6" s="5" t="str">
        <f t="shared" si="0"/>
        <v>Dec-23_22_8512</v>
      </c>
      <c r="F6" s="5" t="str">
        <f t="shared" si="1"/>
        <v>Dear Mr.Dũng,</v>
      </c>
      <c r="G6" s="5" t="str">
        <f t="shared" si="2"/>
        <v>We would like to send Act vs. Bud report for Dec-23</v>
      </c>
      <c r="H6" s="5" t="str">
        <f t="shared" si="3"/>
        <v>Please help to review and stay control for your section budget</v>
      </c>
      <c r="I6" s="5" t="str">
        <f t="shared" si="4"/>
        <v>Should you have any question, please feedback Mai san (mai.pham1@bridgestone.com). Thank you.</v>
      </c>
      <c r="J6" s="5" t="str">
        <f t="shared" si="5"/>
        <v>Best regards,</v>
      </c>
      <c r="K6" s="5" t="str">
        <f t="shared" si="6"/>
        <v>11 - BTMV Accounting - Dect 51624</v>
      </c>
      <c r="L6" t="s">
        <v>43</v>
      </c>
      <c r="M6" s="1" t="s">
        <v>37</v>
      </c>
      <c r="N6" s="1"/>
      <c r="O6" s="11" t="str" cm="1">
        <f t="array" ref="O6">IF(ISNA(INDEX($A$4:$A$20, MATCH(1, COUNTIF(M6, "*"&amp;$A$4:$A$20&amp;"*"), 0))),"",INDEX($A$4:$A$20, MATCH(1, COUNTIF(M6, "*"&amp;$A$4:$A$20&amp;"*"), 0)))</f>
        <v>9111</v>
      </c>
    </row>
    <row r="7" spans="1:15" ht="14.25" customHeight="1" x14ac:dyDescent="0.25">
      <c r="A7" s="2">
        <v>8511</v>
      </c>
      <c r="B7" s="1" t="s">
        <v>48</v>
      </c>
      <c r="C7" s="1" t="s">
        <v>62</v>
      </c>
      <c r="D7" s="1" t="s">
        <v>76</v>
      </c>
      <c r="E7" s="5" t="str">
        <f t="shared" si="0"/>
        <v>Dec-23_22_8511</v>
      </c>
      <c r="F7" s="5" t="str">
        <f t="shared" si="1"/>
        <v>Dear Mr.Khương,</v>
      </c>
      <c r="G7" s="5" t="str">
        <f t="shared" si="2"/>
        <v>We would like to send Act vs. Bud report for Dec-23</v>
      </c>
      <c r="H7" s="5" t="str">
        <f t="shared" si="3"/>
        <v>Please help to review and stay control for your section budget</v>
      </c>
      <c r="I7" s="5" t="str">
        <f t="shared" si="4"/>
        <v>Should you have any question, please feedback Mai san (mai.pham1@bridgestone.com). Thank you.</v>
      </c>
      <c r="J7" s="5" t="str">
        <f t="shared" si="5"/>
        <v>Best regards,</v>
      </c>
      <c r="K7" s="5" t="str">
        <f t="shared" si="6"/>
        <v>11 - BTMV Accounting - Dect 51624</v>
      </c>
      <c r="L7" t="s">
        <v>43</v>
      </c>
      <c r="M7" s="1" t="s">
        <v>90</v>
      </c>
      <c r="N7" s="1"/>
      <c r="O7" s="11" cm="1">
        <f t="array" ref="O7">IF(ISNA(INDEX($A$4:$A$20, MATCH(1, COUNTIF(M7, "*"&amp;$A$4:$A$20&amp;"*"), 0))),"",INDEX($A$4:$A$20, MATCH(1, COUNTIF(M7, "*"&amp;$A$4:$A$20&amp;"*"), 0)))</f>
        <v>8514</v>
      </c>
    </row>
    <row r="8" spans="1:15" ht="14.25" customHeight="1" x14ac:dyDescent="0.25">
      <c r="A8" s="2">
        <v>8411</v>
      </c>
      <c r="B8" s="1" t="s">
        <v>49</v>
      </c>
      <c r="C8" s="1" t="s">
        <v>63</v>
      </c>
      <c r="D8" s="1" t="s">
        <v>78</v>
      </c>
      <c r="E8" s="5" t="str">
        <f t="shared" si="0"/>
        <v>Dec-23_22_8411</v>
      </c>
      <c r="F8" s="5" t="str">
        <f t="shared" si="1"/>
        <v>Dear Mr.Thắng,</v>
      </c>
      <c r="G8" s="5" t="str">
        <f t="shared" si="2"/>
        <v>We would like to send Act vs. Bud report for Dec-23</v>
      </c>
      <c r="H8" s="5" t="str">
        <f t="shared" si="3"/>
        <v>Please help to review and stay control for your section budget</v>
      </c>
      <c r="I8" s="5" t="str">
        <f t="shared" si="4"/>
        <v>Should you have any question, please feedback Mai san (mai.pham1@bridgestone.com). Thank you.</v>
      </c>
      <c r="J8" s="5" t="str">
        <f t="shared" si="5"/>
        <v>Best regards,</v>
      </c>
      <c r="K8" s="5" t="str">
        <f t="shared" si="6"/>
        <v>11 - BTMV Accounting - Dect 51624</v>
      </c>
      <c r="L8" t="s">
        <v>43</v>
      </c>
      <c r="M8" s="1" t="s">
        <v>38</v>
      </c>
      <c r="N8" s="1"/>
      <c r="O8" s="11" t="str" cm="1">
        <f t="array" ref="O8">IF(ISNA(INDEX($A$4:$A$20, MATCH(1, COUNTIF(M8, "*"&amp;$A$4:$A$20&amp;"*"), 0))),"",INDEX($A$4:$A$20, MATCH(1, COUNTIF(M8, "*"&amp;$A$4:$A$20&amp;"*"), 0)))</f>
        <v>9111</v>
      </c>
    </row>
    <row r="9" spans="1:15" ht="14.25" customHeight="1" x14ac:dyDescent="0.25">
      <c r="A9" s="2">
        <v>8311</v>
      </c>
      <c r="B9" s="1" t="s">
        <v>50</v>
      </c>
      <c r="C9" s="1" t="s">
        <v>64</v>
      </c>
      <c r="D9" s="1" t="s">
        <v>79</v>
      </c>
      <c r="E9" s="5" t="str">
        <f t="shared" si="0"/>
        <v>Dec-23_22_8311</v>
      </c>
      <c r="F9" s="5" t="str">
        <f t="shared" si="1"/>
        <v>Dear Mr.Đăng,</v>
      </c>
      <c r="G9" s="5" t="str">
        <f t="shared" si="2"/>
        <v>We would like to send Act vs. Bud report for Dec-23</v>
      </c>
      <c r="H9" s="5" t="str">
        <f t="shared" si="3"/>
        <v>Please help to review and stay control for your section budget</v>
      </c>
      <c r="I9" s="5" t="str">
        <f t="shared" si="4"/>
        <v>Should you have any question, please feedback Mai san (mai.pham1@bridgestone.com). Thank you.</v>
      </c>
      <c r="J9" s="5" t="str">
        <f t="shared" si="5"/>
        <v>Best regards,</v>
      </c>
      <c r="K9" s="5" t="str">
        <f t="shared" si="6"/>
        <v>11 - BTMV Accounting - Dect 51624</v>
      </c>
      <c r="L9" t="s">
        <v>43</v>
      </c>
      <c r="M9" s="1" t="s">
        <v>39</v>
      </c>
      <c r="N9" s="1"/>
      <c r="O9" s="11" cm="1">
        <f t="array" ref="O9">IF(ISNA(INDEX($A$4:$A$20, MATCH(1, COUNTIF(M9, "*"&amp;$A$4:$A$20&amp;"*"), 0))),"",INDEX($A$4:$A$20, MATCH(1, COUNTIF(M9, "*"&amp;$A$4:$A$20&amp;"*"), 0)))</f>
        <v>8514</v>
      </c>
    </row>
    <row r="10" spans="1:15" ht="14.25" customHeight="1" x14ac:dyDescent="0.25">
      <c r="A10" s="2">
        <v>8111</v>
      </c>
      <c r="B10" s="1" t="s">
        <v>51</v>
      </c>
      <c r="C10" s="1" t="s">
        <v>65</v>
      </c>
      <c r="D10" s="1" t="s">
        <v>80</v>
      </c>
      <c r="E10" s="5" t="str">
        <f t="shared" si="0"/>
        <v>Dec-23_22_8111</v>
      </c>
      <c r="F10" s="5" t="str">
        <f t="shared" si="1"/>
        <v>Dear Mr.Thi,</v>
      </c>
      <c r="G10" s="5" t="str">
        <f t="shared" si="2"/>
        <v>We would like to send Act vs. Bud report for Dec-23</v>
      </c>
      <c r="H10" s="5" t="str">
        <f t="shared" si="3"/>
        <v>Please help to review and stay control for your section budget</v>
      </c>
      <c r="I10" s="5" t="str">
        <f t="shared" si="4"/>
        <v>Should you have any question, please feedback Mai san (mai.pham1@bridgestone.com). Thank you.</v>
      </c>
      <c r="J10" s="5" t="str">
        <f t="shared" si="5"/>
        <v>Best regards,</v>
      </c>
      <c r="K10" s="5" t="str">
        <f t="shared" si="6"/>
        <v>11 - BTMV Accounting - Dect 51624</v>
      </c>
      <c r="L10" t="s">
        <v>43</v>
      </c>
      <c r="M10" s="1" t="s">
        <v>40</v>
      </c>
      <c r="N10" s="1"/>
      <c r="O10" s="11" t="str" cm="1">
        <f t="array" ref="O10">IF(ISNA(INDEX($A$4:$A$20, MATCH(1, COUNTIF(M10, "*"&amp;$A$4:$A$20&amp;"*"), 0))),"",INDEX($A$4:$A$20, MATCH(1, COUNTIF(M10, "*"&amp;$A$4:$A$20&amp;"*"), 0)))</f>
        <v>9111</v>
      </c>
    </row>
    <row r="11" spans="1:15" ht="14.25" customHeight="1" x14ac:dyDescent="0.25">
      <c r="A11" s="2">
        <v>3312</v>
      </c>
      <c r="B11" s="1" t="s">
        <v>52</v>
      </c>
      <c r="C11" s="1" t="s">
        <v>66</v>
      </c>
      <c r="D11" s="1" t="s">
        <v>81</v>
      </c>
      <c r="E11" s="5" t="str">
        <f t="shared" si="0"/>
        <v>Dec-23_22_3312</v>
      </c>
      <c r="F11" s="5" t="str">
        <f t="shared" si="1"/>
        <v>Dear Mr.Hùng,</v>
      </c>
      <c r="G11" s="5" t="str">
        <f t="shared" si="2"/>
        <v>We would like to send Act vs. Bud report for Dec-23</v>
      </c>
      <c r="H11" s="5" t="str">
        <f t="shared" si="3"/>
        <v>Please help to review and stay control for your section budget</v>
      </c>
      <c r="I11" s="5" t="str">
        <f t="shared" si="4"/>
        <v>Should you have any question, please feedback Mai san (mai.pham1@bridgestone.com). Thank you.</v>
      </c>
      <c r="J11" s="5" t="str">
        <f t="shared" si="5"/>
        <v>Best regards,</v>
      </c>
      <c r="K11" s="5" t="str">
        <f t="shared" si="6"/>
        <v>11 - BTMV Accounting - Dect 51624</v>
      </c>
      <c r="L11" t="s">
        <v>43</v>
      </c>
      <c r="M11" s="1" t="s">
        <v>41</v>
      </c>
      <c r="N11" s="1"/>
      <c r="O11" s="11" cm="1">
        <f t="array" ref="O11">IF(ISNA(INDEX($A$4:$A$20, MATCH(1, COUNTIF(M11, "*"&amp;$A$4:$A$20&amp;"*"), 0))),"",INDEX($A$4:$A$20, MATCH(1, COUNTIF(M11, "*"&amp;$A$4:$A$20&amp;"*"), 0)))</f>
        <v>8514</v>
      </c>
    </row>
    <row r="12" spans="1:15" ht="14.25" customHeight="1" x14ac:dyDescent="0.25">
      <c r="A12" s="2">
        <v>3311</v>
      </c>
      <c r="B12" s="1" t="s">
        <v>53</v>
      </c>
      <c r="C12" s="1" t="s">
        <v>67</v>
      </c>
      <c r="D12" s="1" t="s">
        <v>82</v>
      </c>
      <c r="E12" s="5" t="str">
        <f t="shared" si="0"/>
        <v>Dec-23_22_3311</v>
      </c>
      <c r="F12" s="5" t="str">
        <f t="shared" si="1"/>
        <v>Dear Ms.Hạnh,</v>
      </c>
      <c r="G12" s="5" t="str">
        <f t="shared" si="2"/>
        <v>We would like to send Act vs. Bud report for Dec-23</v>
      </c>
      <c r="H12" s="5" t="str">
        <f t="shared" si="3"/>
        <v>Please help to review and stay control for your section budget</v>
      </c>
      <c r="I12" s="5" t="str">
        <f t="shared" si="4"/>
        <v>Should you have any question, please feedback Mai san (mai.pham1@bridgestone.com). Thank you.</v>
      </c>
      <c r="J12" s="5" t="str">
        <f t="shared" si="5"/>
        <v>Best regards,</v>
      </c>
      <c r="K12" s="5" t="str">
        <f t="shared" si="6"/>
        <v>11 - BTMV Accounting - Dect 51624</v>
      </c>
      <c r="L12" t="s">
        <v>43</v>
      </c>
      <c r="M12" s="1" t="s">
        <v>42</v>
      </c>
      <c r="N12" s="1"/>
      <c r="O12" s="11" t="str" cm="1">
        <f t="array" ref="O12">IF(ISNA(INDEX($A$4:$A$20, MATCH(1, COUNTIF(M12, "*"&amp;$A$4:$A$20&amp;"*"), 0))),"",INDEX($A$4:$A$20, MATCH(1, COUNTIF(M12, "*"&amp;$A$4:$A$20&amp;"*"), 0)))</f>
        <v>9111</v>
      </c>
    </row>
    <row r="13" spans="1:15" ht="14.25" customHeight="1" x14ac:dyDescent="0.25">
      <c r="A13" s="2">
        <v>3221</v>
      </c>
      <c r="B13" s="1" t="s">
        <v>47</v>
      </c>
      <c r="C13" s="1" t="s">
        <v>68</v>
      </c>
      <c r="D13" s="1" t="s">
        <v>75</v>
      </c>
      <c r="E13" s="5" t="str">
        <f t="shared" si="0"/>
        <v>Dec-23_22_3221</v>
      </c>
      <c r="F13" s="5" t="str">
        <f t="shared" si="1"/>
        <v>Dear Mr.Dũng,</v>
      </c>
      <c r="G13" s="5" t="str">
        <f t="shared" si="2"/>
        <v>We would like to send Act vs. Bud report for Dec-23</v>
      </c>
      <c r="H13" s="5" t="str">
        <f t="shared" si="3"/>
        <v>Please help to review and stay control for your section budget</v>
      </c>
      <c r="I13" s="5" t="str">
        <f t="shared" si="4"/>
        <v>Should you have any question, please feedback Mai san (mai.pham1@bridgestone.com). Thank you.</v>
      </c>
      <c r="J13" s="5" t="str">
        <f t="shared" si="5"/>
        <v>Best regards,</v>
      </c>
      <c r="K13" s="5" t="str">
        <f t="shared" si="6"/>
        <v>11 - BTMV Accounting - Dect 51624</v>
      </c>
      <c r="L13" t="s">
        <v>43</v>
      </c>
      <c r="M13" s="1" t="s">
        <v>46</v>
      </c>
      <c r="N13" s="1"/>
      <c r="O13" s="11" t="str" cm="1">
        <f t="array" ref="O13">IF(ISNA(INDEX($A$4:$A$20, MATCH(1, COUNTIF(M13, "*"&amp;$A$4:$A$20&amp;"*"), 0))),"",INDEX($A$4:$A$20, MATCH(1, COUNTIF(M13, "*"&amp;$A$4:$A$20&amp;"*"), 0)))</f>
        <v/>
      </c>
    </row>
    <row r="14" spans="1:15" ht="14.25" customHeight="1" x14ac:dyDescent="0.25">
      <c r="A14" s="2" t="s">
        <v>88</v>
      </c>
      <c r="B14" s="1" t="s">
        <v>54</v>
      </c>
      <c r="C14" s="1" t="s">
        <v>69</v>
      </c>
      <c r="D14" s="1" t="s">
        <v>75</v>
      </c>
      <c r="E14" s="5" t="str">
        <f t="shared" si="0"/>
        <v>Dec-23_22_3212H</v>
      </c>
      <c r="F14" s="5" t="str">
        <f t="shared" si="1"/>
        <v>Dear Mr.Giang,</v>
      </c>
      <c r="G14" s="5" t="str">
        <f t="shared" si="2"/>
        <v>We would like to send Act vs. Bud report for Dec-23</v>
      </c>
      <c r="H14" s="5" t="str">
        <f t="shared" si="3"/>
        <v>Please help to review and stay control for your section budget</v>
      </c>
      <c r="I14" s="5" t="str">
        <f t="shared" si="4"/>
        <v>Should you have any question, please feedback Mai san (mai.pham1@bridgestone.com). Thank you.</v>
      </c>
      <c r="J14" s="5" t="str">
        <f t="shared" si="5"/>
        <v>Best regards,</v>
      </c>
      <c r="K14" s="5" t="str">
        <f t="shared" si="6"/>
        <v>11 - BTMV Accounting - Dect 51624</v>
      </c>
      <c r="L14" t="s">
        <v>43</v>
      </c>
      <c r="M14" s="1"/>
      <c r="N14" s="1"/>
      <c r="O14" s="11" t="str" cm="1">
        <f t="array" ref="O14">IF(ISNA(INDEX($A$4:$A$20, MATCH(1, COUNTIF(M14, "*"&amp;$A$4:$A$20&amp;"*"), 0))),"",INDEX($A$4:$A$20, MATCH(1, COUNTIF(M14, "*"&amp;$A$4:$A$20&amp;"*"), 0)))</f>
        <v/>
      </c>
    </row>
    <row r="15" spans="1:15" ht="14.25" customHeight="1" x14ac:dyDescent="0.25">
      <c r="A15" s="2">
        <v>3211</v>
      </c>
      <c r="B15" s="1" t="s">
        <v>55</v>
      </c>
      <c r="C15" s="1" t="s">
        <v>70</v>
      </c>
      <c r="D15" s="1" t="s">
        <v>75</v>
      </c>
      <c r="E15" s="5" t="str">
        <f t="shared" si="0"/>
        <v>Dec-23_22_3211</v>
      </c>
      <c r="F15" s="5" t="str">
        <f t="shared" si="1"/>
        <v>Dear Ms.Thuận,</v>
      </c>
      <c r="G15" s="5" t="str">
        <f t="shared" si="2"/>
        <v>We would like to send Act vs. Bud report for Dec-23</v>
      </c>
      <c r="H15" s="5" t="str">
        <f t="shared" si="3"/>
        <v>Please help to review and stay control for your section budget</v>
      </c>
      <c r="I15" s="5" t="str">
        <f t="shared" si="4"/>
        <v>Should you have any question, please feedback Mai san (mai.pham1@bridgestone.com). Thank you.</v>
      </c>
      <c r="J15" s="5" t="str">
        <f t="shared" si="5"/>
        <v>Best regards,</v>
      </c>
      <c r="K15" s="5" t="str">
        <f t="shared" si="6"/>
        <v>11 - BTMV Accounting - Dect 51624</v>
      </c>
      <c r="L15" t="s">
        <v>43</v>
      </c>
      <c r="M15" s="1"/>
      <c r="N15" s="1"/>
      <c r="O15" s="11" t="str" cm="1">
        <f t="array" ref="O15">IF(ISNA(INDEX($A$4:$A$20, MATCH(1, COUNTIF(M15, "*"&amp;$A$4:$A$20&amp;"*"), 0))),"",INDEX($A$4:$A$20, MATCH(1, COUNTIF(M15, "*"&amp;$A$4:$A$20&amp;"*"), 0)))</f>
        <v/>
      </c>
    </row>
    <row r="16" spans="1:15" ht="14.25" customHeight="1" x14ac:dyDescent="0.25">
      <c r="A16" s="2">
        <v>1511</v>
      </c>
      <c r="B16" s="1" t="s">
        <v>56</v>
      </c>
      <c r="C16" s="1" t="s">
        <v>71</v>
      </c>
      <c r="D16" s="1" t="s">
        <v>83</v>
      </c>
      <c r="E16" s="5" t="str">
        <f t="shared" si="0"/>
        <v>Dec-23_22_1511</v>
      </c>
      <c r="F16" s="5" t="str">
        <f t="shared" si="1"/>
        <v>Dear Mr.Hưng,</v>
      </c>
      <c r="G16" s="5" t="str">
        <f t="shared" si="2"/>
        <v>We would like to send Act vs. Bud report for Dec-23</v>
      </c>
      <c r="H16" s="5" t="str">
        <f t="shared" si="3"/>
        <v>Please help to review and stay control for your section budget</v>
      </c>
      <c r="I16" s="5" t="str">
        <f t="shared" si="4"/>
        <v>Should you have any question, please feedback Mai san (mai.pham1@bridgestone.com). Thank you.</v>
      </c>
      <c r="J16" s="5" t="str">
        <f t="shared" si="5"/>
        <v>Best regards,</v>
      </c>
      <c r="K16" s="5" t="str">
        <f t="shared" si="6"/>
        <v>11 - BTMV Accounting - Dect 51624</v>
      </c>
      <c r="L16" t="s">
        <v>43</v>
      </c>
      <c r="M16" s="1"/>
      <c r="N16" s="1"/>
      <c r="O16" s="11" t="str" cm="1">
        <f t="array" ref="O16">IF(ISNA(INDEX($A$4:$A$20, MATCH(1, COUNTIF(M16, "*"&amp;$A$4:$A$20&amp;"*"), 0))),"",INDEX($A$4:$A$20, MATCH(1, COUNTIF(M16, "*"&amp;$A$4:$A$20&amp;"*"), 0)))</f>
        <v/>
      </c>
    </row>
    <row r="17" spans="1:15" ht="14.25" customHeight="1" x14ac:dyDescent="0.25">
      <c r="A17" s="2">
        <v>1311</v>
      </c>
      <c r="B17" s="1" t="s">
        <v>57</v>
      </c>
      <c r="C17" s="1" t="s">
        <v>72</v>
      </c>
      <c r="D17" s="1" t="s">
        <v>84</v>
      </c>
      <c r="E17" s="5" t="str">
        <f t="shared" si="0"/>
        <v>Dec-23_22_1311</v>
      </c>
      <c r="F17" s="5" t="str">
        <f t="shared" si="1"/>
        <v>Dear Ms.Trang,</v>
      </c>
      <c r="G17" s="5" t="str">
        <f t="shared" si="2"/>
        <v>We would like to send Act vs. Bud report for Dec-23</v>
      </c>
      <c r="H17" s="5" t="str">
        <f t="shared" si="3"/>
        <v>Please help to review and stay control for your section budget</v>
      </c>
      <c r="I17" s="5" t="str">
        <f t="shared" si="4"/>
        <v>Should you have any question, please feedback Mai san (mai.pham1@bridgestone.com). Thank you.</v>
      </c>
      <c r="J17" s="5" t="str">
        <f t="shared" si="5"/>
        <v>Best regards,</v>
      </c>
      <c r="K17" s="5" t="str">
        <f t="shared" si="6"/>
        <v>11 - BTMV Accounting - Dect 51624</v>
      </c>
      <c r="L17" t="s">
        <v>43</v>
      </c>
      <c r="M17" s="1"/>
      <c r="N17" s="1"/>
      <c r="O17" s="11" t="str" cm="1">
        <f t="array" ref="O17">IF(ISNA(INDEX($A$4:$A$20, MATCH(1, COUNTIF(M17, "*"&amp;$A$4:$A$20&amp;"*"), 0))),"",INDEX($A$4:$A$20, MATCH(1, COUNTIF(M17, "*"&amp;$A$4:$A$20&amp;"*"), 0)))</f>
        <v/>
      </c>
    </row>
    <row r="18" spans="1:15" ht="14.25" customHeight="1" x14ac:dyDescent="0.25">
      <c r="A18" s="2">
        <v>1213</v>
      </c>
      <c r="B18" s="1" t="s">
        <v>47</v>
      </c>
      <c r="C18" s="1" t="s">
        <v>73</v>
      </c>
      <c r="D18" s="1" t="s">
        <v>85</v>
      </c>
      <c r="E18" s="5" t="str">
        <f t="shared" si="0"/>
        <v>Dec-23_22_1213</v>
      </c>
      <c r="F18" s="5" t="str">
        <f t="shared" si="1"/>
        <v>Dear Mr.Dũng,</v>
      </c>
      <c r="G18" s="5" t="str">
        <f t="shared" si="2"/>
        <v>We would like to send Act vs. Bud report for Dec-23</v>
      </c>
      <c r="H18" s="5" t="str">
        <f t="shared" si="3"/>
        <v>Please help to review and stay control for your section budget</v>
      </c>
      <c r="I18" s="5" t="str">
        <f t="shared" si="4"/>
        <v>Should you have any question, please feedback Mai san (mai.pham1@bridgestone.com). Thank you.</v>
      </c>
      <c r="J18" s="5" t="str">
        <f t="shared" si="5"/>
        <v>Best regards,</v>
      </c>
      <c r="K18" s="5" t="str">
        <f t="shared" si="6"/>
        <v>11 - BTMV Accounting - Dect 51624</v>
      </c>
      <c r="L18" t="s">
        <v>43</v>
      </c>
      <c r="M18" s="1"/>
      <c r="N18" s="1"/>
      <c r="O18" s="11" t="str" cm="1">
        <f t="array" ref="O18">IF(ISNA(INDEX($A$4:$A$20, MATCH(1, COUNTIF(M18, "*"&amp;$A$4:$A$20&amp;"*"), 0))),"",INDEX($A$4:$A$20, MATCH(1, COUNTIF(M18, "*"&amp;$A$4:$A$20&amp;"*"), 0)))</f>
        <v/>
      </c>
    </row>
    <row r="19" spans="1:15" ht="14.25" customHeight="1" x14ac:dyDescent="0.25">
      <c r="A19" s="2">
        <v>1212</v>
      </c>
      <c r="B19" s="1" t="s">
        <v>58</v>
      </c>
      <c r="C19" s="1" t="s">
        <v>74</v>
      </c>
      <c r="D19" s="1" t="s">
        <v>86</v>
      </c>
      <c r="E19" s="5" t="str">
        <f t="shared" si="0"/>
        <v>Dec-23_22_1212</v>
      </c>
      <c r="F19" s="5" t="str">
        <f t="shared" si="1"/>
        <v>Dear Mr.Cương,</v>
      </c>
      <c r="G19" s="5" t="str">
        <f t="shared" si="2"/>
        <v>We would like to send Act vs. Bud report for Dec-23</v>
      </c>
      <c r="H19" s="5" t="str">
        <f t="shared" si="3"/>
        <v>Please help to review and stay control for your section budget</v>
      </c>
      <c r="I19" s="5" t="str">
        <f t="shared" si="4"/>
        <v>Should you have any question, please feedback Mai san (mai.pham1@bridgestone.com). Thank you.</v>
      </c>
      <c r="J19" s="5" t="str">
        <f t="shared" si="5"/>
        <v>Best regards,</v>
      </c>
      <c r="K19" s="5" t="str">
        <f t="shared" si="6"/>
        <v>11 - BTMV Accounting - Dect 51624</v>
      </c>
      <c r="L19" t="s">
        <v>43</v>
      </c>
      <c r="M19" s="1"/>
      <c r="N19" s="1"/>
      <c r="O19" s="11" t="str" cm="1">
        <f t="array" ref="O19">IF(ISNA(INDEX($A$4:$A$20, MATCH(1, COUNTIF(M19, "*"&amp;$A$4:$A$20&amp;"*"), 0))),"",INDEX($A$4:$A$20, MATCH(1, COUNTIF(M19, "*"&amp;$A$4:$A$20&amp;"*"), 0)))</f>
        <v/>
      </c>
    </row>
    <row r="20" spans="1:15" ht="14.25" customHeight="1" x14ac:dyDescent="0.25">
      <c r="A20" s="2">
        <v>1211</v>
      </c>
      <c r="B20" s="1" t="s">
        <v>58</v>
      </c>
      <c r="C20" s="1" t="s">
        <v>74</v>
      </c>
      <c r="D20" s="1" t="s">
        <v>87</v>
      </c>
      <c r="E20" s="5" t="str">
        <f t="shared" si="0"/>
        <v>Dec-23_22_1211</v>
      </c>
      <c r="F20" s="5" t="str">
        <f t="shared" si="1"/>
        <v>Dear Mr.Cương,</v>
      </c>
      <c r="G20" s="5" t="str">
        <f t="shared" si="2"/>
        <v>We would like to send Act vs. Bud report for Dec-23</v>
      </c>
      <c r="H20" s="5" t="str">
        <f t="shared" si="3"/>
        <v>Please help to review and stay control for your section budget</v>
      </c>
      <c r="I20" s="5" t="str">
        <f t="shared" si="4"/>
        <v>Should you have any question, please feedback Mai san (mai.pham1@bridgestone.com). Thank you.</v>
      </c>
      <c r="J20" s="5" t="str">
        <f t="shared" si="5"/>
        <v>Best regards,</v>
      </c>
      <c r="K20" s="5" t="str">
        <f t="shared" si="6"/>
        <v>11 - BTMV Accounting - Dect 51624</v>
      </c>
      <c r="L20" t="s">
        <v>43</v>
      </c>
      <c r="M20" s="1"/>
      <c r="N20" s="1"/>
      <c r="O20" s="11" t="str" cm="1">
        <f t="array" ref="O20">IF(ISNA(INDEX($A$4:$A$20, MATCH(1, COUNTIF(M20, "*"&amp;$A$4:$A$20&amp;"*"), 0))),"",INDEX($A$4:$A$20, MATCH(1, COUNTIF(M20, "*"&amp;$A$4:$A$20&amp;"*"), 0)))</f>
        <v/>
      </c>
    </row>
    <row r="21" spans="1:15" x14ac:dyDescent="0.25">
      <c r="M21" s="1"/>
      <c r="N21" s="1"/>
      <c r="O21" s="11" t="str" cm="1">
        <f t="array" ref="O21">IF(ISNA(INDEX($A$4:$A$20, MATCH(1, COUNTIF(M21, "*"&amp;$A$4:$A$20&amp;"*"), 0))),"",INDEX($A$4:$A$20, MATCH(1, COUNTIF(M21, "*"&amp;$A$4:$A$20&amp;"*"), 0)))</f>
        <v/>
      </c>
    </row>
    <row r="22" spans="1:15" x14ac:dyDescent="0.25">
      <c r="M22" s="1"/>
      <c r="N22" s="1"/>
      <c r="O22" s="11" t="str" cm="1">
        <f t="array" ref="O22">IF(ISNA(INDEX($A$4:$A$20, MATCH(1, COUNTIF(M22, "*"&amp;$A$4:$A$20&amp;"*"), 0))),"",INDEX($A$4:$A$20, MATCH(1, COUNTIF(M22, "*"&amp;$A$4:$A$20&amp;"*"), 0)))</f>
        <v/>
      </c>
    </row>
    <row r="23" spans="1:15" x14ac:dyDescent="0.25">
      <c r="M23" s="1"/>
      <c r="N23" s="1"/>
      <c r="O23" s="11" t="str" cm="1">
        <f t="array" ref="O23">IF(ISNA(INDEX($A$4:$A$20, MATCH(1, COUNTIF(M23, "*"&amp;$A$4:$A$20&amp;"*"), 0))),"",INDEX($A$4:$A$20, MATCH(1, COUNTIF(M23, "*"&amp;$A$4:$A$20&amp;"*"), 0)))</f>
        <v/>
      </c>
    </row>
    <row r="24" spans="1:15" x14ac:dyDescent="0.25">
      <c r="M24" s="1"/>
      <c r="N24" s="1"/>
      <c r="O24" s="11" t="str" cm="1">
        <f t="array" ref="O24">IF(ISNA(INDEX($A$4:$A$20, MATCH(1, COUNTIF(M24, "*"&amp;$A$4:$A$20&amp;"*"), 0))),"",INDEX($A$4:$A$20, MATCH(1, COUNTIF(M24, "*"&amp;$A$4:$A$20&amp;"*"), 0)))</f>
        <v/>
      </c>
    </row>
    <row r="25" spans="1:15" x14ac:dyDescent="0.25">
      <c r="M25" s="1"/>
      <c r="N25" s="1"/>
      <c r="O25" s="11" t="str" cm="1">
        <f t="array" ref="O25">IF(ISNA(INDEX($A$4:$A$20, MATCH(1, COUNTIF(M25, "*"&amp;$A$4:$A$20&amp;"*"), 0))),"",INDEX($A$4:$A$20, MATCH(1, COUNTIF(M25, "*"&amp;$A$4:$A$20&amp;"*"), 0)))</f>
        <v/>
      </c>
    </row>
    <row r="26" spans="1:15" x14ac:dyDescent="0.25">
      <c r="M26" s="1"/>
      <c r="N26" s="1"/>
      <c r="O26" s="11" t="str" cm="1">
        <f t="array" ref="O26">IF(ISNA(INDEX($A$4:$A$20, MATCH(1, COUNTIF(M26, "*"&amp;$A$4:$A$20&amp;"*"), 0))),"",INDEX($A$4:$A$20, MATCH(1, COUNTIF(M26, "*"&amp;$A$4:$A$20&amp;"*"), 0)))</f>
        <v/>
      </c>
    </row>
    <row r="27" spans="1:15" x14ac:dyDescent="0.25">
      <c r="M27" s="1"/>
      <c r="N27" s="1"/>
      <c r="O27" s="11" t="str" cm="1">
        <f t="array" ref="O27">IF(ISNA(INDEX($A$4:$A$20, MATCH(1, COUNTIF(M27, "*"&amp;$A$4:$A$20&amp;"*"), 0))),"",INDEX($A$4:$A$20, MATCH(1, COUNTIF(M27, "*"&amp;$A$4:$A$20&amp;"*"), 0)))</f>
        <v/>
      </c>
    </row>
    <row r="28" spans="1:15" x14ac:dyDescent="0.25">
      <c r="M28" s="1"/>
      <c r="N28" s="1"/>
      <c r="O28" s="11" t="str" cm="1">
        <f t="array" ref="O28">IF(ISNA(INDEX($A$4:$A$20, MATCH(1, COUNTIF(M28, "*"&amp;$A$4:$A$20&amp;"*"), 0))),"",INDEX($A$4:$A$20, MATCH(1, COUNTIF(M28, "*"&amp;$A$4:$A$20&amp;"*"), 0)))</f>
        <v/>
      </c>
    </row>
    <row r="29" spans="1:15" x14ac:dyDescent="0.25">
      <c r="M29" s="1"/>
      <c r="N29" s="1"/>
      <c r="O29" s="11" t="str" cm="1">
        <f t="array" ref="O29">IF(ISNA(INDEX($A$4:$A$20, MATCH(1, COUNTIF(M29, "*"&amp;$A$4:$A$20&amp;"*"), 0))),"",INDEX($A$4:$A$20, MATCH(1, COUNTIF(M29, "*"&amp;$A$4:$A$20&amp;"*"), 0)))</f>
        <v/>
      </c>
    </row>
    <row r="30" spans="1:15" x14ac:dyDescent="0.25">
      <c r="M30" s="1"/>
      <c r="N30" s="1"/>
      <c r="O30" s="11" t="str" cm="1">
        <f t="array" ref="O30">IF(ISNA(INDEX($A$4:$A$20, MATCH(1, COUNTIF(M30, "*"&amp;$A$4:$A$20&amp;"*"), 0))),"",INDEX($A$4:$A$20, MATCH(1, COUNTIF(M30, "*"&amp;$A$4:$A$20&amp;"*"), 0)))</f>
        <v/>
      </c>
    </row>
    <row r="31" spans="1:15" x14ac:dyDescent="0.25">
      <c r="M31" s="1"/>
      <c r="N31" s="1"/>
      <c r="O31" s="11" t="str" cm="1">
        <f t="array" ref="O31">IF(ISNA(INDEX($A$4:$A$20, MATCH(1, COUNTIF(M31, "*"&amp;$A$4:$A$20&amp;"*"), 0))),"",INDEX($A$4:$A$20, MATCH(1, COUNTIF(M31, "*"&amp;$A$4:$A$20&amp;"*"), 0)))</f>
        <v/>
      </c>
    </row>
    <row r="32" spans="1:15" x14ac:dyDescent="0.25">
      <c r="M32" s="1"/>
      <c r="N32" s="1"/>
      <c r="O32" s="11" t="str" cm="1">
        <f t="array" ref="O32">IF(ISNA(INDEX($A$4:$A$20, MATCH(1, COUNTIF(M32, "*"&amp;$A$4:$A$20&amp;"*"), 0))),"",INDEX($A$4:$A$20, MATCH(1, COUNTIF(M32, "*"&amp;$A$4:$A$20&amp;"*"), 0)))</f>
        <v/>
      </c>
    </row>
    <row r="33" spans="13:15" x14ac:dyDescent="0.25">
      <c r="M33" s="1"/>
      <c r="N33" s="1"/>
      <c r="O33" s="11" t="str" cm="1">
        <f t="array" ref="O33">IF(ISNA(INDEX($A$4:$A$20, MATCH(1, COUNTIF(M33, "*"&amp;$A$4:$A$20&amp;"*"), 0))),"",INDEX($A$4:$A$20, MATCH(1, COUNTIF(M33, "*"&amp;$A$4:$A$20&amp;"*"), 0)))</f>
        <v/>
      </c>
    </row>
    <row r="34" spans="13:15" x14ac:dyDescent="0.25">
      <c r="M34" s="1"/>
      <c r="N34" s="1"/>
      <c r="O34" s="11" t="str" cm="1">
        <f t="array" ref="O34">IF(ISNA(INDEX($A$4:$A$20, MATCH(1, COUNTIF(M34, "*"&amp;$A$4:$A$20&amp;"*"), 0))),"",INDEX($A$4:$A$20, MATCH(1, COUNTIF(M34, "*"&amp;$A$4:$A$20&amp;"*"), 0)))</f>
        <v/>
      </c>
    </row>
    <row r="35" spans="13:15" x14ac:dyDescent="0.25">
      <c r="M35" s="1"/>
      <c r="N35" s="1"/>
      <c r="O35" s="11" t="str" cm="1">
        <f t="array" ref="O35">IF(ISNA(INDEX($A$4:$A$20, MATCH(1, COUNTIF(M35, "*"&amp;$A$4:$A$20&amp;"*"), 0))),"",INDEX($A$4:$A$20, MATCH(1, COUNTIF(M35, "*"&amp;$A$4:$A$20&amp;"*"), 0)))</f>
        <v/>
      </c>
    </row>
    <row r="36" spans="13:15" x14ac:dyDescent="0.25">
      <c r="M36" s="1"/>
      <c r="N36" s="1"/>
      <c r="O36" s="11" t="str" cm="1">
        <f t="array" ref="O36">IF(ISNA(INDEX($A$4:$A$20, MATCH(1, COUNTIF(M36, "*"&amp;$A$4:$A$20&amp;"*"), 0))),"",INDEX($A$4:$A$20, MATCH(1, COUNTIF(M36, "*"&amp;$A$4:$A$20&amp;"*"), 0)))</f>
        <v/>
      </c>
    </row>
    <row r="37" spans="13:15" x14ac:dyDescent="0.25">
      <c r="M37" s="1"/>
      <c r="N37" s="1"/>
      <c r="O37" s="11" t="str" cm="1">
        <f t="array" ref="O37">IF(ISNA(INDEX($A$4:$A$20, MATCH(1, COUNTIF(M37, "*"&amp;$A$4:$A$20&amp;"*"), 0))),"",INDEX($A$4:$A$20, MATCH(1, COUNTIF(M37, "*"&amp;$A$4:$A$20&amp;"*"), 0)))</f>
        <v/>
      </c>
    </row>
    <row r="38" spans="13:15" x14ac:dyDescent="0.25">
      <c r="M38" s="1"/>
      <c r="N38" s="1"/>
      <c r="O38" s="11" t="str" cm="1">
        <f t="array" ref="O38">IF(ISNA(INDEX($A$4:$A$20, MATCH(1, COUNTIF(M38, "*"&amp;$A$4:$A$20&amp;"*"), 0))),"",INDEX($A$4:$A$20, MATCH(1, COUNTIF(M38, "*"&amp;$A$4:$A$20&amp;"*"), 0)))</f>
        <v/>
      </c>
    </row>
    <row r="39" spans="13:15" x14ac:dyDescent="0.25">
      <c r="M39" s="1"/>
      <c r="N39" s="1"/>
      <c r="O39" s="11" t="str" cm="1">
        <f t="array" ref="O39">IF(ISNA(INDEX($A$4:$A$20, MATCH(1, COUNTIF(M39, "*"&amp;$A$4:$A$20&amp;"*"), 0))),"",INDEX($A$4:$A$20, MATCH(1, COUNTIF(M39, "*"&amp;$A$4:$A$20&amp;"*"), 0)))</f>
        <v/>
      </c>
    </row>
    <row r="40" spans="13:15" x14ac:dyDescent="0.25">
      <c r="M40" s="1"/>
      <c r="N40" s="1"/>
      <c r="O40" s="11" t="str" cm="1">
        <f t="array" ref="O40">IF(ISNA(INDEX($A$4:$A$20, MATCH(1, COUNTIF(M40, "*"&amp;$A$4:$A$20&amp;"*"), 0))),"",INDEX($A$4:$A$20, MATCH(1, COUNTIF(M40, "*"&amp;$A$4:$A$20&amp;"*"), 0)))</f>
        <v/>
      </c>
    </row>
    <row r="41" spans="13:15" x14ac:dyDescent="0.25">
      <c r="M41" s="1"/>
      <c r="N41" s="1"/>
      <c r="O41" s="11" t="str" cm="1">
        <f t="array" ref="O41">IF(ISNA(INDEX($A$4:$A$20, MATCH(1, COUNTIF(M41, "*"&amp;$A$4:$A$20&amp;"*"), 0))),"",INDEX($A$4:$A$20, MATCH(1, COUNTIF(M41, "*"&amp;$A$4:$A$20&amp;"*"), 0)))</f>
        <v/>
      </c>
    </row>
    <row r="42" spans="13:15" x14ac:dyDescent="0.25">
      <c r="M42" s="1"/>
      <c r="N42" s="1"/>
      <c r="O42" s="11" t="str" cm="1">
        <f t="array" ref="O42">IF(ISNA(INDEX($A$4:$A$20, MATCH(1, COUNTIF(M42, "*"&amp;$A$4:$A$20&amp;"*"), 0))),"",INDEX($A$4:$A$20, MATCH(1, COUNTIF(M42, "*"&amp;$A$4:$A$20&amp;"*"), 0)))</f>
        <v/>
      </c>
    </row>
    <row r="43" spans="13:15" x14ac:dyDescent="0.25">
      <c r="M43" s="1"/>
      <c r="N43" s="1"/>
      <c r="O43" s="11" t="str" cm="1">
        <f t="array" ref="O43">IF(ISNA(INDEX($A$4:$A$20, MATCH(1, COUNTIF(M43, "*"&amp;$A$4:$A$20&amp;"*"), 0))),"",INDEX($A$4:$A$20, MATCH(1, COUNTIF(M43, "*"&amp;$A$4:$A$20&amp;"*"), 0)))</f>
        <v/>
      </c>
    </row>
    <row r="44" spans="13:15" x14ac:dyDescent="0.25">
      <c r="M44" s="1"/>
      <c r="N44" s="1"/>
      <c r="O44" s="11" t="str" cm="1">
        <f t="array" ref="O44">IF(ISNA(INDEX($A$4:$A$20, MATCH(1, COUNTIF(M44, "*"&amp;$A$4:$A$20&amp;"*"), 0))),"",INDEX($A$4:$A$20, MATCH(1, COUNTIF(M44, "*"&amp;$A$4:$A$20&amp;"*"), 0)))</f>
        <v/>
      </c>
    </row>
    <row r="45" spans="13:15" x14ac:dyDescent="0.25">
      <c r="M45" s="1"/>
      <c r="N45" s="1"/>
      <c r="O45" s="11" t="str" cm="1">
        <f t="array" ref="O45">IF(ISNA(INDEX($A$4:$A$20, MATCH(1, COUNTIF(M45, "*"&amp;$A$4:$A$20&amp;"*"), 0))),"",INDEX($A$4:$A$20, MATCH(1, COUNTIF(M45, "*"&amp;$A$4:$A$20&amp;"*"), 0)))</f>
        <v/>
      </c>
    </row>
    <row r="46" spans="13:15" x14ac:dyDescent="0.25">
      <c r="M46" s="1"/>
      <c r="N46" s="1"/>
      <c r="O46" s="11" t="str" cm="1">
        <f t="array" ref="O46">IF(ISNA(INDEX($A$4:$A$20, MATCH(1, COUNTIF(M46, "*"&amp;$A$4:$A$20&amp;"*"), 0))),"",INDEX($A$4:$A$20, MATCH(1, COUNTIF(M46, "*"&amp;$A$4:$A$20&amp;"*"), 0)))</f>
        <v/>
      </c>
    </row>
    <row r="47" spans="13:15" x14ac:dyDescent="0.25">
      <c r="M47" s="1"/>
      <c r="N47" s="1"/>
      <c r="O47" s="11" t="str" cm="1">
        <f t="array" ref="O47">IF(ISNA(INDEX($A$4:$A$20, MATCH(1, COUNTIF(M47, "*"&amp;$A$4:$A$20&amp;"*"), 0))),"",INDEX($A$4:$A$20, MATCH(1, COUNTIF(M47, "*"&amp;$A$4:$A$20&amp;"*"), 0)))</f>
        <v/>
      </c>
    </row>
    <row r="48" spans="13:15" x14ac:dyDescent="0.25">
      <c r="M48" s="1"/>
      <c r="N48" s="1"/>
      <c r="O48" s="11" t="str" cm="1">
        <f t="array" ref="O48">IF(ISNA(INDEX($A$4:$A$20, MATCH(1, COUNTIF(M48, "*"&amp;$A$4:$A$20&amp;"*"), 0))),"",INDEX($A$4:$A$20, MATCH(1, COUNTIF(M48, "*"&amp;$A$4:$A$20&amp;"*"), 0)))</f>
        <v/>
      </c>
    </row>
    <row r="49" spans="13:15" x14ac:dyDescent="0.25">
      <c r="M49" s="1"/>
      <c r="N49" s="1"/>
      <c r="O49" s="11" t="str" cm="1">
        <f t="array" ref="O49">IF(ISNA(INDEX($A$4:$A$20, MATCH(1, COUNTIF(M49, "*"&amp;$A$4:$A$20&amp;"*"), 0))),"",INDEX($A$4:$A$20, MATCH(1, COUNTIF(M49, "*"&amp;$A$4:$A$20&amp;"*"), 0)))</f>
        <v/>
      </c>
    </row>
    <row r="50" spans="13:15" x14ac:dyDescent="0.25">
      <c r="M50" s="1"/>
      <c r="N50" s="1"/>
      <c r="O50" s="11" t="str" cm="1">
        <f t="array" ref="O50">IF(ISNA(INDEX($A$4:$A$20, MATCH(1, COUNTIF(M50, "*"&amp;$A$4:$A$20&amp;"*"), 0))),"",INDEX($A$4:$A$20, MATCH(1, COUNTIF(M50, "*"&amp;$A$4:$A$20&amp;"*"), 0)))</f>
        <v/>
      </c>
    </row>
    <row r="51" spans="13:15" x14ac:dyDescent="0.25">
      <c r="M51" s="1"/>
      <c r="N51" s="1"/>
      <c r="O51" s="11" t="str" cm="1">
        <f t="array" ref="O51">IF(ISNA(INDEX($A$4:$A$20, MATCH(1, COUNTIF(M51, "*"&amp;$A$4:$A$20&amp;"*"), 0))),"",INDEX($A$4:$A$20, MATCH(1, COUNTIF(M51, "*"&amp;$A$4:$A$20&amp;"*"), 0)))</f>
        <v/>
      </c>
    </row>
    <row r="52" spans="13:15" x14ac:dyDescent="0.25">
      <c r="M52" s="1"/>
      <c r="N52" s="1"/>
      <c r="O52" s="11" t="str" cm="1">
        <f t="array" ref="O52">IF(ISNA(INDEX($A$4:$A$20, MATCH(1, COUNTIF(M52, "*"&amp;$A$4:$A$20&amp;"*"), 0))),"",INDEX($A$4:$A$20, MATCH(1, COUNTIF(M52, "*"&amp;$A$4:$A$20&amp;"*"), 0)))</f>
        <v/>
      </c>
    </row>
    <row r="53" spans="13:15" x14ac:dyDescent="0.25">
      <c r="M53" s="1"/>
      <c r="N53" s="1"/>
      <c r="O53" s="11" t="str" cm="1">
        <f t="array" ref="O53">IF(ISNA(INDEX($A$4:$A$20, MATCH(1, COUNTIF(M53, "*"&amp;$A$4:$A$20&amp;"*"), 0))),"",INDEX($A$4:$A$20, MATCH(1, COUNTIF(M53, "*"&amp;$A$4:$A$20&amp;"*"), 0)))</f>
        <v/>
      </c>
    </row>
    <row r="54" spans="13:15" x14ac:dyDescent="0.25">
      <c r="M54" s="1"/>
      <c r="N54" s="1"/>
      <c r="O54" s="11" t="str" cm="1">
        <f t="array" ref="O54">IF(ISNA(INDEX($A$4:$A$20, MATCH(1, COUNTIF(M54, "*"&amp;$A$4:$A$20&amp;"*"), 0))),"",INDEX($A$4:$A$20, MATCH(1, COUNTIF(M54, "*"&amp;$A$4:$A$20&amp;"*"), 0)))</f>
        <v/>
      </c>
    </row>
    <row r="55" spans="13:15" x14ac:dyDescent="0.25">
      <c r="M55" s="1"/>
      <c r="N55" s="1"/>
      <c r="O55" s="11" t="str" cm="1">
        <f t="array" ref="O55">IF(ISNA(INDEX($A$4:$A$20, MATCH(1, COUNTIF(M55, "*"&amp;$A$4:$A$20&amp;"*"), 0))),"",INDEX($A$4:$A$20, MATCH(1, COUNTIF(M55, "*"&amp;$A$4:$A$20&amp;"*"), 0)))</f>
        <v/>
      </c>
    </row>
    <row r="56" spans="13:15" x14ac:dyDescent="0.25">
      <c r="M56" s="1"/>
      <c r="N56" s="1"/>
      <c r="O56" s="11" t="str" cm="1">
        <f t="array" ref="O56">IF(ISNA(INDEX($A$4:$A$20, MATCH(1, COUNTIF(M56, "*"&amp;$A$4:$A$20&amp;"*"), 0))),"",INDEX($A$4:$A$20, MATCH(1, COUNTIF(M56, "*"&amp;$A$4:$A$20&amp;"*"), 0)))</f>
        <v/>
      </c>
    </row>
    <row r="57" spans="13:15" x14ac:dyDescent="0.25">
      <c r="M57" s="1"/>
      <c r="N57" s="1"/>
      <c r="O57" s="11" t="str" cm="1">
        <f t="array" ref="O57">IF(ISNA(INDEX($A$4:$A$20, MATCH(1, COUNTIF(M57, "*"&amp;$A$4:$A$20&amp;"*"), 0))),"",INDEX($A$4:$A$20, MATCH(1, COUNTIF(M57, "*"&amp;$A$4:$A$20&amp;"*"), 0)))</f>
        <v/>
      </c>
    </row>
    <row r="58" spans="13:15" x14ac:dyDescent="0.25">
      <c r="M58" s="1"/>
      <c r="N58" s="1"/>
      <c r="O58" s="11" t="str" cm="1">
        <f t="array" ref="O58">IF(ISNA(INDEX($A$4:$A$20, MATCH(1, COUNTIF(M58, "*"&amp;$A$4:$A$20&amp;"*"), 0))),"",INDEX($A$4:$A$20, MATCH(1, COUNTIF(M58, "*"&amp;$A$4:$A$20&amp;"*"), 0)))</f>
        <v/>
      </c>
    </row>
    <row r="59" spans="13:15" x14ac:dyDescent="0.25">
      <c r="M59" s="1"/>
      <c r="N59" s="1"/>
      <c r="O59" s="11" t="str" cm="1">
        <f t="array" ref="O59">IF(ISNA(INDEX($A$4:$A$20, MATCH(1, COUNTIF(M59, "*"&amp;$A$4:$A$20&amp;"*"), 0))),"",INDEX($A$4:$A$20, MATCH(1, COUNTIF(M59, "*"&amp;$A$4:$A$20&amp;"*"), 0)))</f>
        <v/>
      </c>
    </row>
    <row r="60" spans="13:15" x14ac:dyDescent="0.25">
      <c r="M60" s="1"/>
      <c r="N60" s="1"/>
      <c r="O60" s="11" t="str" cm="1">
        <f t="array" ref="O60">IF(ISNA(INDEX($A$4:$A$20, MATCH(1, COUNTIF(M60, "*"&amp;$A$4:$A$20&amp;"*"), 0))),"",INDEX($A$4:$A$20, MATCH(1, COUNTIF(M60, "*"&amp;$A$4:$A$20&amp;"*"), 0)))</f>
        <v/>
      </c>
    </row>
    <row r="61" spans="13:15" x14ac:dyDescent="0.25">
      <c r="M61" s="1"/>
      <c r="N61" s="1"/>
      <c r="O61" s="11" t="str" cm="1">
        <f t="array" ref="O61">IF(ISNA(INDEX($A$4:$A$20, MATCH(1, COUNTIF(M61, "*"&amp;$A$4:$A$20&amp;"*"), 0))),"",INDEX($A$4:$A$20, MATCH(1, COUNTIF(M61, "*"&amp;$A$4:$A$20&amp;"*"), 0)))</f>
        <v/>
      </c>
    </row>
    <row r="62" spans="13:15" x14ac:dyDescent="0.25">
      <c r="M62" s="1"/>
      <c r="N62" s="1"/>
      <c r="O62" s="11" t="str" cm="1">
        <f t="array" ref="O62">IF(ISNA(INDEX($A$4:$A$20, MATCH(1, COUNTIF(M62, "*"&amp;$A$4:$A$20&amp;"*"), 0))),"",INDEX($A$4:$A$20, MATCH(1, COUNTIF(M62, "*"&amp;$A$4:$A$20&amp;"*"), 0)))</f>
        <v/>
      </c>
    </row>
    <row r="63" spans="13:15" x14ac:dyDescent="0.25">
      <c r="M63" s="1"/>
      <c r="N63" s="1"/>
      <c r="O63" s="11" t="str" cm="1">
        <f t="array" ref="O63">IF(ISNA(INDEX($A$4:$A$20, MATCH(1, COUNTIF(M63, "*"&amp;$A$4:$A$20&amp;"*"), 0))),"",INDEX($A$4:$A$20, MATCH(1, COUNTIF(M63, "*"&amp;$A$4:$A$20&amp;"*"), 0)))</f>
        <v/>
      </c>
    </row>
    <row r="64" spans="13:15" x14ac:dyDescent="0.25">
      <c r="M64" s="1"/>
      <c r="N64" s="1"/>
      <c r="O64" s="11" t="str" cm="1">
        <f t="array" ref="O64">IF(ISNA(INDEX($A$4:$A$20, MATCH(1, COUNTIF(M64, "*"&amp;$A$4:$A$20&amp;"*"), 0))),"",INDEX($A$4:$A$20, MATCH(1, COUNTIF(M64, "*"&amp;$A$4:$A$20&amp;"*"), 0)))</f>
        <v/>
      </c>
    </row>
    <row r="65" spans="13:15" x14ac:dyDescent="0.25">
      <c r="M65" s="1"/>
      <c r="N65" s="1"/>
      <c r="O65" s="11" t="str" cm="1">
        <f t="array" ref="O65">IF(ISNA(INDEX($A$4:$A$20, MATCH(1, COUNTIF(M65, "*"&amp;$A$4:$A$20&amp;"*"), 0))),"",INDEX($A$4:$A$20, MATCH(1, COUNTIF(M65, "*"&amp;$A$4:$A$20&amp;"*"), 0)))</f>
        <v/>
      </c>
    </row>
    <row r="66" spans="13:15" x14ac:dyDescent="0.25">
      <c r="M66" s="1"/>
      <c r="N66" s="1"/>
      <c r="O66" s="11" t="str" cm="1">
        <f t="array" ref="O66">IF(ISNA(INDEX($A$4:$A$20, MATCH(1, COUNTIF(M66, "*"&amp;$A$4:$A$20&amp;"*"), 0))),"",INDEX($A$4:$A$20, MATCH(1, COUNTIF(M66, "*"&amp;$A$4:$A$20&amp;"*"), 0)))</f>
        <v/>
      </c>
    </row>
    <row r="67" spans="13:15" x14ac:dyDescent="0.25">
      <c r="M67" s="1"/>
      <c r="N67" s="1"/>
      <c r="O67" s="11" t="str" cm="1">
        <f t="array" ref="O67">IF(ISNA(INDEX($A$4:$A$20, MATCH(1, COUNTIF(M67, "*"&amp;$A$4:$A$20&amp;"*"), 0))),"",INDEX($A$4:$A$20, MATCH(1, COUNTIF(M67, "*"&amp;$A$4:$A$20&amp;"*"), 0)))</f>
        <v/>
      </c>
    </row>
    <row r="68" spans="13:15" x14ac:dyDescent="0.25">
      <c r="M68" s="1"/>
      <c r="N68" s="1"/>
      <c r="O68" s="11" t="str" cm="1">
        <f t="array" ref="O68">IF(ISNA(INDEX($A$4:$A$20, MATCH(1, COUNTIF(M68, "*"&amp;$A$4:$A$20&amp;"*"), 0))),"",INDEX($A$4:$A$20, MATCH(1, COUNTIF(M68, "*"&amp;$A$4:$A$20&amp;"*"), 0)))</f>
        <v/>
      </c>
    </row>
    <row r="69" spans="13:15" x14ac:dyDescent="0.25">
      <c r="M69" s="1"/>
      <c r="N69" s="1"/>
      <c r="O69" s="11" t="str" cm="1">
        <f t="array" ref="O69">IF(ISNA(INDEX($A$4:$A$20, MATCH(1, COUNTIF(M69, "*"&amp;$A$4:$A$20&amp;"*"), 0))),"",INDEX($A$4:$A$20, MATCH(1, COUNTIF(M69, "*"&amp;$A$4:$A$20&amp;"*"), 0)))</f>
        <v/>
      </c>
    </row>
    <row r="70" spans="13:15" x14ac:dyDescent="0.25">
      <c r="M70" s="1"/>
      <c r="N70" s="1"/>
      <c r="O70" s="11" t="str" cm="1">
        <f t="array" ref="O70">IF(ISNA(INDEX($A$4:$A$20, MATCH(1, COUNTIF(M70, "*"&amp;$A$4:$A$20&amp;"*"), 0))),"",INDEX($A$4:$A$20, MATCH(1, COUNTIF(M70, "*"&amp;$A$4:$A$20&amp;"*"), 0)))</f>
        <v/>
      </c>
    </row>
    <row r="71" spans="13:15" x14ac:dyDescent="0.25">
      <c r="M71" s="1"/>
      <c r="N71" s="1"/>
      <c r="O71" s="11" t="str" cm="1">
        <f t="array" ref="O71">IF(ISNA(INDEX($A$4:$A$20, MATCH(1, COUNTIF(M71, "*"&amp;$A$4:$A$20&amp;"*"), 0))),"",INDEX($A$4:$A$20, MATCH(1, COUNTIF(M71, "*"&amp;$A$4:$A$20&amp;"*"), 0)))</f>
        <v/>
      </c>
    </row>
    <row r="72" spans="13:15" x14ac:dyDescent="0.25">
      <c r="M72" s="1"/>
      <c r="N72" s="1"/>
      <c r="O72" s="11" t="str" cm="1">
        <f t="array" ref="O72">IF(ISNA(INDEX($A$4:$A$20, MATCH(1, COUNTIF(M72, "*"&amp;$A$4:$A$20&amp;"*"), 0))),"",INDEX($A$4:$A$20, MATCH(1, COUNTIF(M72, "*"&amp;$A$4:$A$20&amp;"*"), 0)))</f>
        <v/>
      </c>
    </row>
    <row r="73" spans="13:15" x14ac:dyDescent="0.25">
      <c r="M73" s="1"/>
      <c r="N73" s="1"/>
      <c r="O73" s="11" t="str" cm="1">
        <f t="array" ref="O73">IF(ISNA(INDEX($A$4:$A$20, MATCH(1, COUNTIF(M73, "*"&amp;$A$4:$A$20&amp;"*"), 0))),"",INDEX($A$4:$A$20, MATCH(1, COUNTIF(M73, "*"&amp;$A$4:$A$20&amp;"*"), 0)))</f>
        <v/>
      </c>
    </row>
    <row r="74" spans="13:15" x14ac:dyDescent="0.25">
      <c r="M74" s="1"/>
      <c r="N74" s="1"/>
      <c r="O74" s="11" t="str" cm="1">
        <f t="array" ref="O74">IF(ISNA(INDEX($A$4:$A$20, MATCH(1, COUNTIF(M74, "*"&amp;$A$4:$A$20&amp;"*"), 0))),"",INDEX($A$4:$A$20, MATCH(1, COUNTIF(M74, "*"&amp;$A$4:$A$20&amp;"*"), 0)))</f>
        <v/>
      </c>
    </row>
    <row r="75" spans="13:15" x14ac:dyDescent="0.25">
      <c r="M75" s="1"/>
      <c r="N75" s="1"/>
      <c r="O75" s="11" t="str" cm="1">
        <f t="array" ref="O75">IF(ISNA(INDEX($A$4:$A$20, MATCH(1, COUNTIF(M75, "*"&amp;$A$4:$A$20&amp;"*"), 0))),"",INDEX($A$4:$A$20, MATCH(1, COUNTIF(M75, "*"&amp;$A$4:$A$20&amp;"*"), 0)))</f>
        <v/>
      </c>
    </row>
    <row r="76" spans="13:15" x14ac:dyDescent="0.25">
      <c r="M76" s="1"/>
      <c r="N76" s="1"/>
      <c r="O76" s="11" t="str" cm="1">
        <f t="array" ref="O76">IF(ISNA(INDEX($A$4:$A$20, MATCH(1, COUNTIF(M76, "*"&amp;$A$4:$A$20&amp;"*"), 0))),"",INDEX($A$4:$A$20, MATCH(1, COUNTIF(M76, "*"&amp;$A$4:$A$20&amp;"*"), 0)))</f>
        <v/>
      </c>
    </row>
    <row r="77" spans="13:15" x14ac:dyDescent="0.25">
      <c r="M77" s="1"/>
      <c r="N77" s="1"/>
      <c r="O77" s="11" t="str" cm="1">
        <f t="array" ref="O77">IF(ISNA(INDEX($A$4:$A$20, MATCH(1, COUNTIF(M77, "*"&amp;$A$4:$A$20&amp;"*"), 0))),"",INDEX($A$4:$A$20, MATCH(1, COUNTIF(M77, "*"&amp;$A$4:$A$20&amp;"*"), 0)))</f>
        <v/>
      </c>
    </row>
    <row r="78" spans="13:15" x14ac:dyDescent="0.25">
      <c r="M78" s="1"/>
      <c r="N78" s="1"/>
      <c r="O78" s="11" t="str" cm="1">
        <f t="array" ref="O78">IF(ISNA(INDEX($A$4:$A$20, MATCH(1, COUNTIF(M78, "*"&amp;$A$4:$A$20&amp;"*"), 0))),"",INDEX($A$4:$A$20, MATCH(1, COUNTIF(M78, "*"&amp;$A$4:$A$20&amp;"*"), 0)))</f>
        <v/>
      </c>
    </row>
    <row r="79" spans="13:15" x14ac:dyDescent="0.25">
      <c r="M79" s="1"/>
      <c r="N79" s="1"/>
      <c r="O79" s="11" t="str" cm="1">
        <f t="array" ref="O79">IF(ISNA(INDEX($A$4:$A$20, MATCH(1, COUNTIF(M79, "*"&amp;$A$4:$A$20&amp;"*"), 0))),"",INDEX($A$4:$A$20, MATCH(1, COUNTIF(M79, "*"&amp;$A$4:$A$20&amp;"*"), 0)))</f>
        <v/>
      </c>
    </row>
    <row r="80" spans="13:15" x14ac:dyDescent="0.25">
      <c r="M80" s="1"/>
      <c r="N80" s="1"/>
      <c r="O80" s="11" t="str" cm="1">
        <f t="array" ref="O80">IF(ISNA(INDEX($A$4:$A$20, MATCH(1, COUNTIF(M80, "*"&amp;$A$4:$A$20&amp;"*"), 0))),"",INDEX($A$4:$A$20, MATCH(1, COUNTIF(M80, "*"&amp;$A$4:$A$20&amp;"*"), 0)))</f>
        <v/>
      </c>
    </row>
    <row r="81" spans="13:15" x14ac:dyDescent="0.25">
      <c r="M81" s="1"/>
      <c r="N81" s="1"/>
      <c r="O81" s="11" t="str" cm="1">
        <f t="array" ref="O81">IF(ISNA(INDEX($A$4:$A$20, MATCH(1, COUNTIF(M81, "*"&amp;$A$4:$A$20&amp;"*"), 0))),"",INDEX($A$4:$A$20, MATCH(1, COUNTIF(M81, "*"&amp;$A$4:$A$20&amp;"*"), 0)))</f>
        <v/>
      </c>
    </row>
    <row r="82" spans="13:15" x14ac:dyDescent="0.25">
      <c r="M82" s="1"/>
      <c r="N82" s="1"/>
      <c r="O82" s="11" t="str" cm="1">
        <f t="array" ref="O82">IF(ISNA(INDEX($A$4:$A$20, MATCH(1, COUNTIF(M82, "*"&amp;$A$4:$A$20&amp;"*"), 0))),"",INDEX($A$4:$A$20, MATCH(1, COUNTIF(M82, "*"&amp;$A$4:$A$20&amp;"*"), 0)))</f>
        <v/>
      </c>
    </row>
    <row r="83" spans="13:15" x14ac:dyDescent="0.25">
      <c r="M83" s="1"/>
      <c r="N83" s="1"/>
      <c r="O83" s="11" t="str" cm="1">
        <f t="array" ref="O83">IF(ISNA(INDEX($A$4:$A$20, MATCH(1, COUNTIF(M83, "*"&amp;$A$4:$A$20&amp;"*"), 0))),"",INDEX($A$4:$A$20, MATCH(1, COUNTIF(M83, "*"&amp;$A$4:$A$20&amp;"*"), 0)))</f>
        <v/>
      </c>
    </row>
    <row r="84" spans="13:15" x14ac:dyDescent="0.25">
      <c r="M84" s="1"/>
      <c r="N84" s="1"/>
      <c r="O84" s="11" t="str" cm="1">
        <f t="array" ref="O84">IF(ISNA(INDEX($A$4:$A$20, MATCH(1, COUNTIF(M84, "*"&amp;$A$4:$A$20&amp;"*"), 0))),"",INDEX($A$4:$A$20, MATCH(1, COUNTIF(M84, "*"&amp;$A$4:$A$20&amp;"*"), 0)))</f>
        <v/>
      </c>
    </row>
    <row r="85" spans="13:15" x14ac:dyDescent="0.25">
      <c r="M85" s="1"/>
      <c r="N85" s="1"/>
      <c r="O85" s="11" t="str" cm="1">
        <f t="array" ref="O85">IF(ISNA(INDEX($A$4:$A$20, MATCH(1, COUNTIF(M85, "*"&amp;$A$4:$A$20&amp;"*"), 0))),"",INDEX($A$4:$A$20, MATCH(1, COUNTIF(M85, "*"&amp;$A$4:$A$20&amp;"*"), 0)))</f>
        <v/>
      </c>
    </row>
    <row r="86" spans="13:15" x14ac:dyDescent="0.25">
      <c r="M86" s="1"/>
      <c r="N86" s="1"/>
      <c r="O86" s="11" t="str" cm="1">
        <f t="array" ref="O86">IF(ISNA(INDEX($A$4:$A$20, MATCH(1, COUNTIF(M86, "*"&amp;$A$4:$A$20&amp;"*"), 0))),"",INDEX($A$4:$A$20, MATCH(1, COUNTIF(M86, "*"&amp;$A$4:$A$20&amp;"*"), 0)))</f>
        <v/>
      </c>
    </row>
    <row r="87" spans="13:15" x14ac:dyDescent="0.25">
      <c r="M87" s="1"/>
      <c r="N87" s="1"/>
      <c r="O87" s="11" t="str" cm="1">
        <f t="array" ref="O87">IF(ISNA(INDEX($A$4:$A$20, MATCH(1, COUNTIF(M87, "*"&amp;$A$4:$A$20&amp;"*"), 0))),"",INDEX($A$4:$A$20, MATCH(1, COUNTIF(M87, "*"&amp;$A$4:$A$20&amp;"*"), 0)))</f>
        <v/>
      </c>
    </row>
    <row r="88" spans="13:15" x14ac:dyDescent="0.25">
      <c r="M88" s="1"/>
      <c r="N88" s="1"/>
      <c r="O88" s="11" t="str" cm="1">
        <f t="array" ref="O88">IF(ISNA(INDEX($A$4:$A$20, MATCH(1, COUNTIF(M88, "*"&amp;$A$4:$A$20&amp;"*"), 0))),"",INDEX($A$4:$A$20, MATCH(1, COUNTIF(M88, "*"&amp;$A$4:$A$20&amp;"*"), 0)))</f>
        <v/>
      </c>
    </row>
    <row r="89" spans="13:15" x14ac:dyDescent="0.25">
      <c r="M89" s="1"/>
      <c r="N89" s="1"/>
      <c r="O89" s="11" t="str" cm="1">
        <f t="array" ref="O89">IF(ISNA(INDEX($A$4:$A$20, MATCH(1, COUNTIF(M89, "*"&amp;$A$4:$A$20&amp;"*"), 0))),"",INDEX($A$4:$A$20, MATCH(1, COUNTIF(M89, "*"&amp;$A$4:$A$20&amp;"*"), 0)))</f>
        <v/>
      </c>
    </row>
    <row r="90" spans="13:15" x14ac:dyDescent="0.25">
      <c r="M90" s="1"/>
      <c r="N90" s="1"/>
      <c r="O90" s="11" t="str" cm="1">
        <f t="array" ref="O90">IF(ISNA(INDEX($A$4:$A$20, MATCH(1, COUNTIF(M90, "*"&amp;$A$4:$A$20&amp;"*"), 0))),"",INDEX($A$4:$A$20, MATCH(1, COUNTIF(M90, "*"&amp;$A$4:$A$20&amp;"*"), 0)))</f>
        <v/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7C0F-02C2-4115-8E47-FD45C680D213}">
  <sheetPr codeName="Sheet2"/>
  <dimension ref="A1:O13"/>
  <sheetViews>
    <sheetView workbookViewId="0">
      <selection activeCell="O1" sqref="O1"/>
    </sheetView>
  </sheetViews>
  <sheetFormatPr defaultRowHeight="15" x14ac:dyDescent="0.25"/>
  <sheetData>
    <row r="1" spans="1:15" x14ac:dyDescent="0.25">
      <c r="A1" t="s">
        <v>8</v>
      </c>
      <c r="B1" t="s">
        <v>21</v>
      </c>
      <c r="C1" t="s">
        <v>22</v>
      </c>
      <c r="F1" t="s">
        <v>27</v>
      </c>
      <c r="O1" t="s">
        <v>35</v>
      </c>
    </row>
    <row r="2" spans="1:15" x14ac:dyDescent="0.25">
      <c r="A2" t="s">
        <v>9</v>
      </c>
      <c r="F2" t="s">
        <v>28</v>
      </c>
    </row>
    <row r="3" spans="1:15" x14ac:dyDescent="0.25">
      <c r="A3" t="s">
        <v>10</v>
      </c>
      <c r="F3" t="s">
        <v>23</v>
      </c>
    </row>
    <row r="4" spans="1:15" x14ac:dyDescent="0.25">
      <c r="A4" t="s">
        <v>11</v>
      </c>
      <c r="F4" t="s">
        <v>24</v>
      </c>
    </row>
    <row r="5" spans="1:15" x14ac:dyDescent="0.25">
      <c r="A5" t="s">
        <v>12</v>
      </c>
      <c r="F5" t="s">
        <v>25</v>
      </c>
    </row>
    <row r="6" spans="1:15" x14ac:dyDescent="0.25">
      <c r="A6" t="s">
        <v>13</v>
      </c>
      <c r="F6" t="s">
        <v>26</v>
      </c>
    </row>
    <row r="7" spans="1:15" x14ac:dyDescent="0.25">
      <c r="A7" t="s">
        <v>14</v>
      </c>
    </row>
    <row r="8" spans="1:15" x14ac:dyDescent="0.25">
      <c r="A8" t="s">
        <v>15</v>
      </c>
    </row>
    <row r="9" spans="1:15" x14ac:dyDescent="0.25">
      <c r="A9" t="s">
        <v>16</v>
      </c>
    </row>
    <row r="10" spans="1:15" x14ac:dyDescent="0.25">
      <c r="A10" t="s">
        <v>17</v>
      </c>
    </row>
    <row r="11" spans="1:15" x14ac:dyDescent="0.25">
      <c r="A11" t="s">
        <v>18</v>
      </c>
    </row>
    <row r="12" spans="1:15" x14ac:dyDescent="0.25">
      <c r="A12" t="s">
        <v>19</v>
      </c>
    </row>
    <row r="13" spans="1:15" x14ac:dyDescent="0.25">
      <c r="A13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Email Information</vt:lpstr>
      <vt:lpstr>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2024-01-23T09:39:21Z</dcterms:created>
  <dcterms:modified xsi:type="dcterms:W3CDTF">2024-01-31T09:37:06Z</dcterms:modified>
</cp:coreProperties>
</file>