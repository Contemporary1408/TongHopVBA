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Duc Anh\"/>
    </mc:Choice>
  </mc:AlternateContent>
  <xr:revisionPtr revIDLastSave="0" documentId="13_ncr:1_{7D841D6B-CE46-4459-9AC5-8E194D5DE760}" xr6:coauthVersionLast="47" xr6:coauthVersionMax="47" xr10:uidLastSave="{00000000-0000-0000-0000-000000000000}"/>
  <bookViews>
    <workbookView xWindow="-120" yWindow="-120" windowWidth="20730" windowHeight="11040" xr2:uid="{DAB2A596-BACF-46FA-BD57-8002EB43CC06}"/>
  </bookViews>
  <sheets>
    <sheet name="F-65 data" sheetId="1" r:id="rId1"/>
  </sheets>
  <definedNames>
    <definedName name="__1_９９下予算部門別科目別集計表">#REF!</definedName>
    <definedName name="__PA12">#REF!</definedName>
    <definedName name="__PB06">#REF!</definedName>
    <definedName name="__PB12">#REF!</definedName>
    <definedName name="__PR01">#REF!</definedName>
    <definedName name="__PR12">#REF!</definedName>
    <definedName name="_1_９９下予算部門別科目別集計表">#REF!</definedName>
    <definedName name="_20e11_" hidden="1">{"'部署一覧'!$A$1384:$G$1490"}</definedName>
    <definedName name="_21e12_" hidden="1">{"'部署一覧'!$A$1384:$G$1490"}</definedName>
    <definedName name="_Key1" hidden="1">#REF!</definedName>
    <definedName name="_LD1">#REF!</definedName>
    <definedName name="_Order1" hidden="1">255</definedName>
    <definedName name="_PA1">#REF!</definedName>
    <definedName name="_PA12">#REF!</definedName>
    <definedName name="_PB06">#REF!</definedName>
    <definedName name="_PB12">#REF!</definedName>
    <definedName name="_PR01">#REF!</definedName>
    <definedName name="_PR12">#REF!</definedName>
    <definedName name="_RD1">#REF!</definedName>
    <definedName name="_Regression_Int" hidden="1">1</definedName>
    <definedName name="_SCH0181">#REF!,#REF!,#REF!,#REF!,#REF!</definedName>
    <definedName name="_Sort" hidden="1">#REF!</definedName>
    <definedName name="_SR1">#REF!</definedName>
    <definedName name="AAA">#REF!</definedName>
    <definedName name="aaaa">#REF!</definedName>
    <definedName name="AAAA12">#REF!</definedName>
    <definedName name="abc">#REF!</definedName>
    <definedName name="abcd">#REF!</definedName>
    <definedName name="ACDATA">#REF!</definedName>
    <definedName name="AGENT">#REF!</definedName>
    <definedName name="APROFDATA">#REF!</definedName>
    <definedName name="AREPORT">#REF!</definedName>
    <definedName name="bbbb">#REF!</definedName>
    <definedName name="BS2VAS">#REF!</definedName>
    <definedName name="BSALE_A">#REF!,#REF!,#REF!,#REF!,#REF!</definedName>
    <definedName name="BSALE_B">#REF!,#REF!,#REF!,#REF!,#REF!</definedName>
    <definedName name="BSCOL">#REF!,#REF!,#REF!,#REF!,#REF!,#REF!,#REF!,#REF!,#REF!,#REF!,#REF!,#REF!</definedName>
    <definedName name="BSDATA">#REF!</definedName>
    <definedName name="BSDOT1">#REF!,#REF!,#REF!,#REF!,#REF!,#REF!,#REF!,#REF!,#REF!,#REF!,#REF!,#REF!,#REF!,#REF!,#REF!,#REF!</definedName>
    <definedName name="BSDOT2">#REF!,#REF!,#REF!,#REF!,#REF!,#REF!,#REF!</definedName>
    <definedName name="BUDDATA">#REF!</definedName>
    <definedName name="CAL_ADATA">#REF!</definedName>
    <definedName name="CAL_BDATA">#REF!</definedName>
    <definedName name="cccc">#REF!</definedName>
    <definedName name="CDNO">#REF!</definedName>
    <definedName name="CheckInputData">#REF!</definedName>
    <definedName name="CHK_ERR">#REF!</definedName>
    <definedName name="CHK_WAR">#REF!</definedName>
    <definedName name="CMNT_A">#REF!</definedName>
    <definedName name="CMNT_B">#REF!</definedName>
    <definedName name="CMNT_C">#REF!</definedName>
    <definedName name="CMNT_D">#REF!</definedName>
    <definedName name="COCODE">#REF!</definedName>
    <definedName name="CUR">#REF!</definedName>
    <definedName name="Data">#REF!</definedName>
    <definedName name="ｄｄ">#REF!</definedName>
    <definedName name="dddd">#REF!</definedName>
    <definedName name="DEF">#REF!</definedName>
    <definedName name="Dollars">#REF!</definedName>
    <definedName name="DOTAct">#REF!</definedName>
    <definedName name="DOTBud">#REF!</definedName>
    <definedName name="DOTCK">#REF!</definedName>
    <definedName name="eeee">#REF!</definedName>
    <definedName name="EISDATA">#REF!</definedName>
    <definedName name="EndMain">#REF!</definedName>
    <definedName name="ｆｆｆ">#REF!</definedName>
    <definedName name="fffff">#REF!</definedName>
    <definedName name="ｇｇｇ">#REF!</definedName>
    <definedName name="ｈｈｈ">#REF!</definedName>
    <definedName name="HTML1_1" hidden="1">"'[職制2000年4月.XLS]全体(0001)'!$K$8"</definedName>
    <definedName name="HTML1_10" hidden="1">""</definedName>
    <definedName name="HTML1_11" hidden="1">1</definedName>
    <definedName name="HTML1_12" hidden="1">"E:SH0004.htm"</definedName>
    <definedName name="HTML1_2" hidden="1">1</definedName>
    <definedName name="HTML1_3" hidden="1">"職制図（2000/4/1)"</definedName>
    <definedName name="HTML1_4" hidden="1">"職制図（2000/4/1)"</definedName>
    <definedName name="HTML1_5" hidden="1">""</definedName>
    <definedName name="HTML1_6" hidden="1">-4146</definedName>
    <definedName name="HTML1_7" hidden="1">-4146</definedName>
    <definedName name="HTML1_8" hidden="1">"2000/04/27"</definedName>
    <definedName name="HTML1_9" hidden="1">"株式会社ブリヂストン"</definedName>
    <definedName name="HTMLCount" hidden="1">1</definedName>
    <definedName name="INPUT">#REF!</definedName>
    <definedName name="LANG">#REF!</definedName>
    <definedName name="LD">#REF!</definedName>
    <definedName name="MANAGE">#REF!</definedName>
    <definedName name="noneed">#REF!</definedName>
    <definedName name="ORRモールド計">#REF!</definedName>
    <definedName name="ORSﾓｰﾙﾄﾞ計">#REF!</definedName>
    <definedName name="OTDOT">#REF!,#REF!,#REF!,#REF!</definedName>
    <definedName name="OTHERDATA">#REF!</definedName>
    <definedName name="PA">#REF!</definedName>
    <definedName name="PAXX">#REF!</definedName>
    <definedName name="PBXX">#REF!</definedName>
    <definedName name="Person">#REF!</definedName>
    <definedName name="PLCOL">#REF!,#REF!,#REF!,#REF!,#REF!,#REF!,#REF!,#REF!</definedName>
    <definedName name="PLDATA">#REF!</definedName>
    <definedName name="PLDOT">#REF!,#REF!,#REF!,#REF!,#REF!,#REF!,#REF!,#REF!,#REF!,#REF!,#REF!,#REF!</definedName>
    <definedName name="PREDATA">#REF!</definedName>
    <definedName name="PROFDATA">#REF!</definedName>
    <definedName name="PROFRATE">#REF!</definedName>
    <definedName name="PRXX">#REF!</definedName>
    <definedName name="RD">#REF!</definedName>
    <definedName name="RECONAME">#REF!</definedName>
    <definedName name="REMON">#REF!</definedName>
    <definedName name="REPACT">#REF!</definedName>
    <definedName name="REYEAR">#REF!</definedName>
    <definedName name="ｓ" hidden="1">#REF!</definedName>
    <definedName name="SALE">#REF!</definedName>
    <definedName name="SC">#REF!</definedName>
    <definedName name="SECT1">#REF!</definedName>
    <definedName name="SECT2">#REF!</definedName>
    <definedName name="SECT3">#REF!</definedName>
    <definedName name="SPEC3">#REF!</definedName>
    <definedName name="SR">#REF!</definedName>
    <definedName name="SREPORT">#REF!</definedName>
    <definedName name="ｓｓ">#REF!</definedName>
    <definedName name="ｓｓｓｓ">#REF!</definedName>
    <definedName name="ｓｓｓｓｓ">#REF!</definedName>
    <definedName name="TAXRATE12">#REF!</definedName>
    <definedName name="TYPE">#REF!</definedName>
    <definedName name="VAS">#REF!</definedName>
    <definedName name="WorkBud">#REF!</definedName>
    <definedName name="YBUDDATA">#REF!</definedName>
    <definedName name="YPROFDATA">#REF!</definedName>
    <definedName name="ｚｚ">#REF!</definedName>
    <definedName name="ZzZ">#REF!</definedName>
    <definedName name="ZZZZ">#REF!</definedName>
    <definedName name="あ">#REF!</definedName>
    <definedName name="あ１">#REF!</definedName>
    <definedName name="ガイドA011">#REF!</definedName>
    <definedName name="ガイドA111">#REF!</definedName>
    <definedName name="ガイドA121">#REF!</definedName>
    <definedName name="ガイドA131">#REF!</definedName>
    <definedName name="ガイドA132">#REF!</definedName>
    <definedName name="ガイドB011">#REF!</definedName>
    <definedName name="ガイドB021">#REF!</definedName>
    <definedName name="ガイドB111">#REF!</definedName>
    <definedName name="ガイドB121">#REF!</definedName>
    <definedName name="ガイドB211">#REF!</definedName>
    <definedName name="ガイドB212">#REF!</definedName>
    <definedName name="ガイドB311">#REF!</definedName>
    <definedName name="ガイドB321">#REF!</definedName>
    <definedName name="ガイドB331">#REF!</definedName>
    <definedName name="ガイドB332">#REF!</definedName>
    <definedName name="ガイドB411">#REF!</definedName>
    <definedName name="ガイドB421">#REF!</definedName>
    <definedName name="ガイドB422">#REF!</definedName>
    <definedName name="ガイドB511">#REF!</definedName>
    <definedName name="ガイドB512">#REF!</definedName>
    <definedName name="ガイドB513">#REF!</definedName>
    <definedName name="ガイドB514">#REF!</definedName>
    <definedName name="ガイドB611">#REF!</definedName>
    <definedName name="ガイドB621">#REF!</definedName>
    <definedName name="ガイドB711">#REF!</definedName>
    <definedName name="ガイドB721">#REF!</definedName>
    <definedName name="ガイドB731">#REF!</definedName>
    <definedName name="コンピュータ">#REF!</definedName>
    <definedName name="サンプルA111">#REF!</definedName>
    <definedName name="サンプルA121">#REF!</definedName>
    <definedName name="サンプルA131">#REF!</definedName>
    <definedName name="サンプルA132">#REF!</definedName>
    <definedName name="サンプルB111">#REF!</definedName>
    <definedName name="サンプルB121">#REF!</definedName>
    <definedName name="サンプルB211">#REF!</definedName>
    <definedName name="サンプルB212">#REF!</definedName>
    <definedName name="サンプルB311">#REF!</definedName>
    <definedName name="サンプルB321">#REF!</definedName>
    <definedName name="サンプルB331">#REF!</definedName>
    <definedName name="サンプルB411">#REF!</definedName>
    <definedName name="サンプルB421">#REF!</definedName>
    <definedName name="サンプルB422">#REF!</definedName>
    <definedName name="サンプルB511">#REF!</definedName>
    <definedName name="サンプルB512">#REF!</definedName>
    <definedName name="サンプルB513">#REF!</definedName>
    <definedName name="サンプルB514">#REF!</definedName>
    <definedName name="サンプルB611">#REF!</definedName>
    <definedName name="サンプルB621">#REF!</definedName>
    <definedName name="サンプルB711">#REF!</definedName>
    <definedName name="サンプルB731">#REF!</definedName>
    <definedName name="シｰトA011">#REF!</definedName>
    <definedName name="シｰトA111">#REF!</definedName>
    <definedName name="シｰトA121">#REF!</definedName>
    <definedName name="シｰトA131">#REF!</definedName>
    <definedName name="シｰトA132">#REF!</definedName>
    <definedName name="シｰトB011">#REF!</definedName>
    <definedName name="シｰトB021">#REF!</definedName>
    <definedName name="シｰトB111">#REF!</definedName>
    <definedName name="シｰトB121">#REF!</definedName>
    <definedName name="シｰトB211">#REF!</definedName>
    <definedName name="シｰトB212">#REF!</definedName>
    <definedName name="シｰトB311">#REF!</definedName>
    <definedName name="シｰトB321">#REF!</definedName>
    <definedName name="シｰトB331">#REF!</definedName>
    <definedName name="シｰトB411">#REF!</definedName>
    <definedName name="シｰトB421">#REF!</definedName>
    <definedName name="シｰトB422">#REF!</definedName>
    <definedName name="シｰトB511">#REF!</definedName>
    <definedName name="シｰトB512">#REF!</definedName>
    <definedName name="シｰトB513">#REF!</definedName>
    <definedName name="シｰトB514">#REF!</definedName>
    <definedName name="シｰトB611">#REF!</definedName>
    <definedName name="シｰトB621">#REF!</definedName>
    <definedName name="シｰトB711">#REF!</definedName>
    <definedName name="シｰトB731">#REF!</definedName>
    <definedName name="シｰト詳細1">#REF!</definedName>
    <definedName name="シｰト詳細2">#REF!</definedName>
    <definedName name="ﾃﾞｰﾀ転送DB1">#REF!</definedName>
    <definedName name="係数１">#REF!</definedName>
    <definedName name="係数１０">#REF!</definedName>
    <definedName name="係数１１">#REF!</definedName>
    <definedName name="係数２">#REF!</definedName>
    <definedName name="係数３">#REF!</definedName>
    <definedName name="係数４">#REF!</definedName>
    <definedName name="係数５">#REF!</definedName>
    <definedName name="係数６">#REF!</definedName>
    <definedName name="係数７">#REF!</definedName>
    <definedName name="係数８">#REF!</definedName>
    <definedName name="係数９">#REF!</definedName>
    <definedName name="保証課">#REF!</definedName>
    <definedName name="原動">#REF!</definedName>
    <definedName name="原料倉庫">#REF!</definedName>
    <definedName name="想定ﾊﾟｰｾﾝﾃｰｼﾞ">#REF!</definedName>
    <definedName name="生産施設">#REF!</definedName>
    <definedName name="福利総務">#REF!</definedName>
    <definedName name="範囲">#REF!</definedName>
    <definedName name="自動変更">#REF!</definedName>
    <definedName name="製造１課">#REF!</definedName>
    <definedName name="製造２課">#REF!</definedName>
    <definedName name="製造３課">#REF!</definedName>
    <definedName name="計">#REF!</definedName>
    <definedName name="計1">#REF!</definedName>
    <definedName name="設備">#REF!</definedName>
    <definedName name="転送速度">#REF!</definedName>
    <definedName name="電気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P7" i="1"/>
  <c r="P5" i="1"/>
  <c r="P4" i="1"/>
  <c r="P3" i="1"/>
  <c r="AT58" i="1" l="1"/>
  <c r="AV58" i="1" s="1"/>
  <c r="G58" i="1"/>
  <c r="F58" i="1"/>
  <c r="D58" i="1"/>
  <c r="C58" i="1"/>
  <c r="AT57" i="1"/>
  <c r="AV57" i="1" s="1"/>
  <c r="G57" i="1"/>
  <c r="F57" i="1"/>
  <c r="D57" i="1"/>
  <c r="C57" i="1"/>
  <c r="AT56" i="1"/>
  <c r="AV56" i="1" s="1"/>
  <c r="G56" i="1"/>
  <c r="F56" i="1"/>
  <c r="D56" i="1"/>
  <c r="C56" i="1"/>
  <c r="AT55" i="1"/>
  <c r="AV55" i="1" s="1"/>
  <c r="G55" i="1"/>
  <c r="F55" i="1"/>
  <c r="D55" i="1"/>
  <c r="C55" i="1"/>
  <c r="AT54" i="1"/>
  <c r="AV54" i="1" s="1"/>
  <c r="G54" i="1"/>
  <c r="F54" i="1"/>
  <c r="D54" i="1"/>
  <c r="C54" i="1"/>
  <c r="AT53" i="1"/>
  <c r="AV53" i="1" s="1"/>
  <c r="G53" i="1"/>
  <c r="F53" i="1"/>
  <c r="D53" i="1"/>
  <c r="C53" i="1"/>
  <c r="AT52" i="1"/>
  <c r="AV52" i="1" s="1"/>
  <c r="G52" i="1"/>
  <c r="F52" i="1"/>
  <c r="D52" i="1"/>
  <c r="C52" i="1"/>
  <c r="AT51" i="1"/>
  <c r="AV51" i="1" s="1"/>
  <c r="G51" i="1"/>
  <c r="F51" i="1"/>
  <c r="D51" i="1"/>
  <c r="C51" i="1"/>
  <c r="AT50" i="1"/>
  <c r="AV50" i="1" s="1"/>
  <c r="G50" i="1"/>
  <c r="F50" i="1"/>
  <c r="D50" i="1"/>
  <c r="C50" i="1"/>
  <c r="AT49" i="1"/>
  <c r="AV49" i="1" s="1"/>
  <c r="G49" i="1"/>
  <c r="F49" i="1"/>
  <c r="D49" i="1"/>
  <c r="C49" i="1"/>
  <c r="AT48" i="1"/>
  <c r="AV48" i="1" s="1"/>
  <c r="G48" i="1"/>
  <c r="F48" i="1"/>
  <c r="D48" i="1"/>
  <c r="C48" i="1"/>
  <c r="AT47" i="1"/>
  <c r="AV47" i="1" s="1"/>
  <c r="G47" i="1"/>
  <c r="F47" i="1"/>
  <c r="D47" i="1"/>
  <c r="C47" i="1"/>
  <c r="AT46" i="1"/>
  <c r="AV46" i="1" s="1"/>
  <c r="G46" i="1"/>
  <c r="F46" i="1"/>
  <c r="D46" i="1"/>
  <c r="C46" i="1"/>
  <c r="AT45" i="1"/>
  <c r="AV45" i="1" s="1"/>
  <c r="G45" i="1"/>
  <c r="F45" i="1"/>
  <c r="D45" i="1"/>
  <c r="C45" i="1"/>
  <c r="AT44" i="1"/>
  <c r="AV44" i="1" s="1"/>
  <c r="G44" i="1"/>
  <c r="F44" i="1"/>
  <c r="D44" i="1"/>
  <c r="C44" i="1"/>
  <c r="AT43" i="1"/>
  <c r="AV43" i="1" s="1"/>
  <c r="G43" i="1"/>
  <c r="F43" i="1"/>
  <c r="D43" i="1"/>
  <c r="C43" i="1"/>
  <c r="AT42" i="1"/>
  <c r="AV42" i="1" s="1"/>
  <c r="G42" i="1"/>
  <c r="F42" i="1"/>
  <c r="D42" i="1"/>
  <c r="C42" i="1"/>
  <c r="AT41" i="1"/>
  <c r="AV41" i="1" s="1"/>
  <c r="G41" i="1"/>
  <c r="F41" i="1"/>
  <c r="D41" i="1"/>
  <c r="C41" i="1"/>
  <c r="AT40" i="1"/>
  <c r="AV40" i="1" s="1"/>
  <c r="G40" i="1"/>
  <c r="F40" i="1"/>
  <c r="D40" i="1"/>
  <c r="C40" i="1"/>
  <c r="AT39" i="1"/>
  <c r="AV39" i="1" s="1"/>
  <c r="G39" i="1"/>
  <c r="F39" i="1"/>
  <c r="D39" i="1"/>
  <c r="C39" i="1"/>
  <c r="AT38" i="1"/>
  <c r="AV38" i="1" s="1"/>
  <c r="G38" i="1"/>
  <c r="F38" i="1"/>
  <c r="D38" i="1"/>
  <c r="C38" i="1"/>
  <c r="AT37" i="1"/>
  <c r="AV37" i="1" s="1"/>
  <c r="G37" i="1"/>
  <c r="F37" i="1"/>
  <c r="D37" i="1"/>
  <c r="C37" i="1"/>
  <c r="AT36" i="1"/>
  <c r="AV36" i="1" s="1"/>
  <c r="G36" i="1"/>
  <c r="F36" i="1"/>
  <c r="D36" i="1"/>
  <c r="C36" i="1"/>
  <c r="AT35" i="1"/>
  <c r="AV35" i="1" s="1"/>
  <c r="G35" i="1"/>
  <c r="F35" i="1"/>
  <c r="D35" i="1"/>
  <c r="C35" i="1"/>
  <c r="AT34" i="1"/>
  <c r="AV34" i="1" s="1"/>
  <c r="G34" i="1"/>
  <c r="F34" i="1"/>
  <c r="D34" i="1"/>
  <c r="C34" i="1"/>
  <c r="AT33" i="1"/>
  <c r="AV33" i="1" s="1"/>
  <c r="G33" i="1"/>
  <c r="F33" i="1"/>
  <c r="D33" i="1"/>
  <c r="C33" i="1"/>
  <c r="AT32" i="1"/>
  <c r="AV32" i="1" s="1"/>
  <c r="G32" i="1"/>
  <c r="F32" i="1"/>
  <c r="D32" i="1"/>
  <c r="C32" i="1"/>
  <c r="AT31" i="1"/>
  <c r="AV31" i="1" s="1"/>
  <c r="G31" i="1"/>
  <c r="F31" i="1"/>
  <c r="D31" i="1"/>
  <c r="C31" i="1"/>
  <c r="AT30" i="1"/>
  <c r="AV30" i="1" s="1"/>
  <c r="G30" i="1"/>
  <c r="F30" i="1"/>
  <c r="D30" i="1"/>
  <c r="C30" i="1"/>
  <c r="AT29" i="1"/>
  <c r="AV29" i="1" s="1"/>
  <c r="G29" i="1"/>
  <c r="F29" i="1"/>
  <c r="D29" i="1"/>
  <c r="C29" i="1"/>
  <c r="AT28" i="1"/>
  <c r="AV28" i="1" s="1"/>
  <c r="G28" i="1"/>
  <c r="F28" i="1"/>
  <c r="D28" i="1"/>
  <c r="C28" i="1"/>
  <c r="AT27" i="1"/>
  <c r="AV27" i="1" s="1"/>
  <c r="G27" i="1"/>
  <c r="F27" i="1"/>
  <c r="D27" i="1"/>
  <c r="C27" i="1"/>
  <c r="AT26" i="1"/>
  <c r="AV26" i="1" s="1"/>
  <c r="G26" i="1"/>
  <c r="F26" i="1"/>
  <c r="D26" i="1"/>
  <c r="C26" i="1"/>
  <c r="AT25" i="1"/>
  <c r="AV25" i="1" s="1"/>
  <c r="G25" i="1"/>
  <c r="F25" i="1"/>
  <c r="D25" i="1"/>
  <c r="C25" i="1"/>
  <c r="AT24" i="1"/>
  <c r="AV24" i="1" s="1"/>
  <c r="G24" i="1"/>
  <c r="F24" i="1"/>
  <c r="D24" i="1"/>
  <c r="C24" i="1"/>
  <c r="AT23" i="1"/>
  <c r="AV23" i="1" s="1"/>
  <c r="G23" i="1"/>
  <c r="F23" i="1"/>
  <c r="D23" i="1"/>
  <c r="C23" i="1"/>
  <c r="AT22" i="1"/>
  <c r="AV22" i="1" s="1"/>
  <c r="G22" i="1"/>
  <c r="F22" i="1"/>
  <c r="D22" i="1"/>
  <c r="C22" i="1"/>
  <c r="AT21" i="1"/>
  <c r="AV21" i="1" s="1"/>
  <c r="G21" i="1"/>
  <c r="F21" i="1"/>
  <c r="D21" i="1"/>
  <c r="C21" i="1"/>
  <c r="AT20" i="1"/>
  <c r="AV20" i="1" s="1"/>
  <c r="G20" i="1"/>
  <c r="F20" i="1"/>
  <c r="D20" i="1"/>
  <c r="C20" i="1"/>
  <c r="AT19" i="1"/>
  <c r="AV19" i="1" s="1"/>
  <c r="G19" i="1"/>
  <c r="F19" i="1"/>
  <c r="D19" i="1"/>
  <c r="C19" i="1"/>
  <c r="AT18" i="1"/>
  <c r="AV18" i="1" s="1"/>
  <c r="G18" i="1"/>
  <c r="F18" i="1"/>
  <c r="D18" i="1"/>
  <c r="C18" i="1"/>
  <c r="AT17" i="1"/>
  <c r="AV17" i="1" s="1"/>
  <c r="G17" i="1"/>
  <c r="F17" i="1"/>
  <c r="D17" i="1"/>
  <c r="C17" i="1"/>
  <c r="AT16" i="1"/>
  <c r="AV16" i="1" s="1"/>
  <c r="G16" i="1"/>
  <c r="F16" i="1"/>
  <c r="D16" i="1"/>
  <c r="C16" i="1"/>
  <c r="AT15" i="1"/>
  <c r="AV15" i="1" s="1"/>
  <c r="G15" i="1"/>
  <c r="F15" i="1"/>
  <c r="D15" i="1"/>
  <c r="C15" i="1"/>
  <c r="AT14" i="1"/>
  <c r="AV14" i="1" s="1"/>
  <c r="G14" i="1"/>
  <c r="F14" i="1"/>
  <c r="D14" i="1"/>
  <c r="C14" i="1"/>
  <c r="AT13" i="1"/>
  <c r="AV13" i="1" s="1"/>
  <c r="G13" i="1"/>
  <c r="F13" i="1"/>
  <c r="D13" i="1"/>
  <c r="C13" i="1"/>
  <c r="F10" i="1"/>
  <c r="R9" i="1"/>
  <c r="F9" i="1"/>
  <c r="F11" i="1" s="1"/>
  <c r="S10" i="1"/>
  <c r="R7" i="1"/>
  <c r="R5" i="1"/>
  <c r="R4" i="1"/>
  <c r="Q10" i="1"/>
  <c r="P10" i="1"/>
  <c r="N10" i="1"/>
  <c r="F1" i="1"/>
  <c r="U10" i="1" l="1"/>
  <c r="V10" i="1" s="1"/>
  <c r="I56" i="1"/>
  <c r="I52" i="1"/>
  <c r="I48" i="1"/>
  <c r="I44" i="1"/>
  <c r="I40" i="1"/>
  <c r="I36" i="1"/>
  <c r="I32" i="1"/>
  <c r="I28" i="1"/>
  <c r="I24" i="1"/>
  <c r="I20" i="1"/>
  <c r="I16" i="1"/>
  <c r="I57" i="1"/>
  <c r="I53" i="1"/>
  <c r="I49" i="1"/>
  <c r="I45" i="1"/>
  <c r="I41" i="1"/>
  <c r="I37" i="1"/>
  <c r="I33" i="1"/>
  <c r="I29" i="1"/>
  <c r="I25" i="1"/>
  <c r="I21" i="1"/>
  <c r="I17" i="1"/>
  <c r="I13" i="1"/>
  <c r="I58" i="1"/>
  <c r="I54" i="1"/>
  <c r="I50" i="1"/>
  <c r="I46" i="1"/>
  <c r="I42" i="1"/>
  <c r="I38" i="1"/>
  <c r="I34" i="1"/>
  <c r="I30" i="1"/>
  <c r="I26" i="1"/>
  <c r="I22" i="1"/>
  <c r="I18" i="1"/>
  <c r="I14" i="1"/>
  <c r="I19" i="1"/>
  <c r="I15" i="1"/>
  <c r="I55" i="1"/>
  <c r="I51" i="1"/>
  <c r="I47" i="1"/>
  <c r="I43" i="1"/>
  <c r="I39" i="1"/>
  <c r="I35" i="1"/>
  <c r="I31" i="1"/>
  <c r="I27" i="1"/>
  <c r="I23" i="1"/>
  <c r="M10" i="1"/>
  <c r="N11" i="1"/>
  <c r="R3" i="1"/>
  <c r="R10" i="1" s="1"/>
  <c r="T10" i="1" s="1"/>
</calcChain>
</file>

<file path=xl/sharedStrings.xml><?xml version="1.0" encoding="utf-8"?>
<sst xmlns="http://schemas.openxmlformats.org/spreadsheetml/2006/main" count="405" uniqueCount="124">
  <si>
    <t>Tcode: ZGF08 (F-65)</t>
  </si>
  <si>
    <t>Ex rate</t>
  </si>
  <si>
    <t>Phải sort theo thứ tự</t>
  </si>
  <si>
    <t xml:space="preserve">1. Sắp cột K theo thứ tự lớn </t>
  </si>
  <si>
    <t>SAP Doc</t>
  </si>
  <si>
    <t>Bravo Doc</t>
  </si>
  <si>
    <t>SAP</t>
  </si>
  <si>
    <t>File mềm</t>
  </si>
  <si>
    <t>Var.</t>
  </si>
  <si>
    <t>30.04.2024</t>
  </si>
  <si>
    <t>00000048</t>
  </si>
  <si>
    <t>2. Sắp cột BO theo thứ tự nhỏ</t>
  </si>
  <si>
    <t>AP-24-1108</t>
  </si>
  <si>
    <t>V10179BFA</t>
  </si>
  <si>
    <t>V10179B</t>
  </si>
  <si>
    <t>V4057B0FA</t>
  </si>
  <si>
    <t>V4057B0</t>
  </si>
  <si>
    <t>V10179CImport</t>
  </si>
  <si>
    <t>V10179C</t>
  </si>
  <si>
    <t>Inventory</t>
  </si>
  <si>
    <t>V10179CExport</t>
  </si>
  <si>
    <t>V4057C0Import</t>
  </si>
  <si>
    <t>V4057C0</t>
  </si>
  <si>
    <t>V4057C0Export</t>
  </si>
  <si>
    <t>40</t>
  </si>
  <si>
    <t>V10179A</t>
  </si>
  <si>
    <t>31</t>
  </si>
  <si>
    <t>A01</t>
  </si>
  <si>
    <t>TC25</t>
  </si>
  <si>
    <t>Creation Flag(1)</t>
  </si>
  <si>
    <t>Unit No. of slip(80)</t>
  </si>
  <si>
    <t>Posting Date(10)</t>
  </si>
  <si>
    <t>Document Date(10)</t>
  </si>
  <si>
    <t>Document Type(5)</t>
  </si>
  <si>
    <t>Reference(16)</t>
  </si>
  <si>
    <t>Doc. Header text(25)</t>
  </si>
  <si>
    <t>Currency(5)</t>
  </si>
  <si>
    <t>Exchange Rate(11)</t>
  </si>
  <si>
    <t>Translation Date(10)</t>
  </si>
  <si>
    <t>Posting Key(2)</t>
  </si>
  <si>
    <t>Account Code(17)</t>
  </si>
  <si>
    <t>G/L Account(10)</t>
  </si>
  <si>
    <t>Amount in Doc. Currency(14)</t>
  </si>
  <si>
    <t>Amount in Local Currency(14)</t>
  </si>
  <si>
    <t>Tax Base Amount in Document Currency(14)</t>
  </si>
  <si>
    <t>Calculate tax(1)</t>
  </si>
  <si>
    <t>Tax Code(2)</t>
  </si>
  <si>
    <t>Payment Block(1)</t>
  </si>
  <si>
    <t>Payment Method(1)</t>
  </si>
  <si>
    <t>Business Place(4)</t>
  </si>
  <si>
    <t>Assignment(18)</t>
  </si>
  <si>
    <t>Text(50)</t>
  </si>
  <si>
    <t>Number of Invoice(10)</t>
  </si>
  <si>
    <t>Fiscal Year of Relevant Invoice(4)</t>
  </si>
  <si>
    <t>Line Item of Relevant Invoice(3)</t>
  </si>
  <si>
    <t>Reference specification 1(12)</t>
  </si>
  <si>
    <t>Reference specification 2(12)</t>
  </si>
  <si>
    <t>Reference specification 3(20)</t>
  </si>
  <si>
    <t>Material(18)</t>
  </si>
  <si>
    <t>Cost center(10)</t>
  </si>
  <si>
    <t>Internal Order(12)</t>
  </si>
  <si>
    <t>Sales Order(10)</t>
  </si>
  <si>
    <t>Sales Order Item(6)</t>
  </si>
  <si>
    <t>Delivery Schedule for SO(4)</t>
  </si>
  <si>
    <t>Personnel number(8)</t>
  </si>
  <si>
    <t>Plant(4)</t>
  </si>
  <si>
    <t>Business Area(4)</t>
  </si>
  <si>
    <t>Quantity(14)</t>
  </si>
  <si>
    <t>Unit of Measure(3)</t>
  </si>
  <si>
    <t>Profit Center(10)</t>
  </si>
  <si>
    <t>Partner(10)</t>
  </si>
  <si>
    <t>Functional Area(4)</t>
  </si>
  <si>
    <t>Purchase order(10)</t>
  </si>
  <si>
    <t>Purchase order Item(5)</t>
  </si>
  <si>
    <t>Baseline Date(10)</t>
  </si>
  <si>
    <t>Value date(10)</t>
  </si>
  <si>
    <t>Payment terms(4)</t>
  </si>
  <si>
    <t>Cash Discount Days 1(3)</t>
  </si>
  <si>
    <t>Cash Discount Days 2(3)</t>
  </si>
  <si>
    <t>Cash Discount Percentage 2(6)</t>
  </si>
  <si>
    <t>Net Payment Terms Period(3)</t>
  </si>
  <si>
    <t>Own Bank(5)</t>
  </si>
  <si>
    <t>Bank Business Partners(4)</t>
  </si>
  <si>
    <t>Instruction Key 1(2)</t>
  </si>
  <si>
    <t>Instruction Key 2(2)</t>
  </si>
  <si>
    <t>Instruction Key 3(2)</t>
  </si>
  <si>
    <t>Instruction Key 4(2)</t>
  </si>
  <si>
    <t>Payment Reference(30)</t>
  </si>
  <si>
    <t>Payment currency amount(14)</t>
  </si>
  <si>
    <t>WHT Code(2)</t>
  </si>
  <si>
    <t>WHT Base Amount(16)</t>
  </si>
  <si>
    <t>WHT Amount(16)</t>
  </si>
  <si>
    <t>SCB Indicator(3)</t>
  </si>
  <si>
    <t>Supplying Country(3)</t>
  </si>
  <si>
    <t>Column1</t>
  </si>
  <si>
    <t>Column2</t>
  </si>
  <si>
    <t>KR</t>
  </si>
  <si>
    <t>VND</t>
  </si>
  <si>
    <t>P0</t>
  </si>
  <si>
    <t>Imported fee for Inv.24-046</t>
  </si>
  <si>
    <t>62771301321M</t>
  </si>
  <si>
    <t>206103</t>
  </si>
  <si>
    <t>Imported fee for Inv.4004729229</t>
  </si>
  <si>
    <t>627305118411</t>
  </si>
  <si>
    <t>901480</t>
  </si>
  <si>
    <t>Imported fee for Inv.4004729229/FA</t>
  </si>
  <si>
    <t>OT00165</t>
  </si>
  <si>
    <t>206101</t>
  </si>
  <si>
    <t>62730511321M</t>
  </si>
  <si>
    <t>Imported fee for Inv.3211</t>
  </si>
  <si>
    <t>62720801852J</t>
  </si>
  <si>
    <t>Imported fee for Inv.BTMV-240408-1</t>
  </si>
  <si>
    <t>627301018514</t>
  </si>
  <si>
    <t>627208013212</t>
  </si>
  <si>
    <t>627305113212</t>
  </si>
  <si>
    <t>Imported fee for Inv.BTMV-240408-1/FA</t>
  </si>
  <si>
    <t>62730401851I</t>
  </si>
  <si>
    <t>62720801851L</t>
  </si>
  <si>
    <t>62730101851I</t>
  </si>
  <si>
    <t>Imported fee for Inv.T-3232</t>
  </si>
  <si>
    <t>62770606831U</t>
  </si>
  <si>
    <t xml:space="preserve">but </t>
  </si>
  <si>
    <t>VHACS11</t>
  </si>
  <si>
    <t>Bridgestone@2024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</si>
</sst>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dd\.mm\.yyyy"/>
    <numFmt numFmtId="166" formatCode="\(General\)"/>
    <numFmt numFmtId="167" formatCode="_-* #,##0.00000_-;\-* #,##0.00000_-;_-* &quot;-&quot;??_-;_-@_-"/>
    <numFmt numFmtId="168" formatCode="0#"/>
    <numFmt numFmtId="169" formatCode="_-* #,##0.00_-;\-* #,##0.00_-;_-* &quot;-&quot;??_-;_-@_-"/>
    <numFmt numFmtId="170" formatCode="0.00000"/>
    <numFmt numFmtId="171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2"/>
      <name val="Times New Roman"/>
      <family val="1"/>
    </font>
    <font>
      <b/>
      <u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</font>
    <font>
      <sz val="15"/>
      <color theme="0" tint="-4.9989318521683403E-2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0" fontId="1" fillId="0" borderId="0"/>
    <xf numFmtId="0" fontId="3" fillId="0" borderId="0"/>
    <xf numFmtId="0" fontId="8" fillId="0" borderId="0"/>
    <xf numFmtId="0" fontId="1" fillId="0" borderId="0"/>
    <xf numFmtId="0" fontId="1" fillId="0" borderId="0"/>
  </cellStyleXfs>
  <cellXfs count="106">
    <xf numFmtId="0" fontId="0" fillId="0" borderId="0" xfId="0"/>
    <xf numFmtId="0" fontId="2" fillId="0" borderId="0" xfId="2" applyFont="1"/>
    <xf numFmtId="0" fontId="3" fillId="0" borderId="0" xfId="3"/>
    <xf numFmtId="0" fontId="4" fillId="0" borderId="0" xfId="3" applyFont="1"/>
    <xf numFmtId="43" fontId="5" fillId="0" borderId="0" xfId="1" applyFont="1"/>
    <xf numFmtId="0" fontId="3" fillId="0" borderId="0" xfId="3" applyAlignment="1">
      <alignment horizontal="right"/>
    </xf>
    <xf numFmtId="0" fontId="6" fillId="2" borderId="0" xfId="3" applyFont="1" applyFill="1"/>
    <xf numFmtId="0" fontId="5" fillId="0" borderId="0" xfId="3" applyFont="1"/>
    <xf numFmtId="0" fontId="6" fillId="0" borderId="0" xfId="3" applyFont="1"/>
    <xf numFmtId="0" fontId="7" fillId="3" borderId="1" xfId="3" applyFont="1" applyFill="1" applyBorder="1" applyAlignment="1">
      <alignment horizontal="center"/>
    </xf>
    <xf numFmtId="164" fontId="7" fillId="3" borderId="1" xfId="1" applyNumberFormat="1" applyFont="1" applyFill="1" applyBorder="1" applyAlignment="1">
      <alignment horizontal="center"/>
    </xf>
    <xf numFmtId="0" fontId="3" fillId="3" borderId="0" xfId="3" applyFill="1"/>
    <xf numFmtId="165" fontId="9" fillId="4" borderId="2" xfId="4" applyNumberFormat="1" applyFont="1" applyFill="1" applyBorder="1" applyAlignment="1">
      <alignment vertical="center"/>
    </xf>
    <xf numFmtId="165" fontId="9" fillId="4" borderId="2" xfId="4" quotePrefix="1" applyNumberFormat="1" applyFont="1" applyFill="1" applyBorder="1" applyAlignment="1">
      <alignment vertical="center"/>
    </xf>
    <xf numFmtId="43" fontId="5" fillId="0" borderId="0" xfId="1" applyFont="1" applyAlignment="1">
      <alignment horizontal="left"/>
    </xf>
    <xf numFmtId="0" fontId="10" fillId="0" borderId="0" xfId="3" quotePrefix="1" applyFont="1" applyAlignment="1">
      <alignment horizontal="left"/>
    </xf>
    <xf numFmtId="0" fontId="10" fillId="0" borderId="0" xfId="3" applyFont="1" applyAlignment="1">
      <alignment horizontal="left"/>
    </xf>
    <xf numFmtId="0" fontId="7" fillId="3" borderId="0" xfId="3" applyFont="1" applyFill="1" applyAlignment="1">
      <alignment horizontal="center"/>
    </xf>
    <xf numFmtId="164" fontId="7" fillId="3" borderId="0" xfId="1" applyNumberFormat="1" applyFont="1" applyFill="1" applyBorder="1" applyAlignment="1">
      <alignment horizontal="center"/>
    </xf>
    <xf numFmtId="0" fontId="3" fillId="0" borderId="0" xfId="3" applyAlignment="1">
      <alignment horizontal="left"/>
    </xf>
    <xf numFmtId="4" fontId="3" fillId="0" borderId="0" xfId="3" applyNumberFormat="1"/>
    <xf numFmtId="164" fontId="3" fillId="0" borderId="3" xfId="1" applyNumberFormat="1" applyBorder="1" applyAlignment="1">
      <alignment horizontal="left"/>
    </xf>
    <xf numFmtId="0" fontId="11" fillId="0" borderId="3" xfId="3" applyFont="1" applyBorder="1" applyAlignment="1">
      <alignment horizontal="center"/>
    </xf>
    <xf numFmtId="164" fontId="0" fillId="0" borderId="3" xfId="1" applyNumberFormat="1" applyFont="1" applyBorder="1"/>
    <xf numFmtId="164" fontId="12" fillId="0" borderId="3" xfId="1" applyNumberFormat="1" applyFont="1" applyBorder="1"/>
    <xf numFmtId="164" fontId="12" fillId="0" borderId="3" xfId="3" applyNumberFormat="1" applyFont="1" applyBorder="1"/>
    <xf numFmtId="0" fontId="13" fillId="0" borderId="0" xfId="5" applyFont="1" applyAlignment="1">
      <alignment horizontal="left"/>
    </xf>
    <xf numFmtId="43" fontId="3" fillId="0" borderId="0" xfId="1" applyAlignment="1">
      <alignment horizontal="left"/>
    </xf>
    <xf numFmtId="164" fontId="3" fillId="0" borderId="2" xfId="1" applyNumberFormat="1" applyBorder="1" applyAlignment="1">
      <alignment horizontal="left"/>
    </xf>
    <xf numFmtId="0" fontId="11" fillId="0" borderId="2" xfId="3" applyFont="1" applyBorder="1" applyAlignment="1">
      <alignment horizontal="center"/>
    </xf>
    <xf numFmtId="164" fontId="0" fillId="0" borderId="2" xfId="1" applyNumberFormat="1" applyFont="1" applyBorder="1"/>
    <xf numFmtId="164" fontId="12" fillId="0" borderId="2" xfId="1" applyNumberFormat="1" applyFont="1" applyBorder="1"/>
    <xf numFmtId="164" fontId="12" fillId="0" borderId="2" xfId="3" applyNumberFormat="1" applyFont="1" applyBorder="1"/>
    <xf numFmtId="43" fontId="3" fillId="0" borderId="0" xfId="3" applyNumberFormat="1" applyAlignment="1">
      <alignment horizontal="left"/>
    </xf>
    <xf numFmtId="0" fontId="14" fillId="0" borderId="0" xfId="3" quotePrefix="1" applyFont="1" applyAlignment="1">
      <alignment horizontal="right"/>
    </xf>
    <xf numFmtId="43" fontId="1" fillId="0" borderId="0" xfId="1" quotePrefix="1" applyFont="1" applyAlignment="1">
      <alignment horizontal="center"/>
    </xf>
    <xf numFmtId="43" fontId="1" fillId="0" borderId="0" xfId="1" quotePrefix="1" applyFont="1" applyAlignment="1">
      <alignment horizontal="left"/>
    </xf>
    <xf numFmtId="0" fontId="3" fillId="0" borderId="2" xfId="3" applyBorder="1" applyAlignment="1">
      <alignment horizontal="left"/>
    </xf>
    <xf numFmtId="0" fontId="11" fillId="0" borderId="2" xfId="3" quotePrefix="1" applyFont="1" applyBorder="1" applyAlignment="1">
      <alignment horizontal="center"/>
    </xf>
    <xf numFmtId="164" fontId="3" fillId="0" borderId="2" xfId="3" applyNumberFormat="1" applyBorder="1" applyAlignment="1">
      <alignment horizontal="left"/>
    </xf>
    <xf numFmtId="164" fontId="6" fillId="0" borderId="4" xfId="1" applyNumberFormat="1" applyFont="1" applyBorder="1"/>
    <xf numFmtId="0" fontId="3" fillId="0" borderId="4" xfId="3" applyBorder="1" applyAlignment="1">
      <alignment horizontal="left"/>
    </xf>
    <xf numFmtId="43" fontId="5" fillId="0" borderId="0" xfId="3" applyNumberFormat="1" applyFont="1" applyAlignment="1">
      <alignment horizontal="left"/>
    </xf>
    <xf numFmtId="0" fontId="14" fillId="0" borderId="0" xfId="3" quotePrefix="1" applyFont="1" applyAlignment="1">
      <alignment horizontal="left" vertical="top"/>
    </xf>
    <xf numFmtId="164" fontId="3" fillId="0" borderId="0" xfId="3" applyNumberFormat="1"/>
    <xf numFmtId="164" fontId="3" fillId="0" borderId="0" xfId="1" applyNumberFormat="1"/>
    <xf numFmtId="43" fontId="3" fillId="0" borderId="0" xfId="3" applyNumberFormat="1"/>
    <xf numFmtId="0" fontId="9" fillId="0" borderId="5" xfId="3" applyFont="1" applyBorder="1" applyAlignment="1">
      <alignment vertical="center"/>
    </xf>
    <xf numFmtId="165" fontId="9" fillId="0" borderId="2" xfId="4" applyNumberFormat="1" applyFont="1" applyBorder="1"/>
    <xf numFmtId="166" fontId="15" fillId="5" borderId="6" xfId="3" applyNumberFormat="1" applyFont="1" applyFill="1" applyBorder="1" applyAlignment="1">
      <alignment horizontal="center" vertical="center"/>
    </xf>
    <xf numFmtId="166" fontId="15" fillId="5" borderId="7" xfId="3" applyNumberFormat="1" applyFont="1" applyFill="1" applyBorder="1" applyAlignment="1">
      <alignment horizontal="center" vertical="center"/>
    </xf>
    <xf numFmtId="165" fontId="15" fillId="5" borderId="7" xfId="3" applyNumberFormat="1" applyFont="1" applyFill="1" applyBorder="1" applyAlignment="1">
      <alignment horizontal="center" vertical="center"/>
    </xf>
    <xf numFmtId="166" fontId="15" fillId="5" borderId="7" xfId="3" applyNumberFormat="1" applyFont="1" applyFill="1" applyBorder="1" applyAlignment="1">
      <alignment horizontal="left" vertical="center"/>
    </xf>
    <xf numFmtId="167" fontId="15" fillId="5" borderId="7" xfId="1" quotePrefix="1" applyNumberFormat="1" applyFont="1" applyFill="1" applyBorder="1" applyAlignment="1">
      <alignment horizontal="right" vertical="center"/>
    </xf>
    <xf numFmtId="168" fontId="15" fillId="5" borderId="7" xfId="3" applyNumberFormat="1" applyFont="1" applyFill="1" applyBorder="1" applyAlignment="1">
      <alignment horizontal="center" vertical="center"/>
    </xf>
    <xf numFmtId="169" fontId="15" fillId="5" borderId="7" xfId="1" applyNumberFormat="1" applyFont="1" applyFill="1" applyBorder="1" applyAlignment="1">
      <alignment horizontal="center" vertical="center"/>
    </xf>
    <xf numFmtId="164" fontId="15" fillId="5" borderId="7" xfId="1" applyNumberFormat="1" applyFont="1" applyFill="1" applyBorder="1" applyAlignment="1">
      <alignment horizontal="center" vertical="center"/>
    </xf>
    <xf numFmtId="166" fontId="16" fillId="6" borderId="7" xfId="3" applyNumberFormat="1" applyFont="1" applyFill="1" applyBorder="1" applyAlignment="1">
      <alignment horizontal="center" vertical="center"/>
    </xf>
    <xf numFmtId="166" fontId="15" fillId="5" borderId="8" xfId="3" applyNumberFormat="1" applyFont="1" applyFill="1" applyBorder="1" applyAlignment="1">
      <alignment horizontal="center" vertical="center"/>
    </xf>
    <xf numFmtId="0" fontId="17" fillId="0" borderId="9" xfId="3" applyFont="1" applyBorder="1" applyAlignment="1">
      <alignment horizontal="center" vertical="center"/>
    </xf>
    <xf numFmtId="0" fontId="17" fillId="0" borderId="5" xfId="3" applyFont="1" applyBorder="1" applyAlignment="1">
      <alignment horizontal="center"/>
    </xf>
    <xf numFmtId="165" fontId="17" fillId="0" borderId="5" xfId="3" applyNumberFormat="1" applyFont="1" applyBorder="1" applyAlignment="1">
      <alignment horizontal="left" vertical="center"/>
    </xf>
    <xf numFmtId="0" fontId="17" fillId="0" borderId="5" xfId="3" applyFont="1" applyBorder="1" applyAlignment="1">
      <alignment horizontal="left"/>
    </xf>
    <xf numFmtId="170" fontId="17" fillId="0" borderId="5" xfId="1" applyNumberFormat="1" applyFont="1" applyFill="1" applyBorder="1" applyAlignment="1">
      <alignment horizontal="center"/>
    </xf>
    <xf numFmtId="0" fontId="17" fillId="0" borderId="5" xfId="3" applyFont="1" applyBorder="1"/>
    <xf numFmtId="168" fontId="17" fillId="0" borderId="5" xfId="3" applyNumberFormat="1" applyFont="1" applyBorder="1" applyAlignment="1">
      <alignment horizontal="center" vertical="center"/>
    </xf>
    <xf numFmtId="0" fontId="18" fillId="0" borderId="5" xfId="3" applyFont="1" applyBorder="1" applyAlignment="1">
      <alignment horizontal="center" vertical="center"/>
    </xf>
    <xf numFmtId="164" fontId="9" fillId="0" borderId="5" xfId="3" applyNumberFormat="1" applyFont="1" applyBorder="1"/>
    <xf numFmtId="171" fontId="18" fillId="0" borderId="5" xfId="1" applyNumberFormat="1" applyFont="1" applyBorder="1" applyAlignment="1">
      <alignment horizontal="right"/>
    </xf>
    <xf numFmtId="164" fontId="17" fillId="0" borderId="5" xfId="1" applyNumberFormat="1" applyFont="1" applyBorder="1" applyAlignment="1"/>
    <xf numFmtId="171" fontId="17" fillId="0" borderId="5" xfId="3" applyNumberFormat="1" applyFont="1" applyBorder="1" applyAlignment="1">
      <alignment horizontal="center"/>
    </xf>
    <xf numFmtId="164" fontId="17" fillId="0" borderId="5" xfId="3" applyNumberFormat="1" applyFont="1" applyBorder="1"/>
    <xf numFmtId="164" fontId="19" fillId="0" borderId="5" xfId="3" applyNumberFormat="1" applyFont="1" applyBorder="1"/>
    <xf numFmtId="0" fontId="18" fillId="0" borderId="5" xfId="3" applyFont="1" applyBorder="1" applyAlignment="1">
      <alignment horizontal="left"/>
    </xf>
    <xf numFmtId="0" fontId="18" fillId="0" borderId="5" xfId="3" applyFont="1" applyBorder="1"/>
    <xf numFmtId="0" fontId="17" fillId="0" borderId="5" xfId="3" applyFont="1" applyBorder="1" applyAlignment="1">
      <alignment vertical="center"/>
    </xf>
    <xf numFmtId="0" fontId="17" fillId="0" borderId="10" xfId="3" applyFont="1" applyBorder="1"/>
    <xf numFmtId="0" fontId="20" fillId="0" borderId="5" xfId="6" applyFont="1" applyBorder="1"/>
    <xf numFmtId="0" fontId="20" fillId="0" borderId="7" xfId="3" applyFont="1" applyBorder="1"/>
    <xf numFmtId="0" fontId="9" fillId="0" borderId="5" xfId="3" applyFont="1" applyBorder="1" applyAlignment="1">
      <alignment horizontal="center" vertical="center"/>
    </xf>
    <xf numFmtId="164" fontId="9" fillId="0" borderId="5" xfId="3" quotePrefix="1" applyNumberFormat="1" applyFont="1" applyBorder="1"/>
    <xf numFmtId="171" fontId="9" fillId="0" borderId="5" xfId="1" applyNumberFormat="1" applyFont="1" applyBorder="1" applyAlignment="1">
      <alignment horizontal="right"/>
    </xf>
    <xf numFmtId="0" fontId="17" fillId="0" borderId="5" xfId="3" quotePrefix="1" applyFont="1" applyBorder="1"/>
    <xf numFmtId="0" fontId="9" fillId="0" borderId="5" xfId="4" applyFont="1" applyBorder="1"/>
    <xf numFmtId="0" fontId="9" fillId="0" borderId="2" xfId="4" applyFont="1" applyBorder="1"/>
    <xf numFmtId="0" fontId="20" fillId="0" borderId="5" xfId="3" applyFont="1" applyBorder="1"/>
    <xf numFmtId="0" fontId="17" fillId="0" borderId="11" xfId="3" applyFont="1" applyBorder="1" applyAlignment="1">
      <alignment horizontal="center"/>
    </xf>
    <xf numFmtId="170" fontId="17" fillId="0" borderId="11" xfId="1" applyNumberFormat="1" applyFont="1" applyFill="1" applyBorder="1" applyAlignment="1">
      <alignment horizontal="center"/>
    </xf>
    <xf numFmtId="168" fontId="17" fillId="0" borderId="11" xfId="3" applyNumberFormat="1" applyFont="1" applyBorder="1" applyAlignment="1">
      <alignment horizontal="center" vertical="center"/>
    </xf>
    <xf numFmtId="0" fontId="17" fillId="0" borderId="2" xfId="3" applyFont="1" applyBorder="1" applyAlignment="1">
      <alignment vertical="center"/>
    </xf>
    <xf numFmtId="165" fontId="9" fillId="0" borderId="12" xfId="4" applyNumberFormat="1" applyFont="1" applyBorder="1"/>
    <xf numFmtId="0" fontId="17" fillId="0" borderId="11" xfId="3" applyFont="1" applyBorder="1" applyAlignment="1">
      <alignment horizontal="left"/>
    </xf>
    <xf numFmtId="0" fontId="17" fillId="0" borderId="11" xfId="3" applyFont="1" applyBorder="1"/>
    <xf numFmtId="0" fontId="9" fillId="0" borderId="11" xfId="3" applyFont="1" applyBorder="1" applyAlignment="1">
      <alignment horizontal="center" vertical="center"/>
    </xf>
    <xf numFmtId="164" fontId="9" fillId="0" borderId="11" xfId="3" applyNumberFormat="1" applyFont="1" applyBorder="1"/>
    <xf numFmtId="171" fontId="9" fillId="0" borderId="11" xfId="1" applyNumberFormat="1" applyFont="1" applyBorder="1" applyAlignment="1">
      <alignment horizontal="right"/>
    </xf>
    <xf numFmtId="164" fontId="17" fillId="0" borderId="11" xfId="1" applyNumberFormat="1" applyFont="1" applyBorder="1" applyAlignment="1"/>
    <xf numFmtId="171" fontId="17" fillId="0" borderId="11" xfId="3" applyNumberFormat="1" applyFont="1" applyBorder="1" applyAlignment="1">
      <alignment horizontal="center"/>
    </xf>
    <xf numFmtId="164" fontId="17" fillId="0" borderId="11" xfId="3" applyNumberFormat="1" applyFont="1" applyBorder="1"/>
    <xf numFmtId="164" fontId="19" fillId="0" borderId="11" xfId="3" applyNumberFormat="1" applyFont="1" applyBorder="1"/>
    <xf numFmtId="0" fontId="17" fillId="0" borderId="11" xfId="3" applyFont="1" applyBorder="1" applyAlignment="1">
      <alignment vertical="center"/>
    </xf>
    <xf numFmtId="0" fontId="17" fillId="0" borderId="13" xfId="3" applyFont="1" applyBorder="1"/>
    <xf numFmtId="0" fontId="20" fillId="0" borderId="11" xfId="6" applyFont="1" applyBorder="1"/>
    <xf numFmtId="0" fontId="11" fillId="0" borderId="2" xfId="3" quotePrefix="1" applyFont="1" applyBorder="1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0" fontId="21" fillId="7" borderId="0" xfId="3" applyFont="1" applyFill="1"/>
  </cellXfs>
  <cellStyles count="7">
    <cellStyle name="Comma" xfId="1" builtinId="3"/>
    <cellStyle name="Normal" xfId="0" builtinId="0"/>
    <cellStyle name="Normal 166" xfId="4" xr:uid="{50CF8F6C-56E4-43D8-B0F0-21F7FE9DE3CF}"/>
    <cellStyle name="Normal 3 6" xfId="6" xr:uid="{B68F2BAB-8BF0-48BF-B7A4-0164F3B256F6}"/>
    <cellStyle name="Normal 3 6 10" xfId="3" xr:uid="{9AF59972-DFD8-4D2D-AD3A-42566F702762}"/>
    <cellStyle name="Normal 357" xfId="5" xr:uid="{D15765C7-2577-4CB5-9E05-7C53DDD88394}"/>
    <cellStyle name="Normal 47 2 2 2" xfId="2" xr:uid="{6FB9CDBB-0C8D-4E4C-B745-AC7D88B92219}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* #,##0_-;\-* #,##0_-;_-* &quot;-&quot;??_-;_-@_-"/>
      <alignment horizontal="righ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0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0#"/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_-* #,##0.00000_-;\-* #,##0.00000_-;_-* &quot;-&quot;??_-;_-@_-"/>
      <alignment horizontal="righ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0" formatCode="0.00000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rgb="FF000000"/>
        </top>
      </border>
    </dxf>
    <dxf>
      <alignment textRotation="0" wrapText="0" indent="0" justifyLastLine="0" shrinkToFit="0" readingOrder="0"/>
    </dxf>
    <dxf>
      <border outline="0">
        <left style="hair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\(General\)"/>
      <alignment textRotation="0" wrapText="0" indent="0" justifyLastLine="0" shrinkToFit="0" readingOrder="0"/>
    </dxf>
    <dxf>
      <border outline="0">
        <bottom style="hair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\(General\)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40822</xdr:colOff>
      <xdr:row>4</xdr:row>
      <xdr:rowOff>1</xdr:rowOff>
    </xdr:from>
    <xdr:to>
      <xdr:col>9</xdr:col>
      <xdr:colOff>680358</xdr:colOff>
      <xdr:row>7</xdr:row>
      <xdr:rowOff>95250</xdr:rowOff>
    </xdr:to>
    <xdr:sp macro="[0]!Sheet1.ZGF08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4ADD4B-51CF-D98E-32BD-EBD39AB6638E}"/>
            </a:ext>
          </a:extLst>
        </xdr:cNvPr>
        <xdr:cNvSpPr/>
      </xdr:nvSpPr>
      <xdr:spPr>
        <a:xfrm>
          <a:off x="9035143" y="898072"/>
          <a:ext cx="2707822" cy="707571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FF0000"/>
              </a:solidFill>
            </a:rPr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891A1B-6C50-456D-9B8C-B4925D6B2082}" name="Table13642" displayName="Table13642" ref="A12:BP58" headerRowDxfId="126" dataDxfId="124" totalsRowDxfId="122" headerRowBorderDxfId="125" tableBorderDxfId="123" totalsRowBorderDxfId="121">
  <autoFilter ref="A12:BP58" xr:uid="{00000000-0009-0000-0100-000001000000}"/>
  <sortState xmlns:xlrd2="http://schemas.microsoft.com/office/spreadsheetml/2017/richdata2" ref="A13:BP58">
    <sortCondition ref="BP12:BP58"/>
  </sortState>
  <tableColumns count="68">
    <tableColumn id="1" xr3:uid="{6EBC213F-E77D-4947-BF9A-B944F2C0B144}" name="Creation Flag(1)" totalsRowLabel="Total" dataDxfId="120" totalsRowDxfId="119"/>
    <tableColumn id="2" xr3:uid="{CA04DB30-A876-4D00-9A1E-33E8DF6E184E}" name="Unit No. of slip(80)" dataDxfId="118" totalsRowDxfId="117"/>
    <tableColumn id="3" xr3:uid="{53C47FC3-155E-4DCD-A243-A2BB079E8AEF}" name="Posting Date(10)" dataDxfId="116" totalsRowDxfId="115" dataCellStyle="Normal 166">
      <calculatedColumnFormula>+$C$2</calculatedColumnFormula>
    </tableColumn>
    <tableColumn id="4" xr3:uid="{D029B11F-0966-4F43-8173-A37306AB8A13}" name="Document Date(10)" dataDxfId="114" totalsRowDxfId="113" dataCellStyle="Normal 166">
      <calculatedColumnFormula>+$C$2</calculatedColumnFormula>
    </tableColumn>
    <tableColumn id="5" xr3:uid="{9AE6FF89-8B74-4A32-8CE5-2154BD4BBB94}" name="Document Type(5)" dataDxfId="112" totalsRowDxfId="111"/>
    <tableColumn id="6" xr3:uid="{B744FAC7-BFDC-47A9-839C-2E2AE2609973}" name="Reference(16)" dataDxfId="110" totalsRowDxfId="109">
      <calculatedColumnFormula>+$D$2</calculatedColumnFormula>
    </tableColumn>
    <tableColumn id="7" xr3:uid="{CE289518-C73B-43B6-800F-49699F5E16D6}" name="Doc. Header text(25)" dataDxfId="108" totalsRowDxfId="107">
      <calculatedColumnFormula>+$N$2</calculatedColumnFormula>
    </tableColumn>
    <tableColumn id="8" xr3:uid="{ADD18BB5-97D7-43EA-B325-6954C854186D}" name="Currency(5)" dataDxfId="106" totalsRowDxfId="105"/>
    <tableColumn id="9" xr3:uid="{47E45699-A118-4781-8772-E4318F6BE9E1}" name="Exchange Rate(11)" dataDxfId="104" totalsRowDxfId="103" dataCellStyle="Comma">
      <calculatedColumnFormula>$F$1</calculatedColumnFormula>
    </tableColumn>
    <tableColumn id="10" xr3:uid="{89D3E783-F3AF-4026-9BD6-92EFA31348DD}" name="Translation Date(10)" dataDxfId="102" totalsRowDxfId="101"/>
    <tableColumn id="11" xr3:uid="{B3087A4A-ABEF-40FD-ACF6-66209734E364}" name="Posting Key(2)" dataDxfId="100" totalsRowDxfId="99"/>
    <tableColumn id="12" xr3:uid="{D7734D00-8301-4E0E-BF52-173037E4BCEE}" name="Account Code(17)" dataDxfId="98"/>
    <tableColumn id="13" xr3:uid="{5478659B-F5AB-479B-A8EE-23C92B1E7489}" name="G/L Account(10)" dataDxfId="97"/>
    <tableColumn id="14" xr3:uid="{1A1B4239-9E99-4C9E-B193-E95CC7512190}" name="Amount in Doc. Currency(14)" totalsRowFunction="sum" dataDxfId="96" dataCellStyle="Comma"/>
    <tableColumn id="15" xr3:uid="{2147E69E-67E9-47E2-B398-4ED52BAB6328}" name="Amount in Local Currency(14)" dataDxfId="95" dataCellStyle="Comma"/>
    <tableColumn id="16" xr3:uid="{E3A2E586-86EC-46CC-B50B-FE47F45E9B50}" name="Tax Base Amount in Document Currency(14)" dataDxfId="94" totalsRowDxfId="93"/>
    <tableColumn id="17" xr3:uid="{5E5AB370-E95E-4DEF-91A7-34C61F4D217F}" name="Calculate tax(1)" dataDxfId="92" dataCellStyle="Comma"/>
    <tableColumn id="18" xr3:uid="{42464861-7AA4-43F4-953D-9FBFAF81FDF3}" name="Tax Code(2)" dataDxfId="91" totalsRowDxfId="90"/>
    <tableColumn id="19" xr3:uid="{7EF640AD-3406-4D74-B56C-02FC9B214E65}" name="Payment Block(1)" dataDxfId="89"/>
    <tableColumn id="20" xr3:uid="{AC939CAB-8A93-46EE-93AE-26A1F9097EB9}" name="Payment Method(1)" dataDxfId="88"/>
    <tableColumn id="21" xr3:uid="{58132CCF-2197-4840-8D8E-37898244D13A}" name="Business Place(4)" dataDxfId="87" totalsRowDxfId="86"/>
    <tableColumn id="22" xr3:uid="{E7C9E5BC-8737-4BD4-A809-BB6748063969}" name="Assignment(18)" dataDxfId="85"/>
    <tableColumn id="23" xr3:uid="{2F312716-CC7A-4996-BD64-F6C61CE61D86}" name="Text(50)" dataDxfId="84"/>
    <tableColumn id="24" xr3:uid="{A7BA2EC8-F19C-45CD-A3C1-D8D3B335541E}" name="Number of Invoice(10)" dataDxfId="83"/>
    <tableColumn id="25" xr3:uid="{25188FB1-EB0E-4717-BB5E-CFFDC5824F66}" name="Fiscal Year of Relevant Invoice(4)" dataDxfId="82" totalsRowDxfId="81"/>
    <tableColumn id="26" xr3:uid="{24709BBA-254E-485B-9B96-36543979CD4F}" name="Line Item of Relevant Invoice(3)" dataDxfId="80" totalsRowDxfId="79"/>
    <tableColumn id="27" xr3:uid="{AEE4805C-CA34-453E-93AD-369A4A98718D}" name="Reference specification 1(12)" dataDxfId="78" totalsRowDxfId="77"/>
    <tableColumn id="28" xr3:uid="{9431627B-EC1D-42F9-9BA6-6B5A6C65431E}" name="Reference specification 2(12)" dataDxfId="76" totalsRowDxfId="75"/>
    <tableColumn id="29" xr3:uid="{2AAAED6B-B5B6-4796-AE1B-43A148D6647C}" name="Reference specification 3(20)" dataDxfId="74" totalsRowDxfId="73"/>
    <tableColumn id="30" xr3:uid="{F7A5F172-CB57-47FC-BD65-B77C12F948DF}" name="Material(18)" dataDxfId="72" totalsRowDxfId="71"/>
    <tableColumn id="31" xr3:uid="{69258FBA-5FA2-463E-9640-371AEC48B5E1}" name="Cost center(10)" dataDxfId="70"/>
    <tableColumn id="32" xr3:uid="{51A455F8-4A8E-4EF2-997B-85326492ED2C}" name="Internal Order(12)" dataDxfId="69"/>
    <tableColumn id="33" xr3:uid="{12D4A2C4-475D-4AA6-9089-692875A78A91}" name="Sales Order(10)" dataDxfId="68" totalsRowDxfId="67"/>
    <tableColumn id="34" xr3:uid="{FE71B0D0-8797-41F6-B1DD-03EF6658A390}" name="Sales Order Item(6)" dataDxfId="66" totalsRowDxfId="65"/>
    <tableColumn id="35" xr3:uid="{0135F54A-60F0-4090-8919-45B3C29556E5}" name="Delivery Schedule for SO(4)" dataDxfId="64" totalsRowDxfId="63"/>
    <tableColumn id="36" xr3:uid="{9D09C62B-9373-4CFF-9F30-240F2740A5A7}" name="Personnel number(8)" dataDxfId="62" totalsRowDxfId="61"/>
    <tableColumn id="37" xr3:uid="{B99B194D-D72D-4BDD-B4FD-CD782940490C}" name="Plant(4)" dataDxfId="60" totalsRowDxfId="59"/>
    <tableColumn id="38" xr3:uid="{711DE287-ADA0-4704-B3BC-B3867078A0D6}" name="Business Area(4)" dataDxfId="58" dataCellStyle="Normal 3 6 10"/>
    <tableColumn id="39" xr3:uid="{0DCEE7E0-1986-474A-8576-3EA19F03A4FE}" name="Quantity(14)" dataDxfId="57" totalsRowDxfId="56"/>
    <tableColumn id="40" xr3:uid="{C1E99806-4CE8-4ED0-A881-45905809DB5F}" name="Unit of Measure(3)" dataDxfId="55" totalsRowDxfId="54"/>
    <tableColumn id="41" xr3:uid="{173C0A72-BC6D-473E-88B4-87104983D300}" name="Profit Center(10)" dataDxfId="53" totalsRowDxfId="52"/>
    <tableColumn id="42" xr3:uid="{52F91C14-2F35-4F65-AC84-8B5888E6EFEB}" name="Partner(10)" dataDxfId="51" totalsRowDxfId="50"/>
    <tableColumn id="43" xr3:uid="{BC5E3FF6-FBA1-4730-835C-2DE3D328C035}" name="Functional Area(4)" dataDxfId="49" totalsRowDxfId="48"/>
    <tableColumn id="44" xr3:uid="{0F45CED1-8221-408A-BAB2-73C918BF6754}" name="Purchase order(10)" dataDxfId="47" totalsRowDxfId="46"/>
    <tableColumn id="45" xr3:uid="{DE766137-C866-44BD-94CF-C121170D7DC3}" name="Purchase order Item(5)" dataDxfId="45"/>
    <tableColumn id="46" xr3:uid="{8A3DD6D2-1AAE-42E8-8BD6-CD13F0A96AF4}" name="Baseline Date(10)" dataDxfId="44" dataCellStyle="Normal 166">
      <calculatedColumnFormula>+IF(Table13642[[#This Row],[Posting Key(2)]]=31,$AT$1,"")</calculatedColumnFormula>
    </tableColumn>
    <tableColumn id="47" xr3:uid="{0FF93EAA-90E5-4331-A568-F111391E1E4F}" name="Value date(10)" dataDxfId="43" totalsRowDxfId="42"/>
    <tableColumn id="48" xr3:uid="{1BC4EFD9-902B-4CAC-A797-ADC2545F5B32}" name="Payment terms(4)" dataDxfId="41" totalsRowDxfId="40">
      <calculatedColumnFormula>+IF(Table13642[[#This Row],[Baseline Date(10)]]=$AT$1,"","TC25")</calculatedColumnFormula>
    </tableColumn>
    <tableColumn id="49" xr3:uid="{9837EB4E-8A7D-4179-B4DC-F25A56ACFE48}" name="Cash Discount Days 1(3)" dataDxfId="39" totalsRowDxfId="38"/>
    <tableColumn id="50" xr3:uid="{0DE7E6C9-5CB7-4987-B1DB-BA65125B5C42}" name="but " dataDxfId="37" totalsRowDxfId="36"/>
    <tableColumn id="51" xr3:uid="{2CC6BCCC-4E68-4440-A5D7-EED05A35C544}" name="Cash Discount Days 2(3)" dataDxfId="35" totalsRowDxfId="34"/>
    <tableColumn id="52" xr3:uid="{BC5CEC3E-476D-417B-8629-AA5F83C06126}" name="Cash Discount Percentage 2(6)" dataDxfId="33" totalsRowDxfId="32"/>
    <tableColumn id="53" xr3:uid="{4AA0C326-FBB6-4421-8F66-8B7DA50026DF}" name="Net Payment Terms Period(3)" dataDxfId="31" totalsRowDxfId="30"/>
    <tableColumn id="54" xr3:uid="{90308633-C9C8-4718-B039-F0C179FC8DA5}" name="Own Bank(5)" dataDxfId="29" totalsRowDxfId="28"/>
    <tableColumn id="55" xr3:uid="{FA9E0397-378A-4389-8304-59041137214C}" name="Bank Business Partners(4)" dataDxfId="27" totalsRowDxfId="26"/>
    <tableColumn id="56" xr3:uid="{765863D0-825B-4C4D-861C-F93BF4E0DAD2}" name="Instruction Key 1(2)" dataDxfId="25" totalsRowDxfId="24"/>
    <tableColumn id="57" xr3:uid="{3A304289-3042-4C93-A8EA-B4ABDF0B2E46}" name="Instruction Key 2(2)" dataDxfId="23" totalsRowDxfId="22"/>
    <tableColumn id="58" xr3:uid="{D6824787-9918-482B-8C45-C8E2FB272E92}" name="Instruction Key 3(2)" dataDxfId="21" totalsRowDxfId="20"/>
    <tableColumn id="59" xr3:uid="{BCE51452-0EF3-4CF3-8A3F-D73788BA6256}" name="Instruction Key 4(2)" dataDxfId="19" totalsRowDxfId="18"/>
    <tableColumn id="60" xr3:uid="{8631C034-637F-44BA-90AB-ACD3D1D914E5}" name="Payment Reference(30)" dataDxfId="17" totalsRowDxfId="16"/>
    <tableColumn id="61" xr3:uid="{3666D27F-1B52-4E80-9DAC-FC66D6464C73}" name="Payment currency amount(14)" dataDxfId="15" totalsRowDxfId="14"/>
    <tableColumn id="62" xr3:uid="{D67B14D8-7B1B-4C11-8C7F-F50E83694346}" name="WHT Code(2)" dataDxfId="13" totalsRowDxfId="12"/>
    <tableColumn id="63" xr3:uid="{1433B6FE-114B-4F07-B9A7-8277E3C08A99}" name="WHT Base Amount(16)" dataDxfId="11" totalsRowDxfId="10"/>
    <tableColumn id="64" xr3:uid="{2DCCB2C8-EB60-4D8C-8851-E96BED5308B0}" name="WHT Amount(16)" dataDxfId="9" totalsRowDxfId="8"/>
    <tableColumn id="65" xr3:uid="{2F500119-2E3F-49F9-B049-DD1175AA3C89}" name="SCB Indicator(3)" dataDxfId="7" totalsRowDxfId="6"/>
    <tableColumn id="66" xr3:uid="{FAB20F43-14F4-4DEA-B4F5-838602C4F72A}" name="Supplying Country(3)" dataDxfId="5" totalsRowDxfId="4"/>
    <tableColumn id="67" xr3:uid="{709F79C7-0DE0-4019-A229-DCD2EC81706F}" name="Column1" dataDxfId="3" totalsRowDxfId="2" dataCellStyle="Normal 3 6"/>
    <tableColumn id="68" xr3:uid="{5D0C6345-809F-4A9E-8214-3E1989D99B64}" name="Column2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35C4-9A92-4B2B-8B60-139DD3A10F4B}">
  <sheetPr codeName="Sheet1"/>
  <dimension ref="A1:BP58"/>
  <sheetViews>
    <sheetView tabSelected="1" zoomScale="70" zoomScaleNormal="70" zoomScaleSheetLayoutView="87" workbookViewId="0">
      <selection activeCell="G8" sqref="G8"/>
    </sheetView>
  </sheetViews>
  <sheetFormatPr defaultRowHeight="15.75" x14ac:dyDescent="0.25"/>
  <cols>
    <col min="1" max="1" width="16.85546875" style="2" customWidth="1"/>
    <col min="2" max="2" width="18.140625" style="2" customWidth="1"/>
    <col min="3" max="4" width="16.28515625" style="2" customWidth="1"/>
    <col min="5" max="5" width="18.28515625" style="2" customWidth="1"/>
    <col min="6" max="6" width="22.140625" style="2" customWidth="1"/>
    <col min="7" max="7" width="26.42578125" style="2" customWidth="1"/>
    <col min="8" max="8" width="12.28515625" style="2" customWidth="1"/>
    <col min="9" max="9" width="18.85546875" style="2" customWidth="1"/>
    <col min="10" max="10" width="25.42578125" style="2" customWidth="1"/>
    <col min="11" max="11" width="17.7109375" style="2" bestFit="1" customWidth="1"/>
    <col min="12" max="12" width="17.42578125" style="2" bestFit="1" customWidth="1"/>
    <col min="13" max="13" width="19.42578125" style="2" customWidth="1"/>
    <col min="14" max="14" width="27.7109375" style="2" customWidth="1"/>
    <col min="15" max="15" width="28.28515625" style="2" customWidth="1"/>
    <col min="16" max="16" width="31.7109375" style="2" customWidth="1"/>
    <col min="17" max="17" width="24" style="45" customWidth="1"/>
    <col min="18" max="18" width="25.28515625" style="2" customWidth="1"/>
    <col min="19" max="19" width="26.42578125" style="2" customWidth="1"/>
    <col min="20" max="20" width="24.42578125" style="2" customWidth="1"/>
    <col min="21" max="21" width="17.7109375" style="2" customWidth="1"/>
    <col min="22" max="22" width="17" style="2" customWidth="1"/>
    <col min="23" max="23" width="30.7109375" style="2" customWidth="1"/>
    <col min="24" max="24" width="20.85546875" style="2" customWidth="1"/>
    <col min="25" max="25" width="31.28515625" style="2" customWidth="1"/>
    <col min="26" max="26" width="29.28515625" style="2" customWidth="1"/>
    <col min="27" max="29" width="27.42578125" style="2" customWidth="1"/>
    <col min="30" max="30" width="19.7109375" style="2" customWidth="1"/>
    <col min="31" max="31" width="15.28515625" style="2" customWidth="1"/>
    <col min="32" max="32" width="17.5703125" style="2" customWidth="1"/>
    <col min="33" max="33" width="15.42578125" style="2" customWidth="1"/>
    <col min="34" max="34" width="18.85546875" style="2" customWidth="1"/>
    <col min="35" max="35" width="26.140625" style="2" customWidth="1"/>
    <col min="36" max="36" width="20" style="2" customWidth="1"/>
    <col min="37" max="37" width="9.42578125" style="2" customWidth="1"/>
    <col min="38" max="38" width="16.7109375" style="2" customWidth="1"/>
    <col min="39" max="39" width="13.140625" style="2" customWidth="1"/>
    <col min="40" max="40" width="18.140625" style="2" customWidth="1"/>
    <col min="41" max="41" width="16.5703125" style="2" customWidth="1"/>
    <col min="42" max="42" width="12.28515625" style="2" customWidth="1"/>
    <col min="43" max="43" width="17.7109375" style="2" customWidth="1"/>
    <col min="44" max="44" width="18.28515625" style="2" customWidth="1"/>
    <col min="45" max="45" width="21.85546875" style="2" customWidth="1"/>
    <col min="46" max="46" width="17.28515625" style="2" customWidth="1"/>
    <col min="47" max="47" width="14.7109375" style="2" customWidth="1"/>
    <col min="48" max="48" width="17.42578125" style="2" customWidth="1"/>
    <col min="49" max="49" width="24" style="2" customWidth="1"/>
    <col min="50" max="50" width="29.7109375" style="2" customWidth="1"/>
    <col min="51" max="51" width="24" style="2" customWidth="1"/>
    <col min="52" max="52" width="29.7109375" style="2" customWidth="1"/>
    <col min="53" max="53" width="28.28515625" style="2" customWidth="1"/>
    <col min="54" max="54" width="13.42578125" style="2" customWidth="1"/>
    <col min="55" max="55" width="25.7109375" style="2" customWidth="1"/>
    <col min="56" max="59" width="18.85546875" style="2" customWidth="1"/>
    <col min="60" max="60" width="22.5703125" style="2" customWidth="1"/>
    <col min="61" max="61" width="28.7109375" style="2" customWidth="1"/>
    <col min="62" max="62" width="13.7109375" style="2" customWidth="1"/>
    <col min="63" max="63" width="22.140625" style="2" customWidth="1"/>
    <col min="64" max="64" width="17" style="2" customWidth="1"/>
    <col min="65" max="65" width="15.85546875" style="2" customWidth="1"/>
    <col min="66" max="66" width="20.140625" style="2" customWidth="1"/>
    <col min="67" max="67" width="13.85546875" style="2" customWidth="1"/>
    <col min="68" max="68" width="10.28515625" style="2" customWidth="1"/>
    <col min="69" max="16384" width="9.140625" style="2"/>
  </cols>
  <sheetData>
    <row r="1" spans="1:68" ht="19.5" x14ac:dyDescent="0.3">
      <c r="A1" s="1" t="s">
        <v>0</v>
      </c>
      <c r="C1" s="3"/>
      <c r="D1" s="3" t="s">
        <v>1</v>
      </c>
      <c r="E1" s="4">
        <v>25118</v>
      </c>
      <c r="F1" s="5">
        <f>ROUND(1000000/E1,5)</f>
        <v>39.812089999999998</v>
      </c>
      <c r="G1" s="105" t="s">
        <v>122</v>
      </c>
      <c r="J1" s="6" t="s">
        <v>2</v>
      </c>
      <c r="K1" s="7" t="s">
        <v>3</v>
      </c>
      <c r="L1" s="7"/>
      <c r="M1" s="8" t="s">
        <v>4</v>
      </c>
      <c r="N1" s="8" t="s">
        <v>5</v>
      </c>
      <c r="P1" s="9" t="s">
        <v>6</v>
      </c>
      <c r="Q1" s="10" t="s">
        <v>7</v>
      </c>
      <c r="R1" s="9" t="s">
        <v>8</v>
      </c>
      <c r="S1" s="11"/>
    </row>
    <row r="2" spans="1:68" ht="19.5" x14ac:dyDescent="0.3">
      <c r="A2" s="1"/>
      <c r="C2" s="12" t="s">
        <v>9</v>
      </c>
      <c r="D2" s="13" t="s">
        <v>10</v>
      </c>
      <c r="E2" s="4"/>
      <c r="F2" s="5"/>
      <c r="G2" s="105" t="s">
        <v>123</v>
      </c>
      <c r="J2" s="6"/>
      <c r="K2" s="7" t="s">
        <v>11</v>
      </c>
      <c r="L2" s="14"/>
      <c r="M2" s="15"/>
      <c r="N2" s="16" t="s">
        <v>12</v>
      </c>
      <c r="P2" s="17"/>
      <c r="Q2" s="18"/>
      <c r="R2" s="17"/>
      <c r="S2" s="11"/>
    </row>
    <row r="3" spans="1:68" s="19" customFormat="1" x14ac:dyDescent="0.25">
      <c r="G3" s="20"/>
      <c r="M3" s="19" t="s">
        <v>13</v>
      </c>
      <c r="N3" s="21">
        <v>401476</v>
      </c>
      <c r="O3" s="22" t="s">
        <v>14</v>
      </c>
      <c r="P3" s="23">
        <f>SUMIF($L$13:$L$58,O3,$N$13:$N$58)</f>
        <v>401476</v>
      </c>
      <c r="Q3" s="24">
        <v>401476</v>
      </c>
      <c r="R3" s="24">
        <f>P3-Q3</f>
        <v>0</v>
      </c>
      <c r="S3" s="25"/>
    </row>
    <row r="4" spans="1:68" s="19" customFormat="1" x14ac:dyDescent="0.25">
      <c r="C4" s="26"/>
      <c r="G4" s="20"/>
      <c r="L4" s="27"/>
      <c r="M4" s="19" t="s">
        <v>15</v>
      </c>
      <c r="N4" s="28">
        <v>0</v>
      </c>
      <c r="O4" s="29" t="s">
        <v>16</v>
      </c>
      <c r="P4" s="30">
        <f>SUMIF($L$13:$L$58,O4,$N$13:$N$58)</f>
        <v>0</v>
      </c>
      <c r="Q4" s="31">
        <v>0</v>
      </c>
      <c r="R4" s="31">
        <f>P4-Q4</f>
        <v>0</v>
      </c>
      <c r="S4" s="32"/>
      <c r="U4" s="33"/>
    </row>
    <row r="5" spans="1:68" s="19" customFormat="1" x14ac:dyDescent="0.25">
      <c r="C5" s="26"/>
      <c r="G5" s="20"/>
      <c r="L5" s="27"/>
      <c r="M5" s="19" t="s">
        <v>17</v>
      </c>
      <c r="N5" s="28">
        <v>5032565</v>
      </c>
      <c r="O5" s="103" t="s">
        <v>18</v>
      </c>
      <c r="P5" s="104">
        <f>SUMIF($L$13:$L$58,O5,$N$13:$N$58)</f>
        <v>5032565</v>
      </c>
      <c r="Q5" s="104">
        <v>10751891</v>
      </c>
      <c r="R5" s="104">
        <f>P5-Q5</f>
        <v>-5719326</v>
      </c>
      <c r="S5" s="104">
        <v>5719326</v>
      </c>
      <c r="T5" s="27" t="s">
        <v>19</v>
      </c>
      <c r="U5" s="33"/>
    </row>
    <row r="6" spans="1:68" s="19" customFormat="1" x14ac:dyDescent="0.25">
      <c r="C6" s="26"/>
      <c r="G6" s="20"/>
      <c r="L6" s="27"/>
      <c r="M6" s="19" t="s">
        <v>20</v>
      </c>
      <c r="N6" s="28">
        <v>0</v>
      </c>
      <c r="O6" s="103"/>
      <c r="P6" s="104"/>
      <c r="Q6" s="104"/>
      <c r="R6" s="104"/>
      <c r="S6" s="104"/>
      <c r="T6" s="27"/>
      <c r="U6" s="33"/>
    </row>
    <row r="7" spans="1:68" s="19" customFormat="1" x14ac:dyDescent="0.25">
      <c r="G7" s="20"/>
      <c r="L7" s="27"/>
      <c r="M7" s="19" t="s">
        <v>21</v>
      </c>
      <c r="N7" s="28">
        <v>0</v>
      </c>
      <c r="O7" s="103" t="s">
        <v>22</v>
      </c>
      <c r="P7" s="104">
        <f>SUMIF($L$13:$L$58,O7,$N$13:$N$58)</f>
        <v>0</v>
      </c>
      <c r="Q7" s="104">
        <v>0</v>
      </c>
      <c r="R7" s="104">
        <f>P7-Q7</f>
        <v>0</v>
      </c>
      <c r="S7" s="104">
        <v>0</v>
      </c>
      <c r="T7" s="27" t="s">
        <v>19</v>
      </c>
      <c r="U7" s="33"/>
    </row>
    <row r="8" spans="1:68" s="19" customFormat="1" x14ac:dyDescent="0.25">
      <c r="E8" s="34"/>
      <c r="F8" s="3"/>
      <c r="G8" s="20"/>
      <c r="L8" s="27"/>
      <c r="M8" s="19" t="s">
        <v>23</v>
      </c>
      <c r="N8" s="28">
        <v>0</v>
      </c>
      <c r="O8" s="103"/>
      <c r="P8" s="104"/>
      <c r="Q8" s="104"/>
      <c r="R8" s="104"/>
      <c r="S8" s="104"/>
      <c r="T8" s="27"/>
      <c r="U8" s="33"/>
    </row>
    <row r="9" spans="1:68" s="19" customFormat="1" x14ac:dyDescent="0.25">
      <c r="E9" s="35" t="s">
        <v>24</v>
      </c>
      <c r="F9" s="36">
        <f>SUMIF(Table13642[Posting Key(2)],E9,Table13642[Amount in Doc. Currency(14)])</f>
        <v>5434041</v>
      </c>
      <c r="G9" s="20"/>
      <c r="L9" s="27"/>
      <c r="N9" s="37"/>
      <c r="O9" s="38" t="s">
        <v>25</v>
      </c>
      <c r="P9" s="30">
        <f>SUMIF($L$13:$L$58,O9,$N$13:$N$58)</f>
        <v>0</v>
      </c>
      <c r="Q9" s="31">
        <v>0</v>
      </c>
      <c r="R9" s="31">
        <f>P9-Q9</f>
        <v>0</v>
      </c>
      <c r="S9" s="39"/>
      <c r="T9" s="33"/>
    </row>
    <row r="10" spans="1:68" s="19" customFormat="1" x14ac:dyDescent="0.25">
      <c r="E10" s="35" t="s">
        <v>26</v>
      </c>
      <c r="F10" s="36">
        <f>SUMIF(Table13642[Posting Key(2)],E10,Table13642[Amount in Doc. Currency(14)])</f>
        <v>5434041</v>
      </c>
      <c r="G10" s="20"/>
      <c r="L10" s="27"/>
      <c r="M10" s="19" t="b">
        <f>+N10=P10</f>
        <v>1</v>
      </c>
      <c r="N10" s="40">
        <f>SUM(N3:N9)</f>
        <v>5434041</v>
      </c>
      <c r="O10" s="41"/>
      <c r="P10" s="40">
        <f>SUM(P3:P9)</f>
        <v>5434041</v>
      </c>
      <c r="Q10" s="40">
        <f>SUM(Q3:Q9)</f>
        <v>11153367</v>
      </c>
      <c r="R10" s="40">
        <f>SUM(R3:R9)</f>
        <v>-5719326</v>
      </c>
      <c r="S10" s="40">
        <f>SUM(S3:S9)</f>
        <v>5719326</v>
      </c>
      <c r="T10" s="42">
        <f>+S10+R10</f>
        <v>0</v>
      </c>
      <c r="U10" s="42">
        <f>+S10+P10</f>
        <v>11153367</v>
      </c>
      <c r="V10" s="19" t="b">
        <f>+U10=Q10</f>
        <v>1</v>
      </c>
    </row>
    <row r="11" spans="1:68" ht="29.25" customHeight="1" x14ac:dyDescent="0.25">
      <c r="F11" s="43" t="b">
        <f>+F9=F10</f>
        <v>1</v>
      </c>
      <c r="N11" s="44">
        <f>+N10-F10</f>
        <v>0</v>
      </c>
      <c r="U11" s="46"/>
      <c r="AL11" s="47" t="s">
        <v>27</v>
      </c>
      <c r="AT11" s="48" t="s">
        <v>9</v>
      </c>
      <c r="AV11" s="2" t="s">
        <v>28</v>
      </c>
    </row>
    <row r="12" spans="1:68" ht="21.75" customHeight="1" x14ac:dyDescent="0.25">
      <c r="A12" s="49" t="s">
        <v>29</v>
      </c>
      <c r="B12" s="50" t="s">
        <v>30</v>
      </c>
      <c r="C12" s="51" t="s">
        <v>31</v>
      </c>
      <c r="D12" s="51" t="s">
        <v>32</v>
      </c>
      <c r="E12" s="52" t="s">
        <v>33</v>
      </c>
      <c r="F12" s="52" t="s">
        <v>34</v>
      </c>
      <c r="G12" s="52" t="s">
        <v>35</v>
      </c>
      <c r="H12" s="50" t="s">
        <v>36</v>
      </c>
      <c r="I12" s="53" t="s">
        <v>37</v>
      </c>
      <c r="J12" s="50" t="s">
        <v>38</v>
      </c>
      <c r="K12" s="54" t="s">
        <v>39</v>
      </c>
      <c r="L12" s="50" t="s">
        <v>40</v>
      </c>
      <c r="M12" s="50" t="s">
        <v>41</v>
      </c>
      <c r="N12" s="50" t="s">
        <v>42</v>
      </c>
      <c r="O12" s="55" t="s">
        <v>43</v>
      </c>
      <c r="P12" s="50" t="s">
        <v>44</v>
      </c>
      <c r="Q12" s="56" t="s">
        <v>45</v>
      </c>
      <c r="R12" s="57" t="s">
        <v>46</v>
      </c>
      <c r="S12" s="50" t="s">
        <v>47</v>
      </c>
      <c r="T12" s="50" t="s">
        <v>48</v>
      </c>
      <c r="U12" s="50" t="s">
        <v>49</v>
      </c>
      <c r="V12" s="50" t="s">
        <v>50</v>
      </c>
      <c r="W12" s="52" t="s">
        <v>51</v>
      </c>
      <c r="X12" s="50" t="s">
        <v>52</v>
      </c>
      <c r="Y12" s="50" t="s">
        <v>53</v>
      </c>
      <c r="Z12" s="50" t="s">
        <v>54</v>
      </c>
      <c r="AA12" s="50" t="s">
        <v>55</v>
      </c>
      <c r="AB12" s="50" t="s">
        <v>56</v>
      </c>
      <c r="AC12" s="50" t="s">
        <v>57</v>
      </c>
      <c r="AD12" s="50" t="s">
        <v>58</v>
      </c>
      <c r="AE12" s="50" t="s">
        <v>59</v>
      </c>
      <c r="AF12" s="57" t="s">
        <v>60</v>
      </c>
      <c r="AG12" s="50" t="s">
        <v>61</v>
      </c>
      <c r="AH12" s="50" t="s">
        <v>62</v>
      </c>
      <c r="AI12" s="50" t="s">
        <v>63</v>
      </c>
      <c r="AJ12" s="50" t="s">
        <v>64</v>
      </c>
      <c r="AK12" s="50" t="s">
        <v>65</v>
      </c>
      <c r="AL12" s="57" t="s">
        <v>66</v>
      </c>
      <c r="AM12" s="50" t="s">
        <v>67</v>
      </c>
      <c r="AN12" s="50" t="s">
        <v>68</v>
      </c>
      <c r="AO12" s="50" t="s">
        <v>69</v>
      </c>
      <c r="AP12" s="50" t="s">
        <v>70</v>
      </c>
      <c r="AQ12" s="50" t="s">
        <v>71</v>
      </c>
      <c r="AR12" s="50" t="s">
        <v>72</v>
      </c>
      <c r="AS12" s="50" t="s">
        <v>73</v>
      </c>
      <c r="AT12" s="57" t="s">
        <v>74</v>
      </c>
      <c r="AU12" s="50" t="s">
        <v>75</v>
      </c>
      <c r="AV12" s="57" t="s">
        <v>76</v>
      </c>
      <c r="AW12" s="50" t="s">
        <v>77</v>
      </c>
      <c r="AX12" s="50" t="s">
        <v>121</v>
      </c>
      <c r="AY12" s="50" t="s">
        <v>78</v>
      </c>
      <c r="AZ12" s="50" t="s">
        <v>79</v>
      </c>
      <c r="BA12" s="50" t="s">
        <v>80</v>
      </c>
      <c r="BB12" s="50" t="s">
        <v>81</v>
      </c>
      <c r="BC12" s="50" t="s">
        <v>82</v>
      </c>
      <c r="BD12" s="50" t="s">
        <v>83</v>
      </c>
      <c r="BE12" s="50" t="s">
        <v>84</v>
      </c>
      <c r="BF12" s="50" t="s">
        <v>85</v>
      </c>
      <c r="BG12" s="50" t="s">
        <v>86</v>
      </c>
      <c r="BH12" s="50" t="s">
        <v>87</v>
      </c>
      <c r="BI12" s="50" t="s">
        <v>88</v>
      </c>
      <c r="BJ12" s="50" t="s">
        <v>89</v>
      </c>
      <c r="BK12" s="50" t="s">
        <v>90</v>
      </c>
      <c r="BL12" s="50" t="s">
        <v>91</v>
      </c>
      <c r="BM12" s="50" t="s">
        <v>92</v>
      </c>
      <c r="BN12" s="58" t="s">
        <v>93</v>
      </c>
      <c r="BO12" s="2" t="s">
        <v>94</v>
      </c>
      <c r="BP12" s="50" t="s">
        <v>95</v>
      </c>
    </row>
    <row r="13" spans="1:68" x14ac:dyDescent="0.25">
      <c r="A13" s="59">
        <v>0</v>
      </c>
      <c r="B13" s="60">
        <v>1</v>
      </c>
      <c r="C13" s="48" t="str">
        <f t="shared" ref="C13:D32" si="0">+$C$2</f>
        <v>30.04.2024</v>
      </c>
      <c r="D13" s="48" t="str">
        <f t="shared" si="0"/>
        <v>30.04.2024</v>
      </c>
      <c r="E13" s="61" t="s">
        <v>96</v>
      </c>
      <c r="F13" s="62" t="str">
        <f t="shared" ref="F13:F58" si="1">+$D$2</f>
        <v>00000048</v>
      </c>
      <c r="G13" s="62" t="str">
        <f t="shared" ref="G13:G58" si="2">+$N$2</f>
        <v>AP-24-1108</v>
      </c>
      <c r="H13" s="60" t="s">
        <v>97</v>
      </c>
      <c r="I13" s="63">
        <f t="shared" ref="I13:I58" si="3">$F$1</f>
        <v>39.812089999999998</v>
      </c>
      <c r="J13" s="64"/>
      <c r="K13" s="65">
        <v>40</v>
      </c>
      <c r="L13" s="66">
        <v>665010</v>
      </c>
      <c r="M13" s="67"/>
      <c r="N13" s="68">
        <v>372500</v>
      </c>
      <c r="O13" s="69"/>
      <c r="P13" s="70"/>
      <c r="Q13" s="69"/>
      <c r="R13" s="64" t="s">
        <v>98</v>
      </c>
      <c r="S13" s="71"/>
      <c r="T13" s="71"/>
      <c r="U13" s="71"/>
      <c r="V13" s="72"/>
      <c r="W13" s="73" t="s">
        <v>99</v>
      </c>
      <c r="X13" s="64"/>
      <c r="Y13" s="71"/>
      <c r="Z13" s="71"/>
      <c r="AA13" s="71"/>
      <c r="AB13" s="71"/>
      <c r="AC13" s="71"/>
      <c r="AD13" s="71"/>
      <c r="AE13" s="71"/>
      <c r="AF13" s="74" t="s">
        <v>100</v>
      </c>
      <c r="AG13" s="71"/>
      <c r="AH13" s="64"/>
      <c r="AI13" s="64"/>
      <c r="AJ13" s="64"/>
      <c r="AK13" s="64"/>
      <c r="AL13" s="75" t="s">
        <v>27</v>
      </c>
      <c r="AM13" s="75"/>
      <c r="AN13" s="75"/>
      <c r="AO13" s="75"/>
      <c r="AP13" s="75"/>
      <c r="AQ13" s="75"/>
      <c r="AR13" s="75"/>
      <c r="AS13" s="75"/>
      <c r="AT13" s="75" t="str">
        <f>+IF(Table13642[[#This Row],[Posting Key(2)]]=31,$AT$1,"")</f>
        <v/>
      </c>
      <c r="AU13" s="75"/>
      <c r="AV13" s="75" t="str">
        <f>+IF(Table13642[[#This Row],[Baseline Date(10)]]=$AT$1,"","TC25")</f>
        <v/>
      </c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76"/>
      <c r="BO13" s="77"/>
      <c r="BP13" s="78">
        <v>1</v>
      </c>
    </row>
    <row r="14" spans="1:68" x14ac:dyDescent="0.25">
      <c r="A14" s="59">
        <v>0</v>
      </c>
      <c r="B14" s="60">
        <v>1</v>
      </c>
      <c r="C14" s="48" t="str">
        <f t="shared" si="0"/>
        <v>30.04.2024</v>
      </c>
      <c r="D14" s="48" t="str">
        <f t="shared" si="0"/>
        <v>30.04.2024</v>
      </c>
      <c r="E14" s="61" t="s">
        <v>96</v>
      </c>
      <c r="F14" s="62" t="str">
        <f t="shared" si="1"/>
        <v>00000048</v>
      </c>
      <c r="G14" s="62" t="str">
        <f t="shared" si="2"/>
        <v>AP-24-1108</v>
      </c>
      <c r="H14" s="60" t="s">
        <v>97</v>
      </c>
      <c r="I14" s="63">
        <f t="shared" si="3"/>
        <v>39.812089999999998</v>
      </c>
      <c r="J14" s="64"/>
      <c r="K14" s="65">
        <v>31</v>
      </c>
      <c r="L14" s="79" t="s">
        <v>18</v>
      </c>
      <c r="M14" s="80" t="s">
        <v>101</v>
      </c>
      <c r="N14" s="81">
        <v>372500</v>
      </c>
      <c r="O14" s="69"/>
      <c r="P14" s="70"/>
      <c r="Q14" s="69"/>
      <c r="R14" s="64" t="s">
        <v>98</v>
      </c>
      <c r="S14" s="71"/>
      <c r="T14" s="71"/>
      <c r="U14" s="71"/>
      <c r="V14" s="72"/>
      <c r="W14" s="62" t="s">
        <v>99</v>
      </c>
      <c r="X14" s="64"/>
      <c r="Y14" s="71"/>
      <c r="Z14" s="71"/>
      <c r="AA14" s="71"/>
      <c r="AB14" s="71"/>
      <c r="AC14" s="71"/>
      <c r="AD14" s="71"/>
      <c r="AE14" s="71"/>
      <c r="AF14" s="82"/>
      <c r="AG14" s="71"/>
      <c r="AH14" s="64"/>
      <c r="AI14" s="64"/>
      <c r="AJ14" s="64"/>
      <c r="AK14" s="64"/>
      <c r="AL14" s="75" t="s">
        <v>27</v>
      </c>
      <c r="AM14" s="75"/>
      <c r="AN14" s="75"/>
      <c r="AO14" s="75"/>
      <c r="AP14" s="75"/>
      <c r="AQ14" s="75"/>
      <c r="AR14" s="75"/>
      <c r="AS14" s="75"/>
      <c r="AT14" s="83" t="str">
        <f>+IF(Table13642[[#This Row],[Posting Key(2)]]=31,$AT$11,"")</f>
        <v>30.04.2024</v>
      </c>
      <c r="AU14" s="75"/>
      <c r="AV14" s="75" t="str">
        <f>+IF(Table13642[[#This Row],[Baseline Date(10)]]=$AT$1,"","TC25")</f>
        <v>TC25</v>
      </c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76"/>
      <c r="BO14" s="77"/>
      <c r="BP14" s="78">
        <v>1</v>
      </c>
    </row>
    <row r="15" spans="1:68" x14ac:dyDescent="0.25">
      <c r="A15" s="59">
        <v>0</v>
      </c>
      <c r="B15" s="60">
        <v>1</v>
      </c>
      <c r="C15" s="48" t="str">
        <f t="shared" si="0"/>
        <v>30.04.2024</v>
      </c>
      <c r="D15" s="48" t="str">
        <f t="shared" si="0"/>
        <v>30.04.2024</v>
      </c>
      <c r="E15" s="61" t="s">
        <v>96</v>
      </c>
      <c r="F15" s="62" t="str">
        <f t="shared" si="1"/>
        <v>00000048</v>
      </c>
      <c r="G15" s="62" t="str">
        <f t="shared" si="2"/>
        <v>AP-24-1108</v>
      </c>
      <c r="H15" s="60" t="s">
        <v>97</v>
      </c>
      <c r="I15" s="63">
        <f t="shared" si="3"/>
        <v>39.812089999999998</v>
      </c>
      <c r="J15" s="64"/>
      <c r="K15" s="65">
        <v>40</v>
      </c>
      <c r="L15" s="66">
        <v>624131</v>
      </c>
      <c r="M15" s="67"/>
      <c r="N15" s="68">
        <v>113471</v>
      </c>
      <c r="O15" s="69"/>
      <c r="P15" s="70"/>
      <c r="Q15" s="69"/>
      <c r="R15" s="64" t="s">
        <v>98</v>
      </c>
      <c r="S15" s="71"/>
      <c r="T15" s="71"/>
      <c r="U15" s="71"/>
      <c r="V15" s="72"/>
      <c r="W15" s="73" t="s">
        <v>102</v>
      </c>
      <c r="X15" s="64"/>
      <c r="Y15" s="71"/>
      <c r="Z15" s="71"/>
      <c r="AA15" s="71"/>
      <c r="AB15" s="71"/>
      <c r="AC15" s="71"/>
      <c r="AD15" s="71"/>
      <c r="AE15" s="71"/>
      <c r="AF15" s="74" t="s">
        <v>103</v>
      </c>
      <c r="AG15" s="71"/>
      <c r="AH15" s="64"/>
      <c r="AI15" s="64"/>
      <c r="AJ15" s="64"/>
      <c r="AK15" s="64"/>
      <c r="AL15" s="75" t="s">
        <v>27</v>
      </c>
      <c r="AM15" s="75"/>
      <c r="AN15" s="75"/>
      <c r="AO15" s="75"/>
      <c r="AP15" s="75"/>
      <c r="AQ15" s="75"/>
      <c r="AR15" s="75"/>
      <c r="AS15" s="75"/>
      <c r="AT15" s="75" t="str">
        <f>+IF(Table13642[[#This Row],[Posting Key(2)]]=31,$AT$1,"")</f>
        <v/>
      </c>
      <c r="AU15" s="75"/>
      <c r="AV15" s="75" t="str">
        <f>+IF(Table13642[[#This Row],[Baseline Date(10)]]=$AT$1,"","TC25")</f>
        <v/>
      </c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76"/>
      <c r="BO15" s="77"/>
      <c r="BP15" s="78">
        <v>2</v>
      </c>
    </row>
    <row r="16" spans="1:68" x14ac:dyDescent="0.25">
      <c r="A16" s="59">
        <v>0</v>
      </c>
      <c r="B16" s="60">
        <v>1</v>
      </c>
      <c r="C16" s="48" t="str">
        <f t="shared" si="0"/>
        <v>30.04.2024</v>
      </c>
      <c r="D16" s="48" t="str">
        <f t="shared" si="0"/>
        <v>30.04.2024</v>
      </c>
      <c r="E16" s="61" t="s">
        <v>96</v>
      </c>
      <c r="F16" s="62" t="str">
        <f t="shared" si="1"/>
        <v>00000048</v>
      </c>
      <c r="G16" s="62" t="str">
        <f t="shared" si="2"/>
        <v>AP-24-1108</v>
      </c>
      <c r="H16" s="60" t="s">
        <v>97</v>
      </c>
      <c r="I16" s="63">
        <f t="shared" si="3"/>
        <v>39.812089999999998</v>
      </c>
      <c r="J16" s="64"/>
      <c r="K16" s="65">
        <v>31</v>
      </c>
      <c r="L16" s="79" t="s">
        <v>18</v>
      </c>
      <c r="M16" s="67" t="s">
        <v>101</v>
      </c>
      <c r="N16" s="81">
        <v>113471</v>
      </c>
      <c r="O16" s="69"/>
      <c r="P16" s="70"/>
      <c r="Q16" s="69"/>
      <c r="R16" s="64" t="s">
        <v>98</v>
      </c>
      <c r="S16" s="71"/>
      <c r="T16" s="71"/>
      <c r="U16" s="71"/>
      <c r="V16" s="72"/>
      <c r="W16" s="62" t="s">
        <v>102</v>
      </c>
      <c r="X16" s="64"/>
      <c r="Y16" s="71"/>
      <c r="Z16" s="71"/>
      <c r="AA16" s="71"/>
      <c r="AB16" s="71"/>
      <c r="AC16" s="71"/>
      <c r="AD16" s="71"/>
      <c r="AE16" s="71"/>
      <c r="AF16" s="82"/>
      <c r="AG16" s="71"/>
      <c r="AH16" s="64"/>
      <c r="AI16" s="64"/>
      <c r="AJ16" s="64"/>
      <c r="AK16" s="64"/>
      <c r="AL16" s="75" t="s">
        <v>27</v>
      </c>
      <c r="AM16" s="75"/>
      <c r="AN16" s="75"/>
      <c r="AO16" s="75"/>
      <c r="AP16" s="75"/>
      <c r="AQ16" s="75"/>
      <c r="AR16" s="75"/>
      <c r="AS16" s="75"/>
      <c r="AT16" s="83" t="str">
        <f>+IF(Table13642[[#This Row],[Posting Key(2)]]=31,$AT$11,"")</f>
        <v>30.04.2024</v>
      </c>
      <c r="AU16" s="75"/>
      <c r="AV16" s="75" t="str">
        <f>+IF(Table13642[[#This Row],[Baseline Date(10)]]=$AT$1,"","TC25")</f>
        <v>TC25</v>
      </c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76"/>
      <c r="BO16" s="77"/>
      <c r="BP16" s="78">
        <v>2</v>
      </c>
    </row>
    <row r="17" spans="1:68" ht="16.5" customHeight="1" x14ac:dyDescent="0.25">
      <c r="A17" s="59">
        <v>0</v>
      </c>
      <c r="B17" s="60">
        <v>1</v>
      </c>
      <c r="C17" s="48" t="str">
        <f t="shared" si="0"/>
        <v>30.04.2024</v>
      </c>
      <c r="D17" s="48" t="str">
        <f t="shared" si="0"/>
        <v>30.04.2024</v>
      </c>
      <c r="E17" s="61" t="s">
        <v>96</v>
      </c>
      <c r="F17" s="62" t="str">
        <f t="shared" si="1"/>
        <v>00000048</v>
      </c>
      <c r="G17" s="62" t="str">
        <f t="shared" si="2"/>
        <v>AP-24-1108</v>
      </c>
      <c r="H17" s="60" t="s">
        <v>97</v>
      </c>
      <c r="I17" s="63">
        <f t="shared" si="3"/>
        <v>39.812089999999998</v>
      </c>
      <c r="J17" s="64"/>
      <c r="K17" s="65">
        <v>40</v>
      </c>
      <c r="L17" s="66" t="s">
        <v>104</v>
      </c>
      <c r="M17" s="67"/>
      <c r="N17" s="68">
        <v>158115</v>
      </c>
      <c r="O17" s="69"/>
      <c r="P17" s="70"/>
      <c r="Q17" s="69"/>
      <c r="R17" s="64" t="s">
        <v>98</v>
      </c>
      <c r="S17" s="71"/>
      <c r="T17" s="71"/>
      <c r="U17" s="71"/>
      <c r="V17" s="72"/>
      <c r="W17" s="62" t="s">
        <v>105</v>
      </c>
      <c r="X17" s="64"/>
      <c r="Y17" s="71"/>
      <c r="Z17" s="71"/>
      <c r="AA17" s="71"/>
      <c r="AB17" s="71"/>
      <c r="AC17" s="71"/>
      <c r="AD17" s="71"/>
      <c r="AE17" s="71"/>
      <c r="AF17" s="74" t="s">
        <v>106</v>
      </c>
      <c r="AG17" s="71"/>
      <c r="AH17" s="64"/>
      <c r="AI17" s="64"/>
      <c r="AJ17" s="64"/>
      <c r="AK17" s="64"/>
      <c r="AL17" s="75" t="s">
        <v>27</v>
      </c>
      <c r="AM17" s="75"/>
      <c r="AN17" s="75"/>
      <c r="AO17" s="75"/>
      <c r="AP17" s="75"/>
      <c r="AQ17" s="75"/>
      <c r="AR17" s="75"/>
      <c r="AS17" s="75"/>
      <c r="AT17" s="75" t="str">
        <f>+IF(Table13642[[#This Row],[Posting Key(2)]]=31,$AT$1,"")</f>
        <v/>
      </c>
      <c r="AU17" s="75"/>
      <c r="AV17" s="75" t="str">
        <f>+IF(Table13642[[#This Row],[Baseline Date(10)]]=$AT$1,"","TC25")</f>
        <v/>
      </c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76"/>
      <c r="BO17" s="77"/>
      <c r="BP17" s="78">
        <v>3</v>
      </c>
    </row>
    <row r="18" spans="1:68" x14ac:dyDescent="0.25">
      <c r="A18" s="59">
        <v>0</v>
      </c>
      <c r="B18" s="60">
        <v>1</v>
      </c>
      <c r="C18" s="48" t="str">
        <f t="shared" si="0"/>
        <v>30.04.2024</v>
      </c>
      <c r="D18" s="48" t="str">
        <f t="shared" si="0"/>
        <v>30.04.2024</v>
      </c>
      <c r="E18" s="61" t="s">
        <v>96</v>
      </c>
      <c r="F18" s="62" t="str">
        <f t="shared" si="1"/>
        <v>00000048</v>
      </c>
      <c r="G18" s="62" t="str">
        <f t="shared" si="2"/>
        <v>AP-24-1108</v>
      </c>
      <c r="H18" s="60" t="s">
        <v>97</v>
      </c>
      <c r="I18" s="63">
        <f t="shared" si="3"/>
        <v>39.812089999999998</v>
      </c>
      <c r="J18" s="64"/>
      <c r="K18" s="65">
        <v>31</v>
      </c>
      <c r="L18" s="79" t="s">
        <v>14</v>
      </c>
      <c r="M18" s="80" t="s">
        <v>107</v>
      </c>
      <c r="N18" s="81">
        <v>158115</v>
      </c>
      <c r="O18" s="69"/>
      <c r="P18" s="70"/>
      <c r="Q18" s="69"/>
      <c r="R18" s="64" t="s">
        <v>98</v>
      </c>
      <c r="S18" s="71"/>
      <c r="T18" s="71"/>
      <c r="U18" s="71"/>
      <c r="V18" s="72"/>
      <c r="W18" s="62" t="s">
        <v>105</v>
      </c>
      <c r="X18" s="64"/>
      <c r="Y18" s="71"/>
      <c r="Z18" s="71"/>
      <c r="AA18" s="71"/>
      <c r="AB18" s="71"/>
      <c r="AC18" s="71"/>
      <c r="AD18" s="71"/>
      <c r="AE18" s="71"/>
      <c r="AF18" s="82"/>
      <c r="AG18" s="71"/>
      <c r="AH18" s="64"/>
      <c r="AI18" s="64"/>
      <c r="AJ18" s="64"/>
      <c r="AK18" s="64"/>
      <c r="AL18" s="75" t="s">
        <v>27</v>
      </c>
      <c r="AM18" s="75"/>
      <c r="AN18" s="75"/>
      <c r="AO18" s="75"/>
      <c r="AP18" s="75"/>
      <c r="AQ18" s="75"/>
      <c r="AR18" s="75"/>
      <c r="AS18" s="75"/>
      <c r="AT18" s="84" t="str">
        <f>+IF(Table13642[[#This Row],[Posting Key(2)]]=31,$AT$11,"")</f>
        <v>30.04.2024</v>
      </c>
      <c r="AU18" s="75"/>
      <c r="AV18" s="75" t="str">
        <f>+IF(Table13642[[#This Row],[Baseline Date(10)]]=$AT$1,"","TC25")</f>
        <v>TC25</v>
      </c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76"/>
      <c r="BO18" s="77"/>
      <c r="BP18" s="85">
        <v>3</v>
      </c>
    </row>
    <row r="19" spans="1:68" x14ac:dyDescent="0.25">
      <c r="A19" s="59">
        <v>0</v>
      </c>
      <c r="B19" s="60">
        <v>1</v>
      </c>
      <c r="C19" s="48" t="str">
        <f t="shared" si="0"/>
        <v>30.04.2024</v>
      </c>
      <c r="D19" s="48" t="str">
        <f t="shared" si="0"/>
        <v>30.04.2024</v>
      </c>
      <c r="E19" s="61" t="s">
        <v>96</v>
      </c>
      <c r="F19" s="62" t="str">
        <f t="shared" si="1"/>
        <v>00000048</v>
      </c>
      <c r="G19" s="62" t="str">
        <f t="shared" si="2"/>
        <v>AP-24-1108</v>
      </c>
      <c r="H19" s="86" t="s">
        <v>97</v>
      </c>
      <c r="I19" s="87">
        <f t="shared" si="3"/>
        <v>39.812089999999998</v>
      </c>
      <c r="J19" s="64"/>
      <c r="K19" s="88">
        <v>40</v>
      </c>
      <c r="L19" s="66" t="s">
        <v>104</v>
      </c>
      <c r="M19" s="67"/>
      <c r="N19" s="68">
        <v>44179</v>
      </c>
      <c r="O19" s="69"/>
      <c r="P19" s="70"/>
      <c r="Q19" s="69"/>
      <c r="R19" s="64" t="s">
        <v>98</v>
      </c>
      <c r="S19" s="71"/>
      <c r="T19" s="71"/>
      <c r="U19" s="71"/>
      <c r="V19" s="72"/>
      <c r="W19" s="73" t="s">
        <v>105</v>
      </c>
      <c r="X19" s="64"/>
      <c r="Y19" s="71"/>
      <c r="Z19" s="71"/>
      <c r="AA19" s="71"/>
      <c r="AB19" s="71"/>
      <c r="AC19" s="71"/>
      <c r="AD19" s="71"/>
      <c r="AE19" s="71"/>
      <c r="AF19" s="74" t="s">
        <v>106</v>
      </c>
      <c r="AG19" s="71"/>
      <c r="AH19" s="64"/>
      <c r="AI19" s="64"/>
      <c r="AJ19" s="64"/>
      <c r="AK19" s="64"/>
      <c r="AL19" s="75" t="s">
        <v>27</v>
      </c>
      <c r="AM19" s="75"/>
      <c r="AN19" s="75"/>
      <c r="AO19" s="75"/>
      <c r="AP19" s="75"/>
      <c r="AQ19" s="75"/>
      <c r="AR19" s="75"/>
      <c r="AS19" s="75"/>
      <c r="AT19" s="89" t="str">
        <f>+IF(Table13642[[#This Row],[Posting Key(2)]]=31,$AT$1,"")</f>
        <v/>
      </c>
      <c r="AU19" s="75"/>
      <c r="AV19" s="75" t="str">
        <f>+IF(Table13642[[#This Row],[Baseline Date(10)]]=$AT$1,"","TC25")</f>
        <v/>
      </c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76"/>
      <c r="BO19" s="77"/>
      <c r="BP19" s="85">
        <v>4</v>
      </c>
    </row>
    <row r="20" spans="1:68" x14ac:dyDescent="0.25">
      <c r="A20" s="59">
        <v>0</v>
      </c>
      <c r="B20" s="60">
        <v>1</v>
      </c>
      <c r="C20" s="90" t="str">
        <f t="shared" si="0"/>
        <v>30.04.2024</v>
      </c>
      <c r="D20" s="90" t="str">
        <f t="shared" si="0"/>
        <v>30.04.2024</v>
      </c>
      <c r="E20" s="61" t="s">
        <v>96</v>
      </c>
      <c r="F20" s="91" t="str">
        <f t="shared" si="1"/>
        <v>00000048</v>
      </c>
      <c r="G20" s="91" t="str">
        <f t="shared" si="2"/>
        <v>AP-24-1108</v>
      </c>
      <c r="H20" s="86" t="s">
        <v>97</v>
      </c>
      <c r="I20" s="87">
        <f t="shared" si="3"/>
        <v>39.812089999999998</v>
      </c>
      <c r="J20" s="92"/>
      <c r="K20" s="88">
        <v>31</v>
      </c>
      <c r="L20" s="93" t="s">
        <v>14</v>
      </c>
      <c r="M20" s="94" t="s">
        <v>107</v>
      </c>
      <c r="N20" s="95">
        <v>44179</v>
      </c>
      <c r="O20" s="96"/>
      <c r="P20" s="97"/>
      <c r="Q20" s="96"/>
      <c r="R20" s="64" t="s">
        <v>98</v>
      </c>
      <c r="S20" s="98"/>
      <c r="T20" s="98"/>
      <c r="U20" s="98"/>
      <c r="V20" s="99"/>
      <c r="W20" s="91" t="s">
        <v>105</v>
      </c>
      <c r="X20" s="92"/>
      <c r="Y20" s="98"/>
      <c r="Z20" s="98"/>
      <c r="AA20" s="98"/>
      <c r="AB20" s="98"/>
      <c r="AC20" s="98"/>
      <c r="AD20" s="98"/>
      <c r="AE20" s="98"/>
      <c r="AF20" s="92"/>
      <c r="AG20" s="98"/>
      <c r="AH20" s="92"/>
      <c r="AI20" s="92"/>
      <c r="AJ20" s="92"/>
      <c r="AK20" s="92"/>
      <c r="AL20" s="75" t="s">
        <v>27</v>
      </c>
      <c r="AM20" s="100"/>
      <c r="AN20" s="100"/>
      <c r="AO20" s="100"/>
      <c r="AP20" s="100"/>
      <c r="AQ20" s="100"/>
      <c r="AR20" s="100"/>
      <c r="AS20" s="100"/>
      <c r="AT20" s="84" t="str">
        <f>+IF(Table13642[[#This Row],[Posting Key(2)]]=31,$AT$11,"")</f>
        <v>30.04.2024</v>
      </c>
      <c r="AU20" s="100"/>
      <c r="AV20" s="100" t="str">
        <f>+IF(Table13642[[#This Row],[Baseline Date(10)]]=$AT$1,"","TC25")</f>
        <v>TC25</v>
      </c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101"/>
      <c r="BO20" s="102"/>
      <c r="BP20" s="85">
        <v>4</v>
      </c>
    </row>
    <row r="21" spans="1:68" x14ac:dyDescent="0.25">
      <c r="A21" s="59">
        <v>0</v>
      </c>
      <c r="B21" s="60">
        <v>1</v>
      </c>
      <c r="C21" s="48" t="str">
        <f t="shared" si="0"/>
        <v>30.04.2024</v>
      </c>
      <c r="D21" s="48" t="str">
        <f t="shared" si="0"/>
        <v>30.04.2024</v>
      </c>
      <c r="E21" s="61" t="s">
        <v>96</v>
      </c>
      <c r="F21" s="62" t="str">
        <f t="shared" si="1"/>
        <v>00000048</v>
      </c>
      <c r="G21" s="62" t="str">
        <f t="shared" si="2"/>
        <v>AP-24-1108</v>
      </c>
      <c r="H21" s="86" t="s">
        <v>97</v>
      </c>
      <c r="I21" s="87">
        <f t="shared" si="3"/>
        <v>39.812089999999998</v>
      </c>
      <c r="J21" s="64"/>
      <c r="K21" s="88">
        <v>40</v>
      </c>
      <c r="L21" s="66">
        <v>624131</v>
      </c>
      <c r="M21" s="67"/>
      <c r="N21" s="68">
        <v>56735</v>
      </c>
      <c r="O21" s="69"/>
      <c r="P21" s="70"/>
      <c r="Q21" s="69"/>
      <c r="R21" s="64" t="s">
        <v>98</v>
      </c>
      <c r="S21" s="71"/>
      <c r="T21" s="71"/>
      <c r="U21" s="71"/>
      <c r="V21" s="72"/>
      <c r="W21" s="73" t="s">
        <v>102</v>
      </c>
      <c r="X21" s="64"/>
      <c r="Y21" s="71"/>
      <c r="Z21" s="71"/>
      <c r="AA21" s="71"/>
      <c r="AB21" s="71"/>
      <c r="AC21" s="71"/>
      <c r="AD21" s="71"/>
      <c r="AE21" s="71"/>
      <c r="AF21" s="74" t="s">
        <v>108</v>
      </c>
      <c r="AG21" s="71"/>
      <c r="AH21" s="64"/>
      <c r="AI21" s="64"/>
      <c r="AJ21" s="64"/>
      <c r="AK21" s="64"/>
      <c r="AL21" s="75" t="s">
        <v>27</v>
      </c>
      <c r="AM21" s="75"/>
      <c r="AN21" s="75"/>
      <c r="AO21" s="75"/>
      <c r="AP21" s="75"/>
      <c r="AQ21" s="75"/>
      <c r="AR21" s="75"/>
      <c r="AS21" s="75"/>
      <c r="AT21" s="89" t="str">
        <f>+IF(Table13642[[#This Row],[Posting Key(2)]]=31,$AT$1,"")</f>
        <v/>
      </c>
      <c r="AU21" s="75"/>
      <c r="AV21" s="75" t="str">
        <f>+IF(Table13642[[#This Row],[Baseline Date(10)]]=$AT$1,"","TC25")</f>
        <v/>
      </c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76"/>
      <c r="BO21" s="77"/>
      <c r="BP21" s="85">
        <v>5</v>
      </c>
    </row>
    <row r="22" spans="1:68" x14ac:dyDescent="0.25">
      <c r="A22" s="59">
        <v>0</v>
      </c>
      <c r="B22" s="60">
        <v>1</v>
      </c>
      <c r="C22" s="90" t="str">
        <f t="shared" si="0"/>
        <v>30.04.2024</v>
      </c>
      <c r="D22" s="90" t="str">
        <f t="shared" si="0"/>
        <v>30.04.2024</v>
      </c>
      <c r="E22" s="61" t="s">
        <v>96</v>
      </c>
      <c r="F22" s="91" t="str">
        <f t="shared" si="1"/>
        <v>00000048</v>
      </c>
      <c r="G22" s="91" t="str">
        <f t="shared" si="2"/>
        <v>AP-24-1108</v>
      </c>
      <c r="H22" s="86" t="s">
        <v>97</v>
      </c>
      <c r="I22" s="87">
        <f t="shared" si="3"/>
        <v>39.812089999999998</v>
      </c>
      <c r="J22" s="92"/>
      <c r="K22" s="88">
        <v>31</v>
      </c>
      <c r="L22" s="93" t="s">
        <v>18</v>
      </c>
      <c r="M22" s="94" t="s">
        <v>101</v>
      </c>
      <c r="N22" s="95">
        <v>56735</v>
      </c>
      <c r="O22" s="96"/>
      <c r="P22" s="97"/>
      <c r="Q22" s="96"/>
      <c r="R22" s="64" t="s">
        <v>98</v>
      </c>
      <c r="S22" s="98"/>
      <c r="T22" s="98"/>
      <c r="U22" s="98"/>
      <c r="V22" s="99"/>
      <c r="W22" s="91" t="s">
        <v>102</v>
      </c>
      <c r="X22" s="92"/>
      <c r="Y22" s="98"/>
      <c r="Z22" s="98"/>
      <c r="AA22" s="98"/>
      <c r="AB22" s="98"/>
      <c r="AC22" s="98"/>
      <c r="AD22" s="98"/>
      <c r="AE22" s="98"/>
      <c r="AF22" s="92"/>
      <c r="AG22" s="98"/>
      <c r="AH22" s="92"/>
      <c r="AI22" s="92"/>
      <c r="AJ22" s="92"/>
      <c r="AK22" s="92"/>
      <c r="AL22" s="75" t="s">
        <v>27</v>
      </c>
      <c r="AM22" s="100"/>
      <c r="AN22" s="100"/>
      <c r="AO22" s="100"/>
      <c r="AP22" s="100"/>
      <c r="AQ22" s="100"/>
      <c r="AR22" s="100"/>
      <c r="AS22" s="100"/>
      <c r="AT22" s="84" t="str">
        <f>+IF(Table13642[[#This Row],[Posting Key(2)]]=31,$AT$11,"")</f>
        <v>30.04.2024</v>
      </c>
      <c r="AU22" s="100"/>
      <c r="AV22" s="100" t="str">
        <f>+IF(Table13642[[#This Row],[Baseline Date(10)]]=$AT$1,"","TC25")</f>
        <v>TC25</v>
      </c>
      <c r="AW22" s="92"/>
      <c r="AX22" s="92"/>
      <c r="AY22" s="92"/>
      <c r="AZ22" s="92"/>
      <c r="BA22" s="92"/>
      <c r="BB22" s="92"/>
      <c r="BC22" s="92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101"/>
      <c r="BO22" s="102"/>
      <c r="BP22" s="85">
        <v>5</v>
      </c>
    </row>
    <row r="23" spans="1:68" x14ac:dyDescent="0.25">
      <c r="A23" s="59">
        <v>0</v>
      </c>
      <c r="B23" s="60">
        <v>1</v>
      </c>
      <c r="C23" s="48" t="str">
        <f t="shared" si="0"/>
        <v>30.04.2024</v>
      </c>
      <c r="D23" s="48" t="str">
        <f t="shared" si="0"/>
        <v>30.04.2024</v>
      </c>
      <c r="E23" s="61" t="s">
        <v>96</v>
      </c>
      <c r="F23" s="62" t="str">
        <f t="shared" si="1"/>
        <v>00000048</v>
      </c>
      <c r="G23" s="62" t="str">
        <f t="shared" si="2"/>
        <v>AP-24-1108</v>
      </c>
      <c r="H23" s="86" t="s">
        <v>97</v>
      </c>
      <c r="I23" s="87">
        <f t="shared" si="3"/>
        <v>39.812089999999998</v>
      </c>
      <c r="J23" s="64"/>
      <c r="K23" s="88">
        <v>40</v>
      </c>
      <c r="L23" s="66">
        <v>644100</v>
      </c>
      <c r="M23" s="67"/>
      <c r="N23" s="68">
        <v>82778</v>
      </c>
      <c r="O23" s="69"/>
      <c r="P23" s="70"/>
      <c r="Q23" s="69"/>
      <c r="R23" s="64" t="s">
        <v>98</v>
      </c>
      <c r="S23" s="71"/>
      <c r="T23" s="71"/>
      <c r="U23" s="71"/>
      <c r="V23" s="72"/>
      <c r="W23" s="73" t="s">
        <v>109</v>
      </c>
      <c r="X23" s="64"/>
      <c r="Y23" s="71"/>
      <c r="Z23" s="71"/>
      <c r="AA23" s="71"/>
      <c r="AB23" s="71"/>
      <c r="AC23" s="71"/>
      <c r="AD23" s="71"/>
      <c r="AE23" s="71"/>
      <c r="AF23" s="74" t="s">
        <v>110</v>
      </c>
      <c r="AG23" s="71"/>
      <c r="AH23" s="64"/>
      <c r="AI23" s="64"/>
      <c r="AJ23" s="64"/>
      <c r="AK23" s="64"/>
      <c r="AL23" s="75" t="s">
        <v>27</v>
      </c>
      <c r="AM23" s="75"/>
      <c r="AN23" s="75"/>
      <c r="AO23" s="75"/>
      <c r="AP23" s="75"/>
      <c r="AQ23" s="75"/>
      <c r="AR23" s="75"/>
      <c r="AS23" s="75"/>
      <c r="AT23" s="89" t="str">
        <f>+IF(Table13642[[#This Row],[Posting Key(2)]]=31,$AT$1,"")</f>
        <v/>
      </c>
      <c r="AU23" s="75"/>
      <c r="AV23" s="75" t="str">
        <f>+IF(Table13642[[#This Row],[Baseline Date(10)]]=$AT$1,"","TC25")</f>
        <v/>
      </c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76"/>
      <c r="BO23" s="77"/>
      <c r="BP23" s="85">
        <v>6</v>
      </c>
    </row>
    <row r="24" spans="1:68" x14ac:dyDescent="0.25">
      <c r="A24" s="59">
        <v>0</v>
      </c>
      <c r="B24" s="60">
        <v>1</v>
      </c>
      <c r="C24" s="90" t="str">
        <f t="shared" si="0"/>
        <v>30.04.2024</v>
      </c>
      <c r="D24" s="90" t="str">
        <f t="shared" si="0"/>
        <v>30.04.2024</v>
      </c>
      <c r="E24" s="61" t="s">
        <v>96</v>
      </c>
      <c r="F24" s="91" t="str">
        <f t="shared" si="1"/>
        <v>00000048</v>
      </c>
      <c r="G24" s="91" t="str">
        <f t="shared" si="2"/>
        <v>AP-24-1108</v>
      </c>
      <c r="H24" s="86" t="s">
        <v>97</v>
      </c>
      <c r="I24" s="87">
        <f t="shared" si="3"/>
        <v>39.812089999999998</v>
      </c>
      <c r="J24" s="92"/>
      <c r="K24" s="88">
        <v>31</v>
      </c>
      <c r="L24" s="93" t="s">
        <v>18</v>
      </c>
      <c r="M24" s="94" t="s">
        <v>101</v>
      </c>
      <c r="N24" s="95">
        <v>82778</v>
      </c>
      <c r="O24" s="96"/>
      <c r="P24" s="97"/>
      <c r="Q24" s="96"/>
      <c r="R24" s="64" t="s">
        <v>98</v>
      </c>
      <c r="S24" s="98"/>
      <c r="T24" s="98"/>
      <c r="U24" s="98"/>
      <c r="V24" s="99"/>
      <c r="W24" s="91" t="s">
        <v>109</v>
      </c>
      <c r="X24" s="92"/>
      <c r="Y24" s="98"/>
      <c r="Z24" s="98"/>
      <c r="AA24" s="98"/>
      <c r="AB24" s="98"/>
      <c r="AC24" s="98"/>
      <c r="AD24" s="98"/>
      <c r="AE24" s="98"/>
      <c r="AF24" s="92"/>
      <c r="AG24" s="98"/>
      <c r="AH24" s="92"/>
      <c r="AI24" s="92"/>
      <c r="AJ24" s="92"/>
      <c r="AK24" s="92"/>
      <c r="AL24" s="75" t="s">
        <v>27</v>
      </c>
      <c r="AM24" s="100"/>
      <c r="AN24" s="100"/>
      <c r="AO24" s="100"/>
      <c r="AP24" s="100"/>
      <c r="AQ24" s="100"/>
      <c r="AR24" s="100"/>
      <c r="AS24" s="100"/>
      <c r="AT24" s="84" t="str">
        <f>+IF(Table13642[[#This Row],[Posting Key(2)]]=31,$AT$11,"")</f>
        <v>30.04.2024</v>
      </c>
      <c r="AU24" s="100"/>
      <c r="AV24" s="100" t="str">
        <f>+IF(Table13642[[#This Row],[Baseline Date(10)]]=$AT$1,"","TC25")</f>
        <v>TC25</v>
      </c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101"/>
      <c r="BO24" s="102"/>
      <c r="BP24" s="85">
        <v>6</v>
      </c>
    </row>
    <row r="25" spans="1:68" x14ac:dyDescent="0.25">
      <c r="A25" s="59">
        <v>0</v>
      </c>
      <c r="B25" s="60">
        <v>1</v>
      </c>
      <c r="C25" s="48" t="str">
        <f t="shared" si="0"/>
        <v>30.04.2024</v>
      </c>
      <c r="D25" s="48" t="str">
        <f t="shared" si="0"/>
        <v>30.04.2024</v>
      </c>
      <c r="E25" s="61" t="s">
        <v>96</v>
      </c>
      <c r="F25" s="62" t="str">
        <f t="shared" si="1"/>
        <v>00000048</v>
      </c>
      <c r="G25" s="62" t="str">
        <f t="shared" si="2"/>
        <v>AP-24-1108</v>
      </c>
      <c r="H25" s="86" t="s">
        <v>97</v>
      </c>
      <c r="I25" s="87">
        <f t="shared" si="3"/>
        <v>39.812089999999998</v>
      </c>
      <c r="J25" s="64"/>
      <c r="K25" s="88">
        <v>40</v>
      </c>
      <c r="L25" s="66">
        <v>644100</v>
      </c>
      <c r="M25" s="67"/>
      <c r="N25" s="68">
        <v>82778</v>
      </c>
      <c r="O25" s="69"/>
      <c r="P25" s="70"/>
      <c r="Q25" s="69"/>
      <c r="R25" s="64" t="s">
        <v>98</v>
      </c>
      <c r="S25" s="71"/>
      <c r="T25" s="71"/>
      <c r="U25" s="71"/>
      <c r="V25" s="72"/>
      <c r="W25" s="73" t="s">
        <v>109</v>
      </c>
      <c r="X25" s="64"/>
      <c r="Y25" s="71"/>
      <c r="Z25" s="71"/>
      <c r="AA25" s="71"/>
      <c r="AB25" s="71"/>
      <c r="AC25" s="71"/>
      <c r="AD25" s="71"/>
      <c r="AE25" s="71"/>
      <c r="AF25" s="74" t="s">
        <v>110</v>
      </c>
      <c r="AG25" s="71"/>
      <c r="AH25" s="64"/>
      <c r="AI25" s="64"/>
      <c r="AJ25" s="64"/>
      <c r="AK25" s="64"/>
      <c r="AL25" s="75" t="s">
        <v>27</v>
      </c>
      <c r="AM25" s="75"/>
      <c r="AN25" s="75"/>
      <c r="AO25" s="75"/>
      <c r="AP25" s="75"/>
      <c r="AQ25" s="75"/>
      <c r="AR25" s="75"/>
      <c r="AS25" s="75"/>
      <c r="AT25" s="89" t="str">
        <f>+IF(Table13642[[#This Row],[Posting Key(2)]]=31,$AT$1,"")</f>
        <v/>
      </c>
      <c r="AU25" s="75"/>
      <c r="AV25" s="75" t="str">
        <f>+IF(Table13642[[#This Row],[Baseline Date(10)]]=$AT$1,"","TC25")</f>
        <v/>
      </c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76"/>
      <c r="BO25" s="77"/>
      <c r="BP25" s="85">
        <v>7</v>
      </c>
    </row>
    <row r="26" spans="1:68" x14ac:dyDescent="0.25">
      <c r="A26" s="59">
        <v>0</v>
      </c>
      <c r="B26" s="60">
        <v>1</v>
      </c>
      <c r="C26" s="90" t="str">
        <f t="shared" si="0"/>
        <v>30.04.2024</v>
      </c>
      <c r="D26" s="90" t="str">
        <f t="shared" si="0"/>
        <v>30.04.2024</v>
      </c>
      <c r="E26" s="61" t="s">
        <v>96</v>
      </c>
      <c r="F26" s="91" t="str">
        <f t="shared" si="1"/>
        <v>00000048</v>
      </c>
      <c r="G26" s="91" t="str">
        <f t="shared" si="2"/>
        <v>AP-24-1108</v>
      </c>
      <c r="H26" s="86" t="s">
        <v>97</v>
      </c>
      <c r="I26" s="87">
        <f t="shared" si="3"/>
        <v>39.812089999999998</v>
      </c>
      <c r="J26" s="92"/>
      <c r="K26" s="88">
        <v>31</v>
      </c>
      <c r="L26" s="93" t="s">
        <v>18</v>
      </c>
      <c r="M26" s="94" t="s">
        <v>101</v>
      </c>
      <c r="N26" s="95">
        <v>82778</v>
      </c>
      <c r="O26" s="96"/>
      <c r="P26" s="97"/>
      <c r="Q26" s="96"/>
      <c r="R26" s="64" t="s">
        <v>98</v>
      </c>
      <c r="S26" s="98"/>
      <c r="T26" s="98"/>
      <c r="U26" s="98"/>
      <c r="V26" s="99"/>
      <c r="W26" s="91" t="s">
        <v>109</v>
      </c>
      <c r="X26" s="92"/>
      <c r="Y26" s="98"/>
      <c r="Z26" s="98"/>
      <c r="AA26" s="98"/>
      <c r="AB26" s="98"/>
      <c r="AC26" s="98"/>
      <c r="AD26" s="98"/>
      <c r="AE26" s="98"/>
      <c r="AF26" s="92"/>
      <c r="AG26" s="98"/>
      <c r="AH26" s="92"/>
      <c r="AI26" s="92"/>
      <c r="AJ26" s="92"/>
      <c r="AK26" s="92"/>
      <c r="AL26" s="75" t="s">
        <v>27</v>
      </c>
      <c r="AM26" s="100"/>
      <c r="AN26" s="100"/>
      <c r="AO26" s="100"/>
      <c r="AP26" s="100"/>
      <c r="AQ26" s="100"/>
      <c r="AR26" s="100"/>
      <c r="AS26" s="100"/>
      <c r="AT26" s="84" t="str">
        <f>+IF(Table13642[[#This Row],[Posting Key(2)]]=31,$AT$11,"")</f>
        <v>30.04.2024</v>
      </c>
      <c r="AU26" s="100"/>
      <c r="AV26" s="100" t="str">
        <f>+IF(Table13642[[#This Row],[Baseline Date(10)]]=$AT$1,"","TC25")</f>
        <v>TC25</v>
      </c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101"/>
      <c r="BO26" s="102"/>
      <c r="BP26" s="85">
        <v>7</v>
      </c>
    </row>
    <row r="27" spans="1:68" x14ac:dyDescent="0.25">
      <c r="A27" s="59">
        <v>0</v>
      </c>
      <c r="B27" s="60">
        <v>1</v>
      </c>
      <c r="C27" s="48" t="str">
        <f t="shared" si="0"/>
        <v>30.04.2024</v>
      </c>
      <c r="D27" s="48" t="str">
        <f t="shared" si="0"/>
        <v>30.04.2024</v>
      </c>
      <c r="E27" s="61" t="s">
        <v>96</v>
      </c>
      <c r="F27" s="62" t="str">
        <f t="shared" si="1"/>
        <v>00000048</v>
      </c>
      <c r="G27" s="62" t="str">
        <f t="shared" si="2"/>
        <v>AP-24-1108</v>
      </c>
      <c r="H27" s="86" t="s">
        <v>97</v>
      </c>
      <c r="I27" s="87">
        <f t="shared" si="3"/>
        <v>39.812089999999998</v>
      </c>
      <c r="J27" s="64"/>
      <c r="K27" s="88">
        <v>40</v>
      </c>
      <c r="L27" s="66">
        <v>644100</v>
      </c>
      <c r="M27" s="67"/>
      <c r="N27" s="68">
        <v>206944</v>
      </c>
      <c r="O27" s="69"/>
      <c r="P27" s="70"/>
      <c r="Q27" s="69"/>
      <c r="R27" s="64" t="s">
        <v>98</v>
      </c>
      <c r="S27" s="71"/>
      <c r="T27" s="71"/>
      <c r="U27" s="71"/>
      <c r="V27" s="72"/>
      <c r="W27" s="73" t="s">
        <v>109</v>
      </c>
      <c r="X27" s="64"/>
      <c r="Y27" s="71"/>
      <c r="Z27" s="71"/>
      <c r="AA27" s="71"/>
      <c r="AB27" s="71"/>
      <c r="AC27" s="71"/>
      <c r="AD27" s="71"/>
      <c r="AE27" s="71"/>
      <c r="AF27" s="74" t="s">
        <v>110</v>
      </c>
      <c r="AG27" s="71"/>
      <c r="AH27" s="64"/>
      <c r="AI27" s="64"/>
      <c r="AJ27" s="64"/>
      <c r="AK27" s="64"/>
      <c r="AL27" s="75" t="s">
        <v>27</v>
      </c>
      <c r="AM27" s="75"/>
      <c r="AN27" s="75"/>
      <c r="AO27" s="75"/>
      <c r="AP27" s="75"/>
      <c r="AQ27" s="75"/>
      <c r="AR27" s="75"/>
      <c r="AS27" s="75"/>
      <c r="AT27" s="89" t="str">
        <f>+IF(Table13642[[#This Row],[Posting Key(2)]]=31,$AT$1,"")</f>
        <v/>
      </c>
      <c r="AU27" s="75"/>
      <c r="AV27" s="75" t="str">
        <f>+IF(Table13642[[#This Row],[Baseline Date(10)]]=$AT$1,"","TC25")</f>
        <v/>
      </c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76"/>
      <c r="BO27" s="77"/>
      <c r="BP27" s="85">
        <v>8</v>
      </c>
    </row>
    <row r="28" spans="1:68" x14ac:dyDescent="0.25">
      <c r="A28" s="59">
        <v>0</v>
      </c>
      <c r="B28" s="60">
        <v>1</v>
      </c>
      <c r="C28" s="90" t="str">
        <f t="shared" si="0"/>
        <v>30.04.2024</v>
      </c>
      <c r="D28" s="90" t="str">
        <f t="shared" si="0"/>
        <v>30.04.2024</v>
      </c>
      <c r="E28" s="61" t="s">
        <v>96</v>
      </c>
      <c r="F28" s="91" t="str">
        <f t="shared" si="1"/>
        <v>00000048</v>
      </c>
      <c r="G28" s="91" t="str">
        <f t="shared" si="2"/>
        <v>AP-24-1108</v>
      </c>
      <c r="H28" s="86" t="s">
        <v>97</v>
      </c>
      <c r="I28" s="87">
        <f t="shared" si="3"/>
        <v>39.812089999999998</v>
      </c>
      <c r="J28" s="92"/>
      <c r="K28" s="88">
        <v>31</v>
      </c>
      <c r="L28" s="93" t="s">
        <v>18</v>
      </c>
      <c r="M28" s="94" t="s">
        <v>101</v>
      </c>
      <c r="N28" s="95">
        <v>206944</v>
      </c>
      <c r="O28" s="96"/>
      <c r="P28" s="97"/>
      <c r="Q28" s="96"/>
      <c r="R28" s="64" t="s">
        <v>98</v>
      </c>
      <c r="S28" s="98"/>
      <c r="T28" s="98"/>
      <c r="U28" s="98"/>
      <c r="V28" s="99"/>
      <c r="W28" s="91" t="s">
        <v>109</v>
      </c>
      <c r="X28" s="92"/>
      <c r="Y28" s="98"/>
      <c r="Z28" s="98"/>
      <c r="AA28" s="98"/>
      <c r="AB28" s="98"/>
      <c r="AC28" s="98"/>
      <c r="AD28" s="98"/>
      <c r="AE28" s="98"/>
      <c r="AF28" s="92"/>
      <c r="AG28" s="98"/>
      <c r="AH28" s="92"/>
      <c r="AI28" s="92"/>
      <c r="AJ28" s="92"/>
      <c r="AK28" s="92"/>
      <c r="AL28" s="75" t="s">
        <v>27</v>
      </c>
      <c r="AM28" s="100"/>
      <c r="AN28" s="100"/>
      <c r="AO28" s="100"/>
      <c r="AP28" s="100"/>
      <c r="AQ28" s="100"/>
      <c r="AR28" s="100"/>
      <c r="AS28" s="100"/>
      <c r="AT28" s="84" t="str">
        <f>+IF(Table13642[[#This Row],[Posting Key(2)]]=31,$AT$11,"")</f>
        <v>30.04.2024</v>
      </c>
      <c r="AU28" s="100"/>
      <c r="AV28" s="100" t="str">
        <f>+IF(Table13642[[#This Row],[Baseline Date(10)]]=$AT$1,"","TC25")</f>
        <v>TC25</v>
      </c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101"/>
      <c r="BO28" s="102"/>
      <c r="BP28" s="85">
        <v>8</v>
      </c>
    </row>
    <row r="29" spans="1:68" x14ac:dyDescent="0.25">
      <c r="A29" s="59">
        <v>0</v>
      </c>
      <c r="B29" s="60">
        <v>1</v>
      </c>
      <c r="C29" s="48" t="str">
        <f t="shared" si="0"/>
        <v>30.04.2024</v>
      </c>
      <c r="D29" s="48" t="str">
        <f t="shared" si="0"/>
        <v>30.04.2024</v>
      </c>
      <c r="E29" s="61" t="s">
        <v>96</v>
      </c>
      <c r="F29" s="62" t="str">
        <f t="shared" si="1"/>
        <v>00000048</v>
      </c>
      <c r="G29" s="62" t="str">
        <f t="shared" si="2"/>
        <v>AP-24-1108</v>
      </c>
      <c r="H29" s="86" t="s">
        <v>97</v>
      </c>
      <c r="I29" s="87">
        <f t="shared" si="3"/>
        <v>39.812089999999998</v>
      </c>
      <c r="J29" s="64"/>
      <c r="K29" s="88">
        <v>40</v>
      </c>
      <c r="L29" s="66">
        <v>644500</v>
      </c>
      <c r="M29" s="67"/>
      <c r="N29" s="68">
        <v>13728</v>
      </c>
      <c r="O29" s="69"/>
      <c r="P29" s="70"/>
      <c r="Q29" s="69"/>
      <c r="R29" s="64" t="s">
        <v>98</v>
      </c>
      <c r="S29" s="71"/>
      <c r="T29" s="71"/>
      <c r="U29" s="71"/>
      <c r="V29" s="72"/>
      <c r="W29" s="73" t="s">
        <v>111</v>
      </c>
      <c r="X29" s="64"/>
      <c r="Y29" s="71"/>
      <c r="Z29" s="71"/>
      <c r="AA29" s="71"/>
      <c r="AB29" s="71"/>
      <c r="AC29" s="71"/>
      <c r="AD29" s="71"/>
      <c r="AE29" s="71"/>
      <c r="AF29" s="74" t="s">
        <v>112</v>
      </c>
      <c r="AG29" s="71"/>
      <c r="AH29" s="64"/>
      <c r="AI29" s="64"/>
      <c r="AJ29" s="64"/>
      <c r="AK29" s="64"/>
      <c r="AL29" s="75" t="s">
        <v>27</v>
      </c>
      <c r="AM29" s="75"/>
      <c r="AN29" s="75"/>
      <c r="AO29" s="75"/>
      <c r="AP29" s="75"/>
      <c r="AQ29" s="75"/>
      <c r="AR29" s="75"/>
      <c r="AS29" s="75"/>
      <c r="AT29" s="89" t="str">
        <f>+IF(Table13642[[#This Row],[Posting Key(2)]]=31,$AT$1,"")</f>
        <v/>
      </c>
      <c r="AU29" s="75"/>
      <c r="AV29" s="75" t="str">
        <f>+IF(Table13642[[#This Row],[Baseline Date(10)]]=$AT$1,"","TC25")</f>
        <v/>
      </c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76"/>
      <c r="BO29" s="77"/>
      <c r="BP29" s="85">
        <v>9</v>
      </c>
    </row>
    <row r="30" spans="1:68" x14ac:dyDescent="0.25">
      <c r="A30" s="59">
        <v>0</v>
      </c>
      <c r="B30" s="60">
        <v>1</v>
      </c>
      <c r="C30" s="90" t="str">
        <f t="shared" si="0"/>
        <v>30.04.2024</v>
      </c>
      <c r="D30" s="90" t="str">
        <f t="shared" si="0"/>
        <v>30.04.2024</v>
      </c>
      <c r="E30" s="61" t="s">
        <v>96</v>
      </c>
      <c r="F30" s="91" t="str">
        <f t="shared" si="1"/>
        <v>00000048</v>
      </c>
      <c r="G30" s="91" t="str">
        <f t="shared" si="2"/>
        <v>AP-24-1108</v>
      </c>
      <c r="H30" s="86" t="s">
        <v>97</v>
      </c>
      <c r="I30" s="87">
        <f t="shared" si="3"/>
        <v>39.812089999999998</v>
      </c>
      <c r="J30" s="92"/>
      <c r="K30" s="88">
        <v>31</v>
      </c>
      <c r="L30" s="93" t="s">
        <v>18</v>
      </c>
      <c r="M30" s="94" t="s">
        <v>101</v>
      </c>
      <c r="N30" s="95">
        <v>13728</v>
      </c>
      <c r="O30" s="96"/>
      <c r="P30" s="97"/>
      <c r="Q30" s="96"/>
      <c r="R30" s="64" t="s">
        <v>98</v>
      </c>
      <c r="S30" s="98"/>
      <c r="T30" s="98"/>
      <c r="U30" s="98"/>
      <c r="V30" s="99"/>
      <c r="W30" s="91" t="s">
        <v>111</v>
      </c>
      <c r="X30" s="92"/>
      <c r="Y30" s="98"/>
      <c r="Z30" s="98"/>
      <c r="AA30" s="98"/>
      <c r="AB30" s="98"/>
      <c r="AC30" s="98"/>
      <c r="AD30" s="98"/>
      <c r="AE30" s="98"/>
      <c r="AF30" s="92"/>
      <c r="AG30" s="98"/>
      <c r="AH30" s="92"/>
      <c r="AI30" s="92"/>
      <c r="AJ30" s="92"/>
      <c r="AK30" s="92"/>
      <c r="AL30" s="75" t="s">
        <v>27</v>
      </c>
      <c r="AM30" s="100"/>
      <c r="AN30" s="100"/>
      <c r="AO30" s="100"/>
      <c r="AP30" s="100"/>
      <c r="AQ30" s="100"/>
      <c r="AR30" s="100"/>
      <c r="AS30" s="100"/>
      <c r="AT30" s="84" t="str">
        <f>+IF(Table13642[[#This Row],[Posting Key(2)]]=31,$AT$11,"")</f>
        <v>30.04.2024</v>
      </c>
      <c r="AU30" s="100"/>
      <c r="AV30" s="100" t="str">
        <f>+IF(Table13642[[#This Row],[Baseline Date(10)]]=$AT$1,"","TC25")</f>
        <v>TC25</v>
      </c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101"/>
      <c r="BO30" s="102"/>
      <c r="BP30" s="85">
        <v>9</v>
      </c>
    </row>
    <row r="31" spans="1:68" x14ac:dyDescent="0.25">
      <c r="A31" s="59">
        <v>0</v>
      </c>
      <c r="B31" s="60">
        <v>1</v>
      </c>
      <c r="C31" s="48" t="str">
        <f t="shared" si="0"/>
        <v>30.04.2024</v>
      </c>
      <c r="D31" s="48" t="str">
        <f t="shared" si="0"/>
        <v>30.04.2024</v>
      </c>
      <c r="E31" s="61" t="s">
        <v>96</v>
      </c>
      <c r="F31" s="62" t="str">
        <f t="shared" si="1"/>
        <v>00000048</v>
      </c>
      <c r="G31" s="62" t="str">
        <f t="shared" si="2"/>
        <v>AP-24-1108</v>
      </c>
      <c r="H31" s="86" t="s">
        <v>97</v>
      </c>
      <c r="I31" s="87">
        <f t="shared" si="3"/>
        <v>39.812089999999998</v>
      </c>
      <c r="J31" s="64"/>
      <c r="K31" s="88">
        <v>40</v>
      </c>
      <c r="L31" s="66">
        <v>644100</v>
      </c>
      <c r="M31" s="67"/>
      <c r="N31" s="68">
        <v>262252</v>
      </c>
      <c r="O31" s="69"/>
      <c r="P31" s="70"/>
      <c r="Q31" s="69"/>
      <c r="R31" s="64" t="s">
        <v>98</v>
      </c>
      <c r="S31" s="71"/>
      <c r="T31" s="71"/>
      <c r="U31" s="71"/>
      <c r="V31" s="72"/>
      <c r="W31" s="73" t="s">
        <v>111</v>
      </c>
      <c r="X31" s="64"/>
      <c r="Y31" s="71"/>
      <c r="Z31" s="71"/>
      <c r="AA31" s="71"/>
      <c r="AB31" s="71"/>
      <c r="AC31" s="71"/>
      <c r="AD31" s="71"/>
      <c r="AE31" s="71"/>
      <c r="AF31" s="74" t="s">
        <v>113</v>
      </c>
      <c r="AG31" s="71"/>
      <c r="AH31" s="64"/>
      <c r="AI31" s="64"/>
      <c r="AJ31" s="64"/>
      <c r="AK31" s="64"/>
      <c r="AL31" s="75" t="s">
        <v>27</v>
      </c>
      <c r="AM31" s="75"/>
      <c r="AN31" s="75"/>
      <c r="AO31" s="75"/>
      <c r="AP31" s="75"/>
      <c r="AQ31" s="75"/>
      <c r="AR31" s="75"/>
      <c r="AS31" s="75"/>
      <c r="AT31" s="89" t="str">
        <f>+IF(Table13642[[#This Row],[Posting Key(2)]]=31,$AT$1,"")</f>
        <v/>
      </c>
      <c r="AU31" s="75"/>
      <c r="AV31" s="75" t="str">
        <f>+IF(Table13642[[#This Row],[Baseline Date(10)]]=$AT$1,"","TC25")</f>
        <v/>
      </c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76"/>
      <c r="BO31" s="77"/>
      <c r="BP31" s="85">
        <v>10</v>
      </c>
    </row>
    <row r="32" spans="1:68" x14ac:dyDescent="0.25">
      <c r="A32" s="59">
        <v>0</v>
      </c>
      <c r="B32" s="60">
        <v>1</v>
      </c>
      <c r="C32" s="90" t="str">
        <f t="shared" si="0"/>
        <v>30.04.2024</v>
      </c>
      <c r="D32" s="90" t="str">
        <f t="shared" si="0"/>
        <v>30.04.2024</v>
      </c>
      <c r="E32" s="61" t="s">
        <v>96</v>
      </c>
      <c r="F32" s="91" t="str">
        <f t="shared" si="1"/>
        <v>00000048</v>
      </c>
      <c r="G32" s="91" t="str">
        <f t="shared" si="2"/>
        <v>AP-24-1108</v>
      </c>
      <c r="H32" s="86" t="s">
        <v>97</v>
      </c>
      <c r="I32" s="87">
        <f t="shared" si="3"/>
        <v>39.812089999999998</v>
      </c>
      <c r="J32" s="92"/>
      <c r="K32" s="88">
        <v>31</v>
      </c>
      <c r="L32" s="93" t="s">
        <v>18</v>
      </c>
      <c r="M32" s="94" t="s">
        <v>101</v>
      </c>
      <c r="N32" s="95">
        <v>262252</v>
      </c>
      <c r="O32" s="96"/>
      <c r="P32" s="97"/>
      <c r="Q32" s="96"/>
      <c r="R32" s="64" t="s">
        <v>98</v>
      </c>
      <c r="S32" s="98"/>
      <c r="T32" s="98"/>
      <c r="U32" s="98"/>
      <c r="V32" s="99"/>
      <c r="W32" s="91" t="s">
        <v>111</v>
      </c>
      <c r="X32" s="92"/>
      <c r="Y32" s="98"/>
      <c r="Z32" s="98"/>
      <c r="AA32" s="98"/>
      <c r="AB32" s="98"/>
      <c r="AC32" s="98"/>
      <c r="AD32" s="98"/>
      <c r="AE32" s="98"/>
      <c r="AF32" s="92"/>
      <c r="AG32" s="98"/>
      <c r="AH32" s="92"/>
      <c r="AI32" s="92"/>
      <c r="AJ32" s="92"/>
      <c r="AK32" s="92"/>
      <c r="AL32" s="75" t="s">
        <v>27</v>
      </c>
      <c r="AM32" s="100"/>
      <c r="AN32" s="100"/>
      <c r="AO32" s="100"/>
      <c r="AP32" s="100"/>
      <c r="AQ32" s="100"/>
      <c r="AR32" s="100"/>
      <c r="AS32" s="100"/>
      <c r="AT32" s="84" t="str">
        <f>+IF(Table13642[[#This Row],[Posting Key(2)]]=31,$AT$11,"")</f>
        <v>30.04.2024</v>
      </c>
      <c r="AU32" s="100"/>
      <c r="AV32" s="100" t="str">
        <f>+IF(Table13642[[#This Row],[Baseline Date(10)]]=$AT$1,"","TC25")</f>
        <v>TC25</v>
      </c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101"/>
      <c r="BO32" s="102"/>
      <c r="BP32" s="85">
        <v>10</v>
      </c>
    </row>
    <row r="33" spans="1:68" x14ac:dyDescent="0.25">
      <c r="A33" s="59">
        <v>0</v>
      </c>
      <c r="B33" s="60">
        <v>1</v>
      </c>
      <c r="C33" s="48" t="str">
        <f t="shared" ref="C33:D52" si="4">+$C$2</f>
        <v>30.04.2024</v>
      </c>
      <c r="D33" s="48" t="str">
        <f t="shared" si="4"/>
        <v>30.04.2024</v>
      </c>
      <c r="E33" s="61" t="s">
        <v>96</v>
      </c>
      <c r="F33" s="62" t="str">
        <f t="shared" si="1"/>
        <v>00000048</v>
      </c>
      <c r="G33" s="62" t="str">
        <f t="shared" si="2"/>
        <v>AP-24-1108</v>
      </c>
      <c r="H33" s="86" t="s">
        <v>97</v>
      </c>
      <c r="I33" s="87">
        <f t="shared" si="3"/>
        <v>39.812089999999998</v>
      </c>
      <c r="J33" s="64"/>
      <c r="K33" s="88">
        <v>40</v>
      </c>
      <c r="L33" s="66">
        <v>624131</v>
      </c>
      <c r="M33" s="67"/>
      <c r="N33" s="68">
        <v>174834</v>
      </c>
      <c r="O33" s="69"/>
      <c r="P33" s="70"/>
      <c r="Q33" s="69"/>
      <c r="R33" s="64" t="s">
        <v>98</v>
      </c>
      <c r="S33" s="71"/>
      <c r="T33" s="71"/>
      <c r="U33" s="71"/>
      <c r="V33" s="72"/>
      <c r="W33" s="73" t="s">
        <v>111</v>
      </c>
      <c r="X33" s="64"/>
      <c r="Y33" s="71"/>
      <c r="Z33" s="71"/>
      <c r="AA33" s="71"/>
      <c r="AB33" s="71"/>
      <c r="AC33" s="71"/>
      <c r="AD33" s="71"/>
      <c r="AE33" s="71"/>
      <c r="AF33" s="74" t="s">
        <v>114</v>
      </c>
      <c r="AG33" s="71"/>
      <c r="AH33" s="64"/>
      <c r="AI33" s="64"/>
      <c r="AJ33" s="64"/>
      <c r="AK33" s="64"/>
      <c r="AL33" s="75" t="s">
        <v>27</v>
      </c>
      <c r="AM33" s="75"/>
      <c r="AN33" s="75"/>
      <c r="AO33" s="75"/>
      <c r="AP33" s="75"/>
      <c r="AQ33" s="75"/>
      <c r="AR33" s="75"/>
      <c r="AS33" s="75"/>
      <c r="AT33" s="89" t="str">
        <f>+IF(Table13642[[#This Row],[Posting Key(2)]]=31,$AT$1,"")</f>
        <v/>
      </c>
      <c r="AU33" s="75"/>
      <c r="AV33" s="75" t="str">
        <f>+IF(Table13642[[#This Row],[Baseline Date(10)]]=$AT$1,"","TC25")</f>
        <v/>
      </c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76"/>
      <c r="BO33" s="77"/>
      <c r="BP33" s="85">
        <v>11</v>
      </c>
    </row>
    <row r="34" spans="1:68" x14ac:dyDescent="0.25">
      <c r="A34" s="59">
        <v>0</v>
      </c>
      <c r="B34" s="60">
        <v>1</v>
      </c>
      <c r="C34" s="90" t="str">
        <f t="shared" si="4"/>
        <v>30.04.2024</v>
      </c>
      <c r="D34" s="90" t="str">
        <f t="shared" si="4"/>
        <v>30.04.2024</v>
      </c>
      <c r="E34" s="61" t="s">
        <v>96</v>
      </c>
      <c r="F34" s="91" t="str">
        <f t="shared" si="1"/>
        <v>00000048</v>
      </c>
      <c r="G34" s="91" t="str">
        <f t="shared" si="2"/>
        <v>AP-24-1108</v>
      </c>
      <c r="H34" s="86" t="s">
        <v>97</v>
      </c>
      <c r="I34" s="87">
        <f t="shared" si="3"/>
        <v>39.812089999999998</v>
      </c>
      <c r="J34" s="92"/>
      <c r="K34" s="88">
        <v>31</v>
      </c>
      <c r="L34" s="93" t="s">
        <v>18</v>
      </c>
      <c r="M34" s="94" t="s">
        <v>101</v>
      </c>
      <c r="N34" s="95">
        <v>174834</v>
      </c>
      <c r="O34" s="96"/>
      <c r="P34" s="97"/>
      <c r="Q34" s="96"/>
      <c r="R34" s="64" t="s">
        <v>98</v>
      </c>
      <c r="S34" s="98"/>
      <c r="T34" s="98"/>
      <c r="U34" s="98"/>
      <c r="V34" s="99"/>
      <c r="W34" s="91" t="s">
        <v>111</v>
      </c>
      <c r="X34" s="92"/>
      <c r="Y34" s="98"/>
      <c r="Z34" s="98"/>
      <c r="AA34" s="98"/>
      <c r="AB34" s="98"/>
      <c r="AC34" s="98"/>
      <c r="AD34" s="98"/>
      <c r="AE34" s="98"/>
      <c r="AF34" s="92"/>
      <c r="AG34" s="98"/>
      <c r="AH34" s="92"/>
      <c r="AI34" s="92"/>
      <c r="AJ34" s="92"/>
      <c r="AK34" s="92"/>
      <c r="AL34" s="75" t="s">
        <v>27</v>
      </c>
      <c r="AM34" s="100"/>
      <c r="AN34" s="100"/>
      <c r="AO34" s="100"/>
      <c r="AP34" s="100"/>
      <c r="AQ34" s="100"/>
      <c r="AR34" s="100"/>
      <c r="AS34" s="100"/>
      <c r="AT34" s="84" t="str">
        <f>+IF(Table13642[[#This Row],[Posting Key(2)]]=31,$AT$11,"")</f>
        <v>30.04.2024</v>
      </c>
      <c r="AU34" s="100"/>
      <c r="AV34" s="100" t="str">
        <f>+IF(Table13642[[#This Row],[Baseline Date(10)]]=$AT$1,"","TC25")</f>
        <v>TC25</v>
      </c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101"/>
      <c r="BO34" s="102"/>
      <c r="BP34" s="85">
        <v>11</v>
      </c>
    </row>
    <row r="35" spans="1:68" x14ac:dyDescent="0.25">
      <c r="A35" s="59">
        <v>0</v>
      </c>
      <c r="B35" s="60">
        <v>1</v>
      </c>
      <c r="C35" s="48" t="str">
        <f t="shared" si="4"/>
        <v>30.04.2024</v>
      </c>
      <c r="D35" s="48" t="str">
        <f t="shared" si="4"/>
        <v>30.04.2024</v>
      </c>
      <c r="E35" s="61" t="s">
        <v>96</v>
      </c>
      <c r="F35" s="62" t="str">
        <f t="shared" si="1"/>
        <v>00000048</v>
      </c>
      <c r="G35" s="62" t="str">
        <f t="shared" si="2"/>
        <v>AP-24-1108</v>
      </c>
      <c r="H35" s="86" t="s">
        <v>97</v>
      </c>
      <c r="I35" s="87">
        <f t="shared" si="3"/>
        <v>39.812089999999998</v>
      </c>
      <c r="J35" s="64"/>
      <c r="K35" s="88">
        <v>40</v>
      </c>
      <c r="L35" s="66" t="s">
        <v>104</v>
      </c>
      <c r="M35" s="67"/>
      <c r="N35" s="68">
        <v>3367</v>
      </c>
      <c r="O35" s="69"/>
      <c r="P35" s="70"/>
      <c r="Q35" s="69"/>
      <c r="R35" s="64" t="s">
        <v>98</v>
      </c>
      <c r="S35" s="71"/>
      <c r="T35" s="71"/>
      <c r="U35" s="71"/>
      <c r="V35" s="72"/>
      <c r="W35" s="73" t="s">
        <v>115</v>
      </c>
      <c r="X35" s="64"/>
      <c r="Y35" s="71"/>
      <c r="Z35" s="71"/>
      <c r="AA35" s="71"/>
      <c r="AB35" s="71"/>
      <c r="AC35" s="71"/>
      <c r="AD35" s="71"/>
      <c r="AE35" s="71"/>
      <c r="AF35" s="74" t="s">
        <v>106</v>
      </c>
      <c r="AG35" s="71"/>
      <c r="AH35" s="64"/>
      <c r="AI35" s="64"/>
      <c r="AJ35" s="64"/>
      <c r="AK35" s="64"/>
      <c r="AL35" s="75" t="s">
        <v>27</v>
      </c>
      <c r="AM35" s="75"/>
      <c r="AN35" s="75"/>
      <c r="AO35" s="75"/>
      <c r="AP35" s="75"/>
      <c r="AQ35" s="75"/>
      <c r="AR35" s="75"/>
      <c r="AS35" s="75"/>
      <c r="AT35" s="89" t="str">
        <f>+IF(Table13642[[#This Row],[Posting Key(2)]]=31,$AT$1,"")</f>
        <v/>
      </c>
      <c r="AU35" s="75"/>
      <c r="AV35" s="75" t="str">
        <f>+IF(Table13642[[#This Row],[Baseline Date(10)]]=$AT$1,"","TC25")</f>
        <v/>
      </c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76"/>
      <c r="BO35" s="77"/>
      <c r="BP35" s="85">
        <v>12</v>
      </c>
    </row>
    <row r="36" spans="1:68" x14ac:dyDescent="0.25">
      <c r="A36" s="59">
        <v>0</v>
      </c>
      <c r="B36" s="60">
        <v>1</v>
      </c>
      <c r="C36" s="90" t="str">
        <f t="shared" si="4"/>
        <v>30.04.2024</v>
      </c>
      <c r="D36" s="90" t="str">
        <f t="shared" si="4"/>
        <v>30.04.2024</v>
      </c>
      <c r="E36" s="61" t="s">
        <v>96</v>
      </c>
      <c r="F36" s="91" t="str">
        <f t="shared" si="1"/>
        <v>00000048</v>
      </c>
      <c r="G36" s="91" t="str">
        <f t="shared" si="2"/>
        <v>AP-24-1108</v>
      </c>
      <c r="H36" s="86" t="s">
        <v>97</v>
      </c>
      <c r="I36" s="87">
        <f t="shared" si="3"/>
        <v>39.812089999999998</v>
      </c>
      <c r="J36" s="92"/>
      <c r="K36" s="88">
        <v>31</v>
      </c>
      <c r="L36" s="93" t="s">
        <v>14</v>
      </c>
      <c r="M36" s="94" t="s">
        <v>107</v>
      </c>
      <c r="N36" s="95">
        <v>3367</v>
      </c>
      <c r="O36" s="96"/>
      <c r="P36" s="97"/>
      <c r="Q36" s="96"/>
      <c r="R36" s="64" t="s">
        <v>98</v>
      </c>
      <c r="S36" s="98"/>
      <c r="T36" s="98"/>
      <c r="U36" s="98"/>
      <c r="V36" s="99"/>
      <c r="W36" s="91" t="s">
        <v>115</v>
      </c>
      <c r="X36" s="92"/>
      <c r="Y36" s="98"/>
      <c r="Z36" s="98"/>
      <c r="AA36" s="98"/>
      <c r="AB36" s="98"/>
      <c r="AC36" s="98"/>
      <c r="AD36" s="98"/>
      <c r="AE36" s="98"/>
      <c r="AF36" s="92"/>
      <c r="AG36" s="98"/>
      <c r="AH36" s="92"/>
      <c r="AI36" s="92"/>
      <c r="AJ36" s="92"/>
      <c r="AK36" s="92"/>
      <c r="AL36" s="75" t="s">
        <v>27</v>
      </c>
      <c r="AM36" s="100"/>
      <c r="AN36" s="100"/>
      <c r="AO36" s="100"/>
      <c r="AP36" s="100"/>
      <c r="AQ36" s="100"/>
      <c r="AR36" s="100"/>
      <c r="AS36" s="100"/>
      <c r="AT36" s="84" t="str">
        <f>+IF(Table13642[[#This Row],[Posting Key(2)]]=31,$AT$11,"")</f>
        <v>30.04.2024</v>
      </c>
      <c r="AU36" s="100"/>
      <c r="AV36" s="100" t="str">
        <f>+IF(Table13642[[#This Row],[Baseline Date(10)]]=$AT$1,"","TC25")</f>
        <v>TC25</v>
      </c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101"/>
      <c r="BO36" s="102"/>
      <c r="BP36" s="85">
        <v>12</v>
      </c>
    </row>
    <row r="37" spans="1:68" x14ac:dyDescent="0.25">
      <c r="A37" s="59">
        <v>0</v>
      </c>
      <c r="B37" s="60">
        <v>1</v>
      </c>
      <c r="C37" s="48" t="str">
        <f t="shared" si="4"/>
        <v>30.04.2024</v>
      </c>
      <c r="D37" s="48" t="str">
        <f t="shared" si="4"/>
        <v>30.04.2024</v>
      </c>
      <c r="E37" s="61" t="s">
        <v>96</v>
      </c>
      <c r="F37" s="62" t="str">
        <f t="shared" si="1"/>
        <v>00000048</v>
      </c>
      <c r="G37" s="62" t="str">
        <f t="shared" si="2"/>
        <v>AP-24-1108</v>
      </c>
      <c r="H37" s="86" t="s">
        <v>97</v>
      </c>
      <c r="I37" s="87">
        <f t="shared" si="3"/>
        <v>39.812089999999998</v>
      </c>
      <c r="J37" s="64"/>
      <c r="K37" s="88">
        <v>40</v>
      </c>
      <c r="L37" s="66" t="s">
        <v>104</v>
      </c>
      <c r="M37" s="67"/>
      <c r="N37" s="68">
        <v>181310</v>
      </c>
      <c r="O37" s="69"/>
      <c r="P37" s="70"/>
      <c r="Q37" s="69"/>
      <c r="R37" s="64" t="s">
        <v>98</v>
      </c>
      <c r="S37" s="71"/>
      <c r="T37" s="71"/>
      <c r="U37" s="71"/>
      <c r="V37" s="72"/>
      <c r="W37" s="73" t="s">
        <v>115</v>
      </c>
      <c r="X37" s="64"/>
      <c r="Y37" s="71"/>
      <c r="Z37" s="71"/>
      <c r="AA37" s="71"/>
      <c r="AB37" s="71"/>
      <c r="AC37" s="71"/>
      <c r="AD37" s="71"/>
      <c r="AE37" s="71"/>
      <c r="AF37" s="74" t="s">
        <v>106</v>
      </c>
      <c r="AG37" s="71"/>
      <c r="AH37" s="64"/>
      <c r="AI37" s="64"/>
      <c r="AJ37" s="64"/>
      <c r="AK37" s="64"/>
      <c r="AL37" s="75" t="s">
        <v>27</v>
      </c>
      <c r="AM37" s="75"/>
      <c r="AN37" s="75"/>
      <c r="AO37" s="75"/>
      <c r="AP37" s="75"/>
      <c r="AQ37" s="75"/>
      <c r="AR37" s="75"/>
      <c r="AS37" s="75"/>
      <c r="AT37" s="89" t="str">
        <f>+IF(Table13642[[#This Row],[Posting Key(2)]]=31,$AT$1,"")</f>
        <v/>
      </c>
      <c r="AU37" s="75"/>
      <c r="AV37" s="75" t="str">
        <f>+IF(Table13642[[#This Row],[Baseline Date(10)]]=$AT$1,"","TC25")</f>
        <v/>
      </c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76"/>
      <c r="BO37" s="77"/>
      <c r="BP37" s="85">
        <v>13</v>
      </c>
    </row>
    <row r="38" spans="1:68" x14ac:dyDescent="0.25">
      <c r="A38" s="59">
        <v>0</v>
      </c>
      <c r="B38" s="60">
        <v>1</v>
      </c>
      <c r="C38" s="90" t="str">
        <f t="shared" si="4"/>
        <v>30.04.2024</v>
      </c>
      <c r="D38" s="90" t="str">
        <f t="shared" si="4"/>
        <v>30.04.2024</v>
      </c>
      <c r="E38" s="61" t="s">
        <v>96</v>
      </c>
      <c r="F38" s="91" t="str">
        <f t="shared" si="1"/>
        <v>00000048</v>
      </c>
      <c r="G38" s="91" t="str">
        <f t="shared" si="2"/>
        <v>AP-24-1108</v>
      </c>
      <c r="H38" s="86" t="s">
        <v>97</v>
      </c>
      <c r="I38" s="87">
        <f t="shared" si="3"/>
        <v>39.812089999999998</v>
      </c>
      <c r="J38" s="92"/>
      <c r="K38" s="88">
        <v>31</v>
      </c>
      <c r="L38" s="93" t="s">
        <v>14</v>
      </c>
      <c r="M38" s="94" t="s">
        <v>107</v>
      </c>
      <c r="N38" s="95">
        <v>181310</v>
      </c>
      <c r="O38" s="96"/>
      <c r="P38" s="97"/>
      <c r="Q38" s="96"/>
      <c r="R38" s="64" t="s">
        <v>98</v>
      </c>
      <c r="S38" s="98"/>
      <c r="T38" s="98"/>
      <c r="U38" s="98"/>
      <c r="V38" s="99"/>
      <c r="W38" s="91" t="s">
        <v>115</v>
      </c>
      <c r="X38" s="92"/>
      <c r="Y38" s="98"/>
      <c r="Z38" s="98"/>
      <c r="AA38" s="98"/>
      <c r="AB38" s="98"/>
      <c r="AC38" s="98"/>
      <c r="AD38" s="98"/>
      <c r="AE38" s="98"/>
      <c r="AF38" s="92"/>
      <c r="AG38" s="98"/>
      <c r="AH38" s="92"/>
      <c r="AI38" s="92"/>
      <c r="AJ38" s="92"/>
      <c r="AK38" s="92"/>
      <c r="AL38" s="75" t="s">
        <v>27</v>
      </c>
      <c r="AM38" s="100"/>
      <c r="AN38" s="100"/>
      <c r="AO38" s="100"/>
      <c r="AP38" s="100"/>
      <c r="AQ38" s="100"/>
      <c r="AR38" s="100"/>
      <c r="AS38" s="100"/>
      <c r="AT38" s="84" t="str">
        <f>+IF(Table13642[[#This Row],[Posting Key(2)]]=31,$AT$11,"")</f>
        <v>30.04.2024</v>
      </c>
      <c r="AU38" s="100"/>
      <c r="AV38" s="100" t="str">
        <f>+IF(Table13642[[#This Row],[Baseline Date(10)]]=$AT$1,"","TC25")</f>
        <v>TC25</v>
      </c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101"/>
      <c r="BO38" s="102"/>
      <c r="BP38" s="85">
        <v>13</v>
      </c>
    </row>
    <row r="39" spans="1:68" x14ac:dyDescent="0.25">
      <c r="A39" s="59">
        <v>0</v>
      </c>
      <c r="B39" s="60">
        <v>1</v>
      </c>
      <c r="C39" s="48" t="str">
        <f t="shared" si="4"/>
        <v>30.04.2024</v>
      </c>
      <c r="D39" s="48" t="str">
        <f t="shared" si="4"/>
        <v>30.04.2024</v>
      </c>
      <c r="E39" s="61" t="s">
        <v>96</v>
      </c>
      <c r="F39" s="62" t="str">
        <f t="shared" si="1"/>
        <v>00000048</v>
      </c>
      <c r="G39" s="62" t="str">
        <f t="shared" si="2"/>
        <v>AP-24-1108</v>
      </c>
      <c r="H39" s="86" t="s">
        <v>97</v>
      </c>
      <c r="I39" s="87">
        <f t="shared" si="3"/>
        <v>39.812089999999998</v>
      </c>
      <c r="J39" s="64"/>
      <c r="K39" s="88">
        <v>40</v>
      </c>
      <c r="L39" s="66" t="s">
        <v>104</v>
      </c>
      <c r="M39" s="67"/>
      <c r="N39" s="68">
        <v>14505</v>
      </c>
      <c r="O39" s="69"/>
      <c r="P39" s="70"/>
      <c r="Q39" s="69"/>
      <c r="R39" s="64" t="s">
        <v>98</v>
      </c>
      <c r="S39" s="71"/>
      <c r="T39" s="71"/>
      <c r="U39" s="71"/>
      <c r="V39" s="72"/>
      <c r="W39" s="73" t="s">
        <v>115</v>
      </c>
      <c r="X39" s="64"/>
      <c r="Y39" s="71"/>
      <c r="Z39" s="71"/>
      <c r="AA39" s="71"/>
      <c r="AB39" s="71"/>
      <c r="AC39" s="71"/>
      <c r="AD39" s="71"/>
      <c r="AE39" s="71"/>
      <c r="AF39" s="74" t="s">
        <v>106</v>
      </c>
      <c r="AG39" s="71"/>
      <c r="AH39" s="64"/>
      <c r="AI39" s="64"/>
      <c r="AJ39" s="64"/>
      <c r="AK39" s="64"/>
      <c r="AL39" s="75" t="s">
        <v>27</v>
      </c>
      <c r="AM39" s="75"/>
      <c r="AN39" s="75"/>
      <c r="AO39" s="75"/>
      <c r="AP39" s="75"/>
      <c r="AQ39" s="75"/>
      <c r="AR39" s="75"/>
      <c r="AS39" s="75"/>
      <c r="AT39" s="89" t="str">
        <f>+IF(Table13642[[#This Row],[Posting Key(2)]]=31,$AT$1,"")</f>
        <v/>
      </c>
      <c r="AU39" s="75"/>
      <c r="AV39" s="75" t="str">
        <f>+IF(Table13642[[#This Row],[Baseline Date(10)]]=$AT$1,"","TC25")</f>
        <v/>
      </c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76"/>
      <c r="BO39" s="77"/>
      <c r="BP39" s="85">
        <v>14</v>
      </c>
    </row>
    <row r="40" spans="1:68" x14ac:dyDescent="0.25">
      <c r="A40" s="59">
        <v>0</v>
      </c>
      <c r="B40" s="60">
        <v>1</v>
      </c>
      <c r="C40" s="90" t="str">
        <f t="shared" si="4"/>
        <v>30.04.2024</v>
      </c>
      <c r="D40" s="90" t="str">
        <f t="shared" si="4"/>
        <v>30.04.2024</v>
      </c>
      <c r="E40" s="61" t="s">
        <v>96</v>
      </c>
      <c r="F40" s="91" t="str">
        <f t="shared" si="1"/>
        <v>00000048</v>
      </c>
      <c r="G40" s="91" t="str">
        <f t="shared" si="2"/>
        <v>AP-24-1108</v>
      </c>
      <c r="H40" s="86" t="s">
        <v>97</v>
      </c>
      <c r="I40" s="87">
        <f t="shared" si="3"/>
        <v>39.812089999999998</v>
      </c>
      <c r="J40" s="92"/>
      <c r="K40" s="88">
        <v>31</v>
      </c>
      <c r="L40" s="93" t="s">
        <v>14</v>
      </c>
      <c r="M40" s="94" t="s">
        <v>107</v>
      </c>
      <c r="N40" s="95">
        <v>14505</v>
      </c>
      <c r="O40" s="96"/>
      <c r="P40" s="97"/>
      <c r="Q40" s="96"/>
      <c r="R40" s="64" t="s">
        <v>98</v>
      </c>
      <c r="S40" s="98"/>
      <c r="T40" s="98"/>
      <c r="U40" s="98"/>
      <c r="V40" s="99"/>
      <c r="W40" s="91" t="s">
        <v>115</v>
      </c>
      <c r="X40" s="92"/>
      <c r="Y40" s="98"/>
      <c r="Z40" s="98"/>
      <c r="AA40" s="98"/>
      <c r="AB40" s="98"/>
      <c r="AC40" s="98"/>
      <c r="AD40" s="98"/>
      <c r="AE40" s="98"/>
      <c r="AF40" s="92"/>
      <c r="AG40" s="98"/>
      <c r="AH40" s="92"/>
      <c r="AI40" s="92"/>
      <c r="AJ40" s="92"/>
      <c r="AK40" s="92"/>
      <c r="AL40" s="75" t="s">
        <v>27</v>
      </c>
      <c r="AM40" s="100"/>
      <c r="AN40" s="100"/>
      <c r="AO40" s="100"/>
      <c r="AP40" s="100"/>
      <c r="AQ40" s="100"/>
      <c r="AR40" s="100"/>
      <c r="AS40" s="100"/>
      <c r="AT40" s="84" t="str">
        <f>+IF(Table13642[[#This Row],[Posting Key(2)]]=31,$AT$11,"")</f>
        <v>30.04.2024</v>
      </c>
      <c r="AU40" s="100"/>
      <c r="AV40" s="100" t="str">
        <f>+IF(Table13642[[#This Row],[Baseline Date(10)]]=$AT$1,"","TC25")</f>
        <v>TC25</v>
      </c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101"/>
      <c r="BO40" s="102"/>
      <c r="BP40" s="85">
        <v>14</v>
      </c>
    </row>
    <row r="41" spans="1:68" x14ac:dyDescent="0.25">
      <c r="A41" s="59">
        <v>0</v>
      </c>
      <c r="B41" s="60">
        <v>1</v>
      </c>
      <c r="C41" s="48" t="str">
        <f t="shared" si="4"/>
        <v>30.04.2024</v>
      </c>
      <c r="D41" s="48" t="str">
        <f t="shared" si="4"/>
        <v>30.04.2024</v>
      </c>
      <c r="E41" s="61" t="s">
        <v>96</v>
      </c>
      <c r="F41" s="62" t="str">
        <f t="shared" si="1"/>
        <v>00000048</v>
      </c>
      <c r="G41" s="62" t="str">
        <f t="shared" si="2"/>
        <v>AP-24-1108</v>
      </c>
      <c r="H41" s="86" t="s">
        <v>97</v>
      </c>
      <c r="I41" s="87">
        <f t="shared" si="3"/>
        <v>39.812089999999998</v>
      </c>
      <c r="J41" s="64"/>
      <c r="K41" s="88">
        <v>40</v>
      </c>
      <c r="L41" s="66">
        <v>651110</v>
      </c>
      <c r="M41" s="67"/>
      <c r="N41" s="68">
        <v>36262</v>
      </c>
      <c r="O41" s="69"/>
      <c r="P41" s="70"/>
      <c r="Q41" s="69"/>
      <c r="R41" s="64" t="s">
        <v>98</v>
      </c>
      <c r="S41" s="71"/>
      <c r="T41" s="71"/>
      <c r="U41" s="71"/>
      <c r="V41" s="72"/>
      <c r="W41" s="73" t="s">
        <v>111</v>
      </c>
      <c r="X41" s="64"/>
      <c r="Y41" s="71"/>
      <c r="Z41" s="71"/>
      <c r="AA41" s="71"/>
      <c r="AB41" s="71"/>
      <c r="AC41" s="71"/>
      <c r="AD41" s="71"/>
      <c r="AE41" s="71"/>
      <c r="AF41" s="74" t="s">
        <v>116</v>
      </c>
      <c r="AG41" s="71"/>
      <c r="AH41" s="64"/>
      <c r="AI41" s="64"/>
      <c r="AJ41" s="64"/>
      <c r="AK41" s="64"/>
      <c r="AL41" s="75" t="s">
        <v>27</v>
      </c>
      <c r="AM41" s="75"/>
      <c r="AN41" s="75"/>
      <c r="AO41" s="75"/>
      <c r="AP41" s="75"/>
      <c r="AQ41" s="75"/>
      <c r="AR41" s="75"/>
      <c r="AS41" s="75"/>
      <c r="AT41" s="89" t="str">
        <f>+IF(Table13642[[#This Row],[Posting Key(2)]]=31,$AT$1,"")</f>
        <v/>
      </c>
      <c r="AU41" s="75"/>
      <c r="AV41" s="75" t="str">
        <f>+IF(Table13642[[#This Row],[Baseline Date(10)]]=$AT$1,"","TC25")</f>
        <v/>
      </c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76"/>
      <c r="BO41" s="77"/>
      <c r="BP41" s="85">
        <v>15</v>
      </c>
    </row>
    <row r="42" spans="1:68" x14ac:dyDescent="0.25">
      <c r="A42" s="59">
        <v>0</v>
      </c>
      <c r="B42" s="60">
        <v>1</v>
      </c>
      <c r="C42" s="90" t="str">
        <f t="shared" si="4"/>
        <v>30.04.2024</v>
      </c>
      <c r="D42" s="90" t="str">
        <f t="shared" si="4"/>
        <v>30.04.2024</v>
      </c>
      <c r="E42" s="61" t="s">
        <v>96</v>
      </c>
      <c r="F42" s="91" t="str">
        <f t="shared" si="1"/>
        <v>00000048</v>
      </c>
      <c r="G42" s="91" t="str">
        <f t="shared" si="2"/>
        <v>AP-24-1108</v>
      </c>
      <c r="H42" s="86" t="s">
        <v>97</v>
      </c>
      <c r="I42" s="87">
        <f t="shared" si="3"/>
        <v>39.812089999999998</v>
      </c>
      <c r="J42" s="92"/>
      <c r="K42" s="88">
        <v>31</v>
      </c>
      <c r="L42" s="93" t="s">
        <v>18</v>
      </c>
      <c r="M42" s="94" t="s">
        <v>101</v>
      </c>
      <c r="N42" s="95">
        <v>36262</v>
      </c>
      <c r="O42" s="96"/>
      <c r="P42" s="97"/>
      <c r="Q42" s="96"/>
      <c r="R42" s="64" t="s">
        <v>98</v>
      </c>
      <c r="S42" s="98"/>
      <c r="T42" s="98"/>
      <c r="U42" s="98"/>
      <c r="V42" s="99"/>
      <c r="W42" s="91" t="s">
        <v>111</v>
      </c>
      <c r="X42" s="92"/>
      <c r="Y42" s="98"/>
      <c r="Z42" s="98"/>
      <c r="AA42" s="98"/>
      <c r="AB42" s="98"/>
      <c r="AC42" s="98"/>
      <c r="AD42" s="98"/>
      <c r="AE42" s="98"/>
      <c r="AF42" s="92"/>
      <c r="AG42" s="98"/>
      <c r="AH42" s="92"/>
      <c r="AI42" s="92"/>
      <c r="AJ42" s="92"/>
      <c r="AK42" s="92"/>
      <c r="AL42" s="75" t="s">
        <v>27</v>
      </c>
      <c r="AM42" s="100"/>
      <c r="AN42" s="100"/>
      <c r="AO42" s="100"/>
      <c r="AP42" s="100"/>
      <c r="AQ42" s="100"/>
      <c r="AR42" s="100"/>
      <c r="AS42" s="100"/>
      <c r="AT42" s="84" t="str">
        <f>+IF(Table13642[[#This Row],[Posting Key(2)]]=31,$AT$11,"")</f>
        <v>30.04.2024</v>
      </c>
      <c r="AU42" s="100"/>
      <c r="AV42" s="100" t="str">
        <f>+IF(Table13642[[#This Row],[Baseline Date(10)]]=$AT$1,"","TC25")</f>
        <v>TC25</v>
      </c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101"/>
      <c r="BO42" s="102"/>
      <c r="BP42" s="85">
        <v>15</v>
      </c>
    </row>
    <row r="43" spans="1:68" x14ac:dyDescent="0.25">
      <c r="A43" s="59">
        <v>0</v>
      </c>
      <c r="B43" s="60">
        <v>1</v>
      </c>
      <c r="C43" s="48" t="str">
        <f t="shared" si="4"/>
        <v>30.04.2024</v>
      </c>
      <c r="D43" s="48" t="str">
        <f t="shared" si="4"/>
        <v>30.04.2024</v>
      </c>
      <c r="E43" s="61" t="s">
        <v>96</v>
      </c>
      <c r="F43" s="62" t="str">
        <f t="shared" si="1"/>
        <v>00000048</v>
      </c>
      <c r="G43" s="62" t="str">
        <f t="shared" si="2"/>
        <v>AP-24-1108</v>
      </c>
      <c r="H43" s="86" t="s">
        <v>97</v>
      </c>
      <c r="I43" s="87">
        <f t="shared" si="3"/>
        <v>39.812089999999998</v>
      </c>
      <c r="J43" s="64"/>
      <c r="K43" s="88">
        <v>40</v>
      </c>
      <c r="L43" s="66">
        <v>644100</v>
      </c>
      <c r="M43" s="67"/>
      <c r="N43" s="68">
        <v>440324</v>
      </c>
      <c r="O43" s="69"/>
      <c r="P43" s="70"/>
      <c r="Q43" s="69"/>
      <c r="R43" s="64" t="s">
        <v>98</v>
      </c>
      <c r="S43" s="71"/>
      <c r="T43" s="71"/>
      <c r="U43" s="71"/>
      <c r="V43" s="72"/>
      <c r="W43" s="73" t="s">
        <v>111</v>
      </c>
      <c r="X43" s="64"/>
      <c r="Y43" s="71"/>
      <c r="Z43" s="71"/>
      <c r="AA43" s="71"/>
      <c r="AB43" s="71"/>
      <c r="AC43" s="71"/>
      <c r="AD43" s="71"/>
      <c r="AE43" s="71"/>
      <c r="AF43" s="74" t="s">
        <v>110</v>
      </c>
      <c r="AG43" s="71"/>
      <c r="AH43" s="64"/>
      <c r="AI43" s="64"/>
      <c r="AJ43" s="64"/>
      <c r="AK43" s="64"/>
      <c r="AL43" s="75" t="s">
        <v>27</v>
      </c>
      <c r="AM43" s="75"/>
      <c r="AN43" s="75"/>
      <c r="AO43" s="75"/>
      <c r="AP43" s="75"/>
      <c r="AQ43" s="75"/>
      <c r="AR43" s="75"/>
      <c r="AS43" s="75"/>
      <c r="AT43" s="89" t="str">
        <f>+IF(Table13642[[#This Row],[Posting Key(2)]]=31,$AT$1,"")</f>
        <v/>
      </c>
      <c r="AU43" s="75"/>
      <c r="AV43" s="75" t="str">
        <f>+IF(Table13642[[#This Row],[Baseline Date(10)]]=$AT$1,"","TC25")</f>
        <v/>
      </c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76"/>
      <c r="BO43" s="77"/>
      <c r="BP43" s="85">
        <v>16</v>
      </c>
    </row>
    <row r="44" spans="1:68" x14ac:dyDescent="0.25">
      <c r="A44" s="59">
        <v>0</v>
      </c>
      <c r="B44" s="60">
        <v>1</v>
      </c>
      <c r="C44" s="90" t="str">
        <f t="shared" si="4"/>
        <v>30.04.2024</v>
      </c>
      <c r="D44" s="90" t="str">
        <f t="shared" si="4"/>
        <v>30.04.2024</v>
      </c>
      <c r="E44" s="61" t="s">
        <v>96</v>
      </c>
      <c r="F44" s="91" t="str">
        <f t="shared" si="1"/>
        <v>00000048</v>
      </c>
      <c r="G44" s="91" t="str">
        <f t="shared" si="2"/>
        <v>AP-24-1108</v>
      </c>
      <c r="H44" s="86" t="s">
        <v>97</v>
      </c>
      <c r="I44" s="87">
        <f t="shared" si="3"/>
        <v>39.812089999999998</v>
      </c>
      <c r="J44" s="92"/>
      <c r="K44" s="88">
        <v>31</v>
      </c>
      <c r="L44" s="93" t="s">
        <v>18</v>
      </c>
      <c r="M44" s="94" t="s">
        <v>101</v>
      </c>
      <c r="N44" s="95">
        <v>440324</v>
      </c>
      <c r="O44" s="96"/>
      <c r="P44" s="97"/>
      <c r="Q44" s="96"/>
      <c r="R44" s="64" t="s">
        <v>98</v>
      </c>
      <c r="S44" s="98"/>
      <c r="T44" s="98"/>
      <c r="U44" s="98"/>
      <c r="V44" s="99"/>
      <c r="W44" s="91" t="s">
        <v>111</v>
      </c>
      <c r="X44" s="92"/>
      <c r="Y44" s="98"/>
      <c r="Z44" s="98"/>
      <c r="AA44" s="98"/>
      <c r="AB44" s="98"/>
      <c r="AC44" s="98"/>
      <c r="AD44" s="98"/>
      <c r="AE44" s="98"/>
      <c r="AF44" s="92"/>
      <c r="AG44" s="98"/>
      <c r="AH44" s="92"/>
      <c r="AI44" s="92"/>
      <c r="AJ44" s="92"/>
      <c r="AK44" s="92"/>
      <c r="AL44" s="75" t="s">
        <v>27</v>
      </c>
      <c r="AM44" s="100"/>
      <c r="AN44" s="100"/>
      <c r="AO44" s="100"/>
      <c r="AP44" s="100"/>
      <c r="AQ44" s="100"/>
      <c r="AR44" s="100"/>
      <c r="AS44" s="100"/>
      <c r="AT44" s="84" t="str">
        <f>+IF(Table13642[[#This Row],[Posting Key(2)]]=31,$AT$11,"")</f>
        <v>30.04.2024</v>
      </c>
      <c r="AU44" s="100"/>
      <c r="AV44" s="100" t="str">
        <f>+IF(Table13642[[#This Row],[Baseline Date(10)]]=$AT$1,"","TC25")</f>
        <v>TC25</v>
      </c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101"/>
      <c r="BO44" s="102"/>
      <c r="BP44" s="85">
        <v>16</v>
      </c>
    </row>
    <row r="45" spans="1:68" x14ac:dyDescent="0.25">
      <c r="A45" s="59">
        <v>0</v>
      </c>
      <c r="B45" s="60">
        <v>1</v>
      </c>
      <c r="C45" s="48" t="str">
        <f t="shared" si="4"/>
        <v>30.04.2024</v>
      </c>
      <c r="D45" s="48" t="str">
        <f t="shared" si="4"/>
        <v>30.04.2024</v>
      </c>
      <c r="E45" s="61" t="s">
        <v>96</v>
      </c>
      <c r="F45" s="62" t="str">
        <f t="shared" si="1"/>
        <v>00000048</v>
      </c>
      <c r="G45" s="62" t="str">
        <f t="shared" si="2"/>
        <v>AP-24-1108</v>
      </c>
      <c r="H45" s="86" t="s">
        <v>97</v>
      </c>
      <c r="I45" s="87">
        <f t="shared" si="3"/>
        <v>39.812089999999998</v>
      </c>
      <c r="J45" s="64"/>
      <c r="K45" s="88">
        <v>40</v>
      </c>
      <c r="L45" s="66">
        <v>644100</v>
      </c>
      <c r="M45" s="67"/>
      <c r="N45" s="68">
        <v>440324</v>
      </c>
      <c r="O45" s="69"/>
      <c r="P45" s="70"/>
      <c r="Q45" s="69"/>
      <c r="R45" s="64" t="s">
        <v>98</v>
      </c>
      <c r="S45" s="71"/>
      <c r="T45" s="71"/>
      <c r="U45" s="71"/>
      <c r="V45" s="72"/>
      <c r="W45" s="73" t="s">
        <v>111</v>
      </c>
      <c r="X45" s="64"/>
      <c r="Y45" s="71"/>
      <c r="Z45" s="71"/>
      <c r="AA45" s="71"/>
      <c r="AB45" s="71"/>
      <c r="AC45" s="71"/>
      <c r="AD45" s="71"/>
      <c r="AE45" s="71"/>
      <c r="AF45" s="74" t="s">
        <v>110</v>
      </c>
      <c r="AG45" s="71"/>
      <c r="AH45" s="64"/>
      <c r="AI45" s="64"/>
      <c r="AJ45" s="64"/>
      <c r="AK45" s="64"/>
      <c r="AL45" s="75" t="s">
        <v>27</v>
      </c>
      <c r="AM45" s="75"/>
      <c r="AN45" s="75"/>
      <c r="AO45" s="75"/>
      <c r="AP45" s="75"/>
      <c r="AQ45" s="75"/>
      <c r="AR45" s="75"/>
      <c r="AS45" s="75"/>
      <c r="AT45" s="89" t="str">
        <f>+IF(Table13642[[#This Row],[Posting Key(2)]]=31,$AT$1,"")</f>
        <v/>
      </c>
      <c r="AU45" s="75"/>
      <c r="AV45" s="75" t="str">
        <f>+IF(Table13642[[#This Row],[Baseline Date(10)]]=$AT$1,"","TC25")</f>
        <v/>
      </c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76"/>
      <c r="BO45" s="77"/>
      <c r="BP45" s="85">
        <v>17</v>
      </c>
    </row>
    <row r="46" spans="1:68" x14ac:dyDescent="0.25">
      <c r="A46" s="59">
        <v>0</v>
      </c>
      <c r="B46" s="60">
        <v>1</v>
      </c>
      <c r="C46" s="90" t="str">
        <f t="shared" si="4"/>
        <v>30.04.2024</v>
      </c>
      <c r="D46" s="90" t="str">
        <f t="shared" si="4"/>
        <v>30.04.2024</v>
      </c>
      <c r="E46" s="61" t="s">
        <v>96</v>
      </c>
      <c r="F46" s="91" t="str">
        <f t="shared" si="1"/>
        <v>00000048</v>
      </c>
      <c r="G46" s="91" t="str">
        <f t="shared" si="2"/>
        <v>AP-24-1108</v>
      </c>
      <c r="H46" s="86" t="s">
        <v>97</v>
      </c>
      <c r="I46" s="87">
        <f t="shared" si="3"/>
        <v>39.812089999999998</v>
      </c>
      <c r="J46" s="92"/>
      <c r="K46" s="88">
        <v>31</v>
      </c>
      <c r="L46" s="93" t="s">
        <v>18</v>
      </c>
      <c r="M46" s="94" t="s">
        <v>101</v>
      </c>
      <c r="N46" s="95">
        <v>440324</v>
      </c>
      <c r="O46" s="96"/>
      <c r="P46" s="97"/>
      <c r="Q46" s="96"/>
      <c r="R46" s="64" t="s">
        <v>98</v>
      </c>
      <c r="S46" s="98"/>
      <c r="T46" s="98"/>
      <c r="U46" s="98"/>
      <c r="V46" s="99"/>
      <c r="W46" s="91" t="s">
        <v>111</v>
      </c>
      <c r="X46" s="92"/>
      <c r="Y46" s="98"/>
      <c r="Z46" s="98"/>
      <c r="AA46" s="98"/>
      <c r="AB46" s="98"/>
      <c r="AC46" s="98"/>
      <c r="AD46" s="98"/>
      <c r="AE46" s="98"/>
      <c r="AF46" s="92"/>
      <c r="AG46" s="98"/>
      <c r="AH46" s="92"/>
      <c r="AI46" s="92"/>
      <c r="AJ46" s="92"/>
      <c r="AK46" s="92"/>
      <c r="AL46" s="75" t="s">
        <v>27</v>
      </c>
      <c r="AM46" s="100"/>
      <c r="AN46" s="100"/>
      <c r="AO46" s="100"/>
      <c r="AP46" s="100"/>
      <c r="AQ46" s="100"/>
      <c r="AR46" s="100"/>
      <c r="AS46" s="100"/>
      <c r="AT46" s="84" t="str">
        <f>+IF(Table13642[[#This Row],[Posting Key(2)]]=31,$AT$11,"")</f>
        <v>30.04.2024</v>
      </c>
      <c r="AU46" s="100"/>
      <c r="AV46" s="100" t="str">
        <f>+IF(Table13642[[#This Row],[Baseline Date(10)]]=$AT$1,"","TC25")</f>
        <v>TC25</v>
      </c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101"/>
      <c r="BO46" s="102"/>
      <c r="BP46" s="85">
        <v>17</v>
      </c>
    </row>
    <row r="47" spans="1:68" x14ac:dyDescent="0.25">
      <c r="A47" s="59">
        <v>0</v>
      </c>
      <c r="B47" s="60">
        <v>1</v>
      </c>
      <c r="C47" s="48" t="str">
        <f t="shared" si="4"/>
        <v>30.04.2024</v>
      </c>
      <c r="D47" s="48" t="str">
        <f t="shared" si="4"/>
        <v>30.04.2024</v>
      </c>
      <c r="E47" s="61" t="s">
        <v>96</v>
      </c>
      <c r="F47" s="62" t="str">
        <f t="shared" si="1"/>
        <v>00000048</v>
      </c>
      <c r="G47" s="62" t="str">
        <f t="shared" si="2"/>
        <v>AP-24-1108</v>
      </c>
      <c r="H47" s="86" t="s">
        <v>97</v>
      </c>
      <c r="I47" s="87">
        <f t="shared" si="3"/>
        <v>39.812089999999998</v>
      </c>
      <c r="J47" s="64"/>
      <c r="K47" s="88">
        <v>40</v>
      </c>
      <c r="L47" s="66">
        <v>644100</v>
      </c>
      <c r="M47" s="67"/>
      <c r="N47" s="68">
        <v>440324</v>
      </c>
      <c r="O47" s="69"/>
      <c r="P47" s="70"/>
      <c r="Q47" s="69"/>
      <c r="R47" s="64" t="s">
        <v>98</v>
      </c>
      <c r="S47" s="71"/>
      <c r="T47" s="71"/>
      <c r="U47" s="71"/>
      <c r="V47" s="72"/>
      <c r="W47" s="73" t="s">
        <v>111</v>
      </c>
      <c r="X47" s="64"/>
      <c r="Y47" s="71"/>
      <c r="Z47" s="71"/>
      <c r="AA47" s="71"/>
      <c r="AB47" s="71"/>
      <c r="AC47" s="71"/>
      <c r="AD47" s="71"/>
      <c r="AE47" s="71"/>
      <c r="AF47" s="74" t="s">
        <v>110</v>
      </c>
      <c r="AG47" s="71"/>
      <c r="AH47" s="64"/>
      <c r="AI47" s="64"/>
      <c r="AJ47" s="64"/>
      <c r="AK47" s="64"/>
      <c r="AL47" s="75" t="s">
        <v>27</v>
      </c>
      <c r="AM47" s="75"/>
      <c r="AN47" s="75"/>
      <c r="AO47" s="75"/>
      <c r="AP47" s="75"/>
      <c r="AQ47" s="75"/>
      <c r="AR47" s="75"/>
      <c r="AS47" s="75"/>
      <c r="AT47" s="89" t="str">
        <f>+IF(Table13642[[#This Row],[Posting Key(2)]]=31,$AT$1,"")</f>
        <v/>
      </c>
      <c r="AU47" s="75"/>
      <c r="AV47" s="75" t="str">
        <f>+IF(Table13642[[#This Row],[Baseline Date(10)]]=$AT$1,"","TC25")</f>
        <v/>
      </c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76"/>
      <c r="BO47" s="77"/>
      <c r="BP47" s="85">
        <v>18</v>
      </c>
    </row>
    <row r="48" spans="1:68" x14ac:dyDescent="0.25">
      <c r="A48" s="59">
        <v>0</v>
      </c>
      <c r="B48" s="60">
        <v>1</v>
      </c>
      <c r="C48" s="90" t="str">
        <f t="shared" si="4"/>
        <v>30.04.2024</v>
      </c>
      <c r="D48" s="90" t="str">
        <f t="shared" si="4"/>
        <v>30.04.2024</v>
      </c>
      <c r="E48" s="61" t="s">
        <v>96</v>
      </c>
      <c r="F48" s="91" t="str">
        <f t="shared" si="1"/>
        <v>00000048</v>
      </c>
      <c r="G48" s="91" t="str">
        <f t="shared" si="2"/>
        <v>AP-24-1108</v>
      </c>
      <c r="H48" s="86" t="s">
        <v>97</v>
      </c>
      <c r="I48" s="87">
        <f t="shared" si="3"/>
        <v>39.812089999999998</v>
      </c>
      <c r="J48" s="92"/>
      <c r="K48" s="88">
        <v>31</v>
      </c>
      <c r="L48" s="93" t="s">
        <v>18</v>
      </c>
      <c r="M48" s="94" t="s">
        <v>101</v>
      </c>
      <c r="N48" s="95">
        <v>440324</v>
      </c>
      <c r="O48" s="96"/>
      <c r="P48" s="97"/>
      <c r="Q48" s="96"/>
      <c r="R48" s="64" t="s">
        <v>98</v>
      </c>
      <c r="S48" s="98"/>
      <c r="T48" s="98"/>
      <c r="U48" s="98"/>
      <c r="V48" s="99"/>
      <c r="W48" s="91" t="s">
        <v>111</v>
      </c>
      <c r="X48" s="92"/>
      <c r="Y48" s="98"/>
      <c r="Z48" s="98"/>
      <c r="AA48" s="98"/>
      <c r="AB48" s="98"/>
      <c r="AC48" s="98"/>
      <c r="AD48" s="98"/>
      <c r="AE48" s="98"/>
      <c r="AF48" s="92"/>
      <c r="AG48" s="98"/>
      <c r="AH48" s="92"/>
      <c r="AI48" s="92"/>
      <c r="AJ48" s="92"/>
      <c r="AK48" s="92"/>
      <c r="AL48" s="75" t="s">
        <v>27</v>
      </c>
      <c r="AM48" s="100"/>
      <c r="AN48" s="100"/>
      <c r="AO48" s="100"/>
      <c r="AP48" s="100"/>
      <c r="AQ48" s="100"/>
      <c r="AR48" s="100"/>
      <c r="AS48" s="100"/>
      <c r="AT48" s="84" t="str">
        <f>+IF(Table13642[[#This Row],[Posting Key(2)]]=31,$AT$11,"")</f>
        <v>30.04.2024</v>
      </c>
      <c r="AU48" s="100"/>
      <c r="AV48" s="100" t="str">
        <f>+IF(Table13642[[#This Row],[Baseline Date(10)]]=$AT$1,"","TC25")</f>
        <v>TC25</v>
      </c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101"/>
      <c r="BO48" s="102"/>
      <c r="BP48" s="85">
        <v>18</v>
      </c>
    </row>
    <row r="49" spans="1:68" x14ac:dyDescent="0.25">
      <c r="A49" s="59">
        <v>0</v>
      </c>
      <c r="B49" s="60">
        <v>1</v>
      </c>
      <c r="C49" s="48" t="str">
        <f t="shared" si="4"/>
        <v>30.04.2024</v>
      </c>
      <c r="D49" s="48" t="str">
        <f t="shared" si="4"/>
        <v>30.04.2024</v>
      </c>
      <c r="E49" s="61" t="s">
        <v>96</v>
      </c>
      <c r="F49" s="62" t="str">
        <f t="shared" si="1"/>
        <v>00000048</v>
      </c>
      <c r="G49" s="62" t="str">
        <f t="shared" si="2"/>
        <v>AP-24-1108</v>
      </c>
      <c r="H49" s="86" t="s">
        <v>97</v>
      </c>
      <c r="I49" s="87">
        <f t="shared" si="3"/>
        <v>39.812089999999998</v>
      </c>
      <c r="J49" s="64"/>
      <c r="K49" s="88">
        <v>40</v>
      </c>
      <c r="L49" s="66">
        <v>644100</v>
      </c>
      <c r="M49" s="67"/>
      <c r="N49" s="68">
        <v>50896</v>
      </c>
      <c r="O49" s="69"/>
      <c r="P49" s="70"/>
      <c r="Q49" s="69"/>
      <c r="R49" s="64" t="s">
        <v>98</v>
      </c>
      <c r="S49" s="71"/>
      <c r="T49" s="71"/>
      <c r="U49" s="71"/>
      <c r="V49" s="72"/>
      <c r="W49" s="73" t="s">
        <v>111</v>
      </c>
      <c r="X49" s="64"/>
      <c r="Y49" s="71"/>
      <c r="Z49" s="71"/>
      <c r="AA49" s="71"/>
      <c r="AB49" s="71"/>
      <c r="AC49" s="71"/>
      <c r="AD49" s="71"/>
      <c r="AE49" s="71"/>
      <c r="AF49" s="74" t="s">
        <v>117</v>
      </c>
      <c r="AG49" s="71"/>
      <c r="AH49" s="64"/>
      <c r="AI49" s="64"/>
      <c r="AJ49" s="64"/>
      <c r="AK49" s="64"/>
      <c r="AL49" s="75" t="s">
        <v>27</v>
      </c>
      <c r="AM49" s="75"/>
      <c r="AN49" s="75"/>
      <c r="AO49" s="75"/>
      <c r="AP49" s="75"/>
      <c r="AQ49" s="75"/>
      <c r="AR49" s="75"/>
      <c r="AS49" s="75"/>
      <c r="AT49" s="89" t="str">
        <f>+IF(Table13642[[#This Row],[Posting Key(2)]]=31,$AT$1,"")</f>
        <v/>
      </c>
      <c r="AU49" s="75"/>
      <c r="AV49" s="75" t="str">
        <f>+IF(Table13642[[#This Row],[Baseline Date(10)]]=$AT$1,"","TC25")</f>
        <v/>
      </c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76"/>
      <c r="BO49" s="77"/>
      <c r="BP49" s="85">
        <v>19</v>
      </c>
    </row>
    <row r="50" spans="1:68" x14ac:dyDescent="0.25">
      <c r="A50" s="59">
        <v>0</v>
      </c>
      <c r="B50" s="60">
        <v>1</v>
      </c>
      <c r="C50" s="90" t="str">
        <f t="shared" si="4"/>
        <v>30.04.2024</v>
      </c>
      <c r="D50" s="90" t="str">
        <f t="shared" si="4"/>
        <v>30.04.2024</v>
      </c>
      <c r="E50" s="61" t="s">
        <v>96</v>
      </c>
      <c r="F50" s="91" t="str">
        <f t="shared" si="1"/>
        <v>00000048</v>
      </c>
      <c r="G50" s="91" t="str">
        <f t="shared" si="2"/>
        <v>AP-24-1108</v>
      </c>
      <c r="H50" s="86" t="s">
        <v>97</v>
      </c>
      <c r="I50" s="87">
        <f t="shared" si="3"/>
        <v>39.812089999999998</v>
      </c>
      <c r="J50" s="92"/>
      <c r="K50" s="88">
        <v>31</v>
      </c>
      <c r="L50" s="93" t="s">
        <v>18</v>
      </c>
      <c r="M50" s="94" t="s">
        <v>101</v>
      </c>
      <c r="N50" s="95">
        <v>50896</v>
      </c>
      <c r="O50" s="96"/>
      <c r="P50" s="97"/>
      <c r="Q50" s="96"/>
      <c r="R50" s="64" t="s">
        <v>98</v>
      </c>
      <c r="S50" s="98"/>
      <c r="T50" s="98"/>
      <c r="U50" s="98"/>
      <c r="V50" s="99"/>
      <c r="W50" s="91" t="s">
        <v>111</v>
      </c>
      <c r="X50" s="92"/>
      <c r="Y50" s="98"/>
      <c r="Z50" s="98"/>
      <c r="AA50" s="98"/>
      <c r="AB50" s="98"/>
      <c r="AC50" s="98"/>
      <c r="AD50" s="98"/>
      <c r="AE50" s="98"/>
      <c r="AF50" s="92"/>
      <c r="AG50" s="98"/>
      <c r="AH50" s="92"/>
      <c r="AI50" s="92"/>
      <c r="AJ50" s="92"/>
      <c r="AK50" s="92"/>
      <c r="AL50" s="75" t="s">
        <v>27</v>
      </c>
      <c r="AM50" s="100"/>
      <c r="AN50" s="100"/>
      <c r="AO50" s="100"/>
      <c r="AP50" s="100"/>
      <c r="AQ50" s="100"/>
      <c r="AR50" s="100"/>
      <c r="AS50" s="100"/>
      <c r="AT50" s="84" t="str">
        <f>+IF(Table13642[[#This Row],[Posting Key(2)]]=31,$AT$11,"")</f>
        <v>30.04.2024</v>
      </c>
      <c r="AU50" s="100"/>
      <c r="AV50" s="100" t="str">
        <f>+IF(Table13642[[#This Row],[Baseline Date(10)]]=$AT$1,"","TC25")</f>
        <v>TC25</v>
      </c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101"/>
      <c r="BO50" s="102"/>
      <c r="BP50" s="85">
        <v>19</v>
      </c>
    </row>
    <row r="51" spans="1:68" x14ac:dyDescent="0.25">
      <c r="A51" s="59">
        <v>0</v>
      </c>
      <c r="B51" s="60">
        <v>1</v>
      </c>
      <c r="C51" s="48" t="str">
        <f t="shared" si="4"/>
        <v>30.04.2024</v>
      </c>
      <c r="D51" s="48" t="str">
        <f t="shared" si="4"/>
        <v>30.04.2024</v>
      </c>
      <c r="E51" s="61" t="s">
        <v>96</v>
      </c>
      <c r="F51" s="62" t="str">
        <f t="shared" si="1"/>
        <v>00000048</v>
      </c>
      <c r="G51" s="62" t="str">
        <f t="shared" si="2"/>
        <v>AP-24-1108</v>
      </c>
      <c r="H51" s="86" t="s">
        <v>97</v>
      </c>
      <c r="I51" s="87">
        <f t="shared" si="3"/>
        <v>39.812089999999998</v>
      </c>
      <c r="J51" s="64"/>
      <c r="K51" s="88">
        <v>40</v>
      </c>
      <c r="L51" s="66">
        <v>644100</v>
      </c>
      <c r="M51" s="67"/>
      <c r="N51" s="68">
        <v>50119</v>
      </c>
      <c r="O51" s="69"/>
      <c r="P51" s="70"/>
      <c r="Q51" s="69"/>
      <c r="R51" s="64" t="s">
        <v>98</v>
      </c>
      <c r="S51" s="71"/>
      <c r="T51" s="71"/>
      <c r="U51" s="71"/>
      <c r="V51" s="72"/>
      <c r="W51" s="73" t="s">
        <v>111</v>
      </c>
      <c r="X51" s="64"/>
      <c r="Y51" s="71"/>
      <c r="Z51" s="71"/>
      <c r="AA51" s="71"/>
      <c r="AB51" s="71"/>
      <c r="AC51" s="71"/>
      <c r="AD51" s="71"/>
      <c r="AE51" s="71"/>
      <c r="AF51" s="74" t="s">
        <v>117</v>
      </c>
      <c r="AG51" s="71"/>
      <c r="AH51" s="64"/>
      <c r="AI51" s="64"/>
      <c r="AJ51" s="64"/>
      <c r="AK51" s="64"/>
      <c r="AL51" s="75" t="s">
        <v>27</v>
      </c>
      <c r="AM51" s="75"/>
      <c r="AN51" s="75"/>
      <c r="AO51" s="75"/>
      <c r="AP51" s="75"/>
      <c r="AQ51" s="75"/>
      <c r="AR51" s="75"/>
      <c r="AS51" s="75"/>
      <c r="AT51" s="89" t="str">
        <f>+IF(Table13642[[#This Row],[Posting Key(2)]]=31,$AT$1,"")</f>
        <v/>
      </c>
      <c r="AU51" s="75"/>
      <c r="AV51" s="75" t="str">
        <f>+IF(Table13642[[#This Row],[Baseline Date(10)]]=$AT$1,"","TC25")</f>
        <v/>
      </c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76"/>
      <c r="BO51" s="77"/>
      <c r="BP51" s="85">
        <v>20</v>
      </c>
    </row>
    <row r="52" spans="1:68" x14ac:dyDescent="0.25">
      <c r="A52" s="59">
        <v>0</v>
      </c>
      <c r="B52" s="60">
        <v>1</v>
      </c>
      <c r="C52" s="90" t="str">
        <f t="shared" si="4"/>
        <v>30.04.2024</v>
      </c>
      <c r="D52" s="90" t="str">
        <f t="shared" si="4"/>
        <v>30.04.2024</v>
      </c>
      <c r="E52" s="61" t="s">
        <v>96</v>
      </c>
      <c r="F52" s="91" t="str">
        <f t="shared" si="1"/>
        <v>00000048</v>
      </c>
      <c r="G52" s="91" t="str">
        <f t="shared" si="2"/>
        <v>AP-24-1108</v>
      </c>
      <c r="H52" s="86" t="s">
        <v>97</v>
      </c>
      <c r="I52" s="87">
        <f t="shared" si="3"/>
        <v>39.812089999999998</v>
      </c>
      <c r="J52" s="92"/>
      <c r="K52" s="88">
        <v>31</v>
      </c>
      <c r="L52" s="93" t="s">
        <v>18</v>
      </c>
      <c r="M52" s="94" t="s">
        <v>101</v>
      </c>
      <c r="N52" s="95">
        <v>50119</v>
      </c>
      <c r="O52" s="96"/>
      <c r="P52" s="97"/>
      <c r="Q52" s="96"/>
      <c r="R52" s="64" t="s">
        <v>98</v>
      </c>
      <c r="S52" s="98"/>
      <c r="T52" s="98"/>
      <c r="U52" s="98"/>
      <c r="V52" s="99"/>
      <c r="W52" s="91" t="s">
        <v>111</v>
      </c>
      <c r="X52" s="92"/>
      <c r="Y52" s="98"/>
      <c r="Z52" s="98"/>
      <c r="AA52" s="98"/>
      <c r="AB52" s="98"/>
      <c r="AC52" s="98"/>
      <c r="AD52" s="98"/>
      <c r="AE52" s="98"/>
      <c r="AF52" s="92"/>
      <c r="AG52" s="98"/>
      <c r="AH52" s="92"/>
      <c r="AI52" s="92"/>
      <c r="AJ52" s="92"/>
      <c r="AK52" s="92"/>
      <c r="AL52" s="75" t="s">
        <v>27</v>
      </c>
      <c r="AM52" s="100"/>
      <c r="AN52" s="100"/>
      <c r="AO52" s="100"/>
      <c r="AP52" s="100"/>
      <c r="AQ52" s="100"/>
      <c r="AR52" s="100"/>
      <c r="AS52" s="100"/>
      <c r="AT52" s="84" t="str">
        <f>+IF(Table13642[[#This Row],[Posting Key(2)]]=31,$AT$11,"")</f>
        <v>30.04.2024</v>
      </c>
      <c r="AU52" s="100"/>
      <c r="AV52" s="100" t="str">
        <f>+IF(Table13642[[#This Row],[Baseline Date(10)]]=$AT$1,"","TC25")</f>
        <v>TC25</v>
      </c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101"/>
      <c r="BO52" s="102"/>
      <c r="BP52" s="85">
        <v>20</v>
      </c>
    </row>
    <row r="53" spans="1:68" x14ac:dyDescent="0.25">
      <c r="A53" s="59">
        <v>0</v>
      </c>
      <c r="B53" s="60">
        <v>1</v>
      </c>
      <c r="C53" s="48" t="str">
        <f t="shared" ref="C53:D58" si="5">+$C$2</f>
        <v>30.04.2024</v>
      </c>
      <c r="D53" s="48" t="str">
        <f t="shared" si="5"/>
        <v>30.04.2024</v>
      </c>
      <c r="E53" s="61" t="s">
        <v>96</v>
      </c>
      <c r="F53" s="62" t="str">
        <f t="shared" si="1"/>
        <v>00000048</v>
      </c>
      <c r="G53" s="62" t="str">
        <f t="shared" si="2"/>
        <v>AP-24-1108</v>
      </c>
      <c r="H53" s="86" t="s">
        <v>97</v>
      </c>
      <c r="I53" s="87">
        <f t="shared" si="3"/>
        <v>39.812089999999998</v>
      </c>
      <c r="J53" s="64"/>
      <c r="K53" s="88">
        <v>40</v>
      </c>
      <c r="L53" s="66">
        <v>644500</v>
      </c>
      <c r="M53" s="67"/>
      <c r="N53" s="68">
        <v>59573</v>
      </c>
      <c r="O53" s="69"/>
      <c r="P53" s="70"/>
      <c r="Q53" s="69"/>
      <c r="R53" s="64" t="s">
        <v>98</v>
      </c>
      <c r="S53" s="71"/>
      <c r="T53" s="71"/>
      <c r="U53" s="71"/>
      <c r="V53" s="72"/>
      <c r="W53" s="73" t="s">
        <v>111</v>
      </c>
      <c r="X53" s="64"/>
      <c r="Y53" s="71"/>
      <c r="Z53" s="71"/>
      <c r="AA53" s="71"/>
      <c r="AB53" s="71"/>
      <c r="AC53" s="71"/>
      <c r="AD53" s="71"/>
      <c r="AE53" s="71"/>
      <c r="AF53" s="74" t="s">
        <v>118</v>
      </c>
      <c r="AG53" s="71"/>
      <c r="AH53" s="64"/>
      <c r="AI53" s="64"/>
      <c r="AJ53" s="64"/>
      <c r="AK53" s="64"/>
      <c r="AL53" s="75" t="s">
        <v>27</v>
      </c>
      <c r="AM53" s="75"/>
      <c r="AN53" s="75"/>
      <c r="AO53" s="75"/>
      <c r="AP53" s="75"/>
      <c r="AQ53" s="75"/>
      <c r="AR53" s="75"/>
      <c r="AS53" s="75"/>
      <c r="AT53" s="89" t="str">
        <f>+IF(Table13642[[#This Row],[Posting Key(2)]]=31,$AT$1,"")</f>
        <v/>
      </c>
      <c r="AU53" s="75"/>
      <c r="AV53" s="75" t="str">
        <f>+IF(Table13642[[#This Row],[Baseline Date(10)]]=$AT$1,"","TC25")</f>
        <v/>
      </c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76"/>
      <c r="BO53" s="77"/>
      <c r="BP53" s="85">
        <v>21</v>
      </c>
    </row>
    <row r="54" spans="1:68" x14ac:dyDescent="0.25">
      <c r="A54" s="59">
        <v>0</v>
      </c>
      <c r="B54" s="60">
        <v>1</v>
      </c>
      <c r="C54" s="90" t="str">
        <f t="shared" si="5"/>
        <v>30.04.2024</v>
      </c>
      <c r="D54" s="90" t="str">
        <f t="shared" si="5"/>
        <v>30.04.2024</v>
      </c>
      <c r="E54" s="61" t="s">
        <v>96</v>
      </c>
      <c r="F54" s="91" t="str">
        <f t="shared" si="1"/>
        <v>00000048</v>
      </c>
      <c r="G54" s="91" t="str">
        <f t="shared" si="2"/>
        <v>AP-24-1108</v>
      </c>
      <c r="H54" s="86" t="s">
        <v>97</v>
      </c>
      <c r="I54" s="87">
        <f t="shared" si="3"/>
        <v>39.812089999999998</v>
      </c>
      <c r="J54" s="92"/>
      <c r="K54" s="88">
        <v>31</v>
      </c>
      <c r="L54" s="93" t="s">
        <v>18</v>
      </c>
      <c r="M54" s="94" t="s">
        <v>101</v>
      </c>
      <c r="N54" s="95">
        <v>59573</v>
      </c>
      <c r="O54" s="96"/>
      <c r="P54" s="97"/>
      <c r="Q54" s="96"/>
      <c r="R54" s="64" t="s">
        <v>98</v>
      </c>
      <c r="S54" s="98"/>
      <c r="T54" s="98"/>
      <c r="U54" s="98"/>
      <c r="V54" s="99"/>
      <c r="W54" s="91" t="s">
        <v>111</v>
      </c>
      <c r="X54" s="92"/>
      <c r="Y54" s="98"/>
      <c r="Z54" s="98"/>
      <c r="AA54" s="98"/>
      <c r="AB54" s="98"/>
      <c r="AC54" s="98"/>
      <c r="AD54" s="98"/>
      <c r="AE54" s="98"/>
      <c r="AF54" s="92"/>
      <c r="AG54" s="98"/>
      <c r="AH54" s="92"/>
      <c r="AI54" s="92"/>
      <c r="AJ54" s="92"/>
      <c r="AK54" s="92"/>
      <c r="AL54" s="75" t="s">
        <v>27</v>
      </c>
      <c r="AM54" s="100"/>
      <c r="AN54" s="100"/>
      <c r="AO54" s="100"/>
      <c r="AP54" s="100"/>
      <c r="AQ54" s="100"/>
      <c r="AR54" s="100"/>
      <c r="AS54" s="100"/>
      <c r="AT54" s="84" t="str">
        <f>+IF(Table13642[[#This Row],[Posting Key(2)]]=31,$AT$11,"")</f>
        <v>30.04.2024</v>
      </c>
      <c r="AU54" s="100"/>
      <c r="AV54" s="100" t="str">
        <f>+IF(Table13642[[#This Row],[Baseline Date(10)]]=$AT$1,"","TC25")</f>
        <v>TC25</v>
      </c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101"/>
      <c r="BO54" s="102"/>
      <c r="BP54" s="85">
        <v>21</v>
      </c>
    </row>
    <row r="55" spans="1:68" x14ac:dyDescent="0.25">
      <c r="A55" s="59">
        <v>0</v>
      </c>
      <c r="B55" s="60">
        <v>1</v>
      </c>
      <c r="C55" s="48" t="str">
        <f t="shared" si="5"/>
        <v>30.04.2024</v>
      </c>
      <c r="D55" s="48" t="str">
        <f t="shared" si="5"/>
        <v>30.04.2024</v>
      </c>
      <c r="E55" s="61" t="s">
        <v>96</v>
      </c>
      <c r="F55" s="62" t="str">
        <f t="shared" si="1"/>
        <v>00000048</v>
      </c>
      <c r="G55" s="62" t="str">
        <f t="shared" si="2"/>
        <v>AP-24-1108</v>
      </c>
      <c r="H55" s="86" t="s">
        <v>97</v>
      </c>
      <c r="I55" s="87">
        <f t="shared" si="3"/>
        <v>39.812089999999998</v>
      </c>
      <c r="J55" s="64"/>
      <c r="K55" s="88">
        <v>40</v>
      </c>
      <c r="L55" s="66">
        <v>644500</v>
      </c>
      <c r="M55" s="67"/>
      <c r="N55" s="68">
        <v>59573</v>
      </c>
      <c r="O55" s="69"/>
      <c r="P55" s="70"/>
      <c r="Q55" s="69"/>
      <c r="R55" s="64" t="s">
        <v>98</v>
      </c>
      <c r="S55" s="71"/>
      <c r="T55" s="71"/>
      <c r="U55" s="71"/>
      <c r="V55" s="72"/>
      <c r="W55" s="73" t="s">
        <v>111</v>
      </c>
      <c r="X55" s="64"/>
      <c r="Y55" s="71"/>
      <c r="Z55" s="71"/>
      <c r="AA55" s="71"/>
      <c r="AB55" s="71"/>
      <c r="AC55" s="71"/>
      <c r="AD55" s="71"/>
      <c r="AE55" s="71"/>
      <c r="AF55" s="74" t="s">
        <v>118</v>
      </c>
      <c r="AG55" s="71"/>
      <c r="AH55" s="64"/>
      <c r="AI55" s="64"/>
      <c r="AJ55" s="64"/>
      <c r="AK55" s="64"/>
      <c r="AL55" s="75" t="s">
        <v>27</v>
      </c>
      <c r="AM55" s="75"/>
      <c r="AN55" s="75"/>
      <c r="AO55" s="75"/>
      <c r="AP55" s="75"/>
      <c r="AQ55" s="75"/>
      <c r="AR55" s="75"/>
      <c r="AS55" s="75"/>
      <c r="AT55" s="89" t="str">
        <f>+IF(Table13642[[#This Row],[Posting Key(2)]]=31,$AT$1,"")</f>
        <v/>
      </c>
      <c r="AU55" s="75"/>
      <c r="AV55" s="75" t="str">
        <f>+IF(Table13642[[#This Row],[Baseline Date(10)]]=$AT$1,"","TC25")</f>
        <v/>
      </c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76"/>
      <c r="BO55" s="77"/>
      <c r="BP55" s="85">
        <v>22</v>
      </c>
    </row>
    <row r="56" spans="1:68" x14ac:dyDescent="0.25">
      <c r="A56" s="59">
        <v>0</v>
      </c>
      <c r="B56" s="60">
        <v>1</v>
      </c>
      <c r="C56" s="90" t="str">
        <f t="shared" si="5"/>
        <v>30.04.2024</v>
      </c>
      <c r="D56" s="90" t="str">
        <f t="shared" si="5"/>
        <v>30.04.2024</v>
      </c>
      <c r="E56" s="61" t="s">
        <v>96</v>
      </c>
      <c r="F56" s="91" t="str">
        <f t="shared" si="1"/>
        <v>00000048</v>
      </c>
      <c r="G56" s="91" t="str">
        <f t="shared" si="2"/>
        <v>AP-24-1108</v>
      </c>
      <c r="H56" s="86" t="s">
        <v>97</v>
      </c>
      <c r="I56" s="87">
        <f t="shared" si="3"/>
        <v>39.812089999999998</v>
      </c>
      <c r="J56" s="92"/>
      <c r="K56" s="88">
        <v>31</v>
      </c>
      <c r="L56" s="93" t="s">
        <v>18</v>
      </c>
      <c r="M56" s="94" t="s">
        <v>101</v>
      </c>
      <c r="N56" s="95">
        <v>59573</v>
      </c>
      <c r="O56" s="96"/>
      <c r="P56" s="97"/>
      <c r="Q56" s="96"/>
      <c r="R56" s="64" t="s">
        <v>98</v>
      </c>
      <c r="S56" s="98"/>
      <c r="T56" s="98"/>
      <c r="U56" s="98"/>
      <c r="V56" s="99"/>
      <c r="W56" s="91" t="s">
        <v>111</v>
      </c>
      <c r="X56" s="92"/>
      <c r="Y56" s="98"/>
      <c r="Z56" s="98"/>
      <c r="AA56" s="98"/>
      <c r="AB56" s="98"/>
      <c r="AC56" s="98"/>
      <c r="AD56" s="98"/>
      <c r="AE56" s="98"/>
      <c r="AF56" s="92"/>
      <c r="AG56" s="98"/>
      <c r="AH56" s="92"/>
      <c r="AI56" s="92"/>
      <c r="AJ56" s="92"/>
      <c r="AK56" s="92"/>
      <c r="AL56" s="75" t="s">
        <v>27</v>
      </c>
      <c r="AM56" s="100"/>
      <c r="AN56" s="100"/>
      <c r="AO56" s="100"/>
      <c r="AP56" s="100"/>
      <c r="AQ56" s="100"/>
      <c r="AR56" s="100"/>
      <c r="AS56" s="100"/>
      <c r="AT56" s="84" t="str">
        <f>+IF(Table13642[[#This Row],[Posting Key(2)]]=31,$AT$11,"")</f>
        <v>30.04.2024</v>
      </c>
      <c r="AU56" s="100"/>
      <c r="AV56" s="100" t="str">
        <f>+IF(Table13642[[#This Row],[Baseline Date(10)]]=$AT$1,"","TC25")</f>
        <v>TC25</v>
      </c>
      <c r="AW56" s="92"/>
      <c r="AX56" s="92"/>
      <c r="AY56" s="92"/>
      <c r="AZ56" s="92"/>
      <c r="BA56" s="92"/>
      <c r="BB56" s="92"/>
      <c r="BC56" s="92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101"/>
      <c r="BO56" s="102"/>
      <c r="BP56" s="85">
        <v>22</v>
      </c>
    </row>
    <row r="57" spans="1:68" x14ac:dyDescent="0.25">
      <c r="A57" s="59">
        <v>0</v>
      </c>
      <c r="B57" s="60">
        <v>1</v>
      </c>
      <c r="C57" s="48" t="str">
        <f t="shared" si="5"/>
        <v>30.04.2024</v>
      </c>
      <c r="D57" s="48" t="str">
        <f t="shared" si="5"/>
        <v>30.04.2024</v>
      </c>
      <c r="E57" s="61" t="s">
        <v>96</v>
      </c>
      <c r="F57" s="62" t="str">
        <f t="shared" si="1"/>
        <v>00000048</v>
      </c>
      <c r="G57" s="62" t="str">
        <f t="shared" si="2"/>
        <v>AP-24-1108</v>
      </c>
      <c r="H57" s="86" t="s">
        <v>97</v>
      </c>
      <c r="I57" s="87">
        <f t="shared" si="3"/>
        <v>39.812089999999998</v>
      </c>
      <c r="J57" s="64"/>
      <c r="K57" s="88">
        <v>40</v>
      </c>
      <c r="L57" s="66">
        <v>652210</v>
      </c>
      <c r="M57" s="67"/>
      <c r="N57" s="68">
        <v>2089150</v>
      </c>
      <c r="O57" s="69"/>
      <c r="P57" s="70"/>
      <c r="Q57" s="69"/>
      <c r="R57" s="64" t="s">
        <v>98</v>
      </c>
      <c r="S57" s="71"/>
      <c r="T57" s="71"/>
      <c r="U57" s="71"/>
      <c r="V57" s="72"/>
      <c r="W57" s="73" t="s">
        <v>119</v>
      </c>
      <c r="X57" s="64"/>
      <c r="Y57" s="71"/>
      <c r="Z57" s="71"/>
      <c r="AA57" s="71"/>
      <c r="AB57" s="71"/>
      <c r="AC57" s="71"/>
      <c r="AD57" s="71"/>
      <c r="AE57" s="71"/>
      <c r="AF57" s="74" t="s">
        <v>120</v>
      </c>
      <c r="AG57" s="71"/>
      <c r="AH57" s="64"/>
      <c r="AI57" s="64"/>
      <c r="AJ57" s="64"/>
      <c r="AK57" s="64"/>
      <c r="AL57" s="75" t="s">
        <v>27</v>
      </c>
      <c r="AM57" s="75"/>
      <c r="AN57" s="75"/>
      <c r="AO57" s="75"/>
      <c r="AP57" s="75"/>
      <c r="AQ57" s="75"/>
      <c r="AR57" s="75"/>
      <c r="AS57" s="75"/>
      <c r="AT57" s="89" t="str">
        <f>+IF(Table13642[[#This Row],[Posting Key(2)]]=31,$AT$1,"")</f>
        <v/>
      </c>
      <c r="AU57" s="75"/>
      <c r="AV57" s="75" t="str">
        <f>+IF(Table13642[[#This Row],[Baseline Date(10)]]=$AT$1,"","TC25")</f>
        <v/>
      </c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76"/>
      <c r="BO57" s="77"/>
      <c r="BP57" s="85">
        <v>23</v>
      </c>
    </row>
    <row r="58" spans="1:68" x14ac:dyDescent="0.25">
      <c r="A58" s="59">
        <v>0</v>
      </c>
      <c r="B58" s="60">
        <v>1</v>
      </c>
      <c r="C58" s="90" t="str">
        <f t="shared" si="5"/>
        <v>30.04.2024</v>
      </c>
      <c r="D58" s="90" t="str">
        <f t="shared" si="5"/>
        <v>30.04.2024</v>
      </c>
      <c r="E58" s="61" t="s">
        <v>96</v>
      </c>
      <c r="F58" s="91" t="str">
        <f t="shared" si="1"/>
        <v>00000048</v>
      </c>
      <c r="G58" s="91" t="str">
        <f t="shared" si="2"/>
        <v>AP-24-1108</v>
      </c>
      <c r="H58" s="86" t="s">
        <v>97</v>
      </c>
      <c r="I58" s="87">
        <f t="shared" si="3"/>
        <v>39.812089999999998</v>
      </c>
      <c r="J58" s="92"/>
      <c r="K58" s="88">
        <v>31</v>
      </c>
      <c r="L58" s="93" t="s">
        <v>18</v>
      </c>
      <c r="M58" s="94" t="s">
        <v>101</v>
      </c>
      <c r="N58" s="95">
        <v>2089150</v>
      </c>
      <c r="O58" s="96"/>
      <c r="P58" s="97"/>
      <c r="Q58" s="96"/>
      <c r="R58" s="64" t="s">
        <v>98</v>
      </c>
      <c r="S58" s="98"/>
      <c r="T58" s="98"/>
      <c r="U58" s="98"/>
      <c r="V58" s="99"/>
      <c r="W58" s="91" t="s">
        <v>119</v>
      </c>
      <c r="X58" s="92"/>
      <c r="Y58" s="98"/>
      <c r="Z58" s="98"/>
      <c r="AA58" s="98"/>
      <c r="AB58" s="98"/>
      <c r="AC58" s="98"/>
      <c r="AD58" s="98"/>
      <c r="AE58" s="98"/>
      <c r="AF58" s="92"/>
      <c r="AG58" s="98"/>
      <c r="AH58" s="92"/>
      <c r="AI58" s="92"/>
      <c r="AJ58" s="92"/>
      <c r="AK58" s="92"/>
      <c r="AL58" s="75" t="s">
        <v>27</v>
      </c>
      <c r="AM58" s="100"/>
      <c r="AN58" s="100"/>
      <c r="AO58" s="100"/>
      <c r="AP58" s="100"/>
      <c r="AQ58" s="100"/>
      <c r="AR58" s="100"/>
      <c r="AS58" s="100"/>
      <c r="AT58" s="84" t="str">
        <f>+IF(Table13642[[#This Row],[Posting Key(2)]]=31,$AT$11,"")</f>
        <v>30.04.2024</v>
      </c>
      <c r="AU58" s="100"/>
      <c r="AV58" s="100" t="str">
        <f>+IF(Table13642[[#This Row],[Baseline Date(10)]]=$AT$1,"","TC25")</f>
        <v>TC25</v>
      </c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76"/>
      <c r="BO58" s="77"/>
      <c r="BP58" s="85">
        <v>23</v>
      </c>
    </row>
  </sheetData>
  <mergeCells count="10">
    <mergeCell ref="O5:O6"/>
    <mergeCell ref="P5:P6"/>
    <mergeCell ref="Q5:Q6"/>
    <mergeCell ref="R5:R6"/>
    <mergeCell ref="S5:S6"/>
    <mergeCell ref="O7:O8"/>
    <mergeCell ref="P7:P8"/>
    <mergeCell ref="Q7:Q8"/>
    <mergeCell ref="R7:R8"/>
    <mergeCell ref="S7:S8"/>
  </mergeCells>
  <conditionalFormatting sqref="O3:O5 O9">
    <cfRule type="duplicateValues" dxfId="128" priority="2"/>
  </conditionalFormatting>
  <conditionalFormatting sqref="O7">
    <cfRule type="duplicateValues" dxfId="127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ABD84E51164B43A3361ACEFF99F3D8" ma:contentTypeVersion="13" ma:contentTypeDescription="Create a new document." ma:contentTypeScope="" ma:versionID="fa4391f315a9a27429dd23b643f01455">
  <xsd:schema xmlns:xsd="http://www.w3.org/2001/XMLSchema" xmlns:xs="http://www.w3.org/2001/XMLSchema" xmlns:p="http://schemas.microsoft.com/office/2006/metadata/properties" xmlns:ns3="74ab1056-d2e8-4be5-bb47-445aea0f86a7" xmlns:ns4="f9bdde8d-bc82-4a51-adcd-e5197173c8be" targetNamespace="http://schemas.microsoft.com/office/2006/metadata/properties" ma:root="true" ma:fieldsID="857ddf0436175960131757827b893e58" ns3:_="" ns4:_="">
    <xsd:import namespace="74ab1056-d2e8-4be5-bb47-445aea0f86a7"/>
    <xsd:import namespace="f9bdde8d-bc82-4a51-adcd-e5197173c8b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ab1056-d2e8-4be5-bb47-445aea0f86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bdde8d-bc82-4a51-adcd-e5197173c8b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4ab1056-d2e8-4be5-bb47-445aea0f86a7" xsi:nil="true"/>
  </documentManagement>
</p:properties>
</file>

<file path=customXml/itemProps1.xml><?xml version="1.0" encoding="utf-8"?>
<ds:datastoreItem xmlns:ds="http://schemas.openxmlformats.org/officeDocument/2006/customXml" ds:itemID="{611A1357-D222-4581-BD3D-BB1CD63256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ab1056-d2e8-4be5-bb47-445aea0f86a7"/>
    <ds:schemaRef ds:uri="f9bdde8d-bc82-4a51-adcd-e5197173c8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F5D4DA-C13D-41D5-A454-C99367FC0D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740493-9B81-4F10-988D-EB49D94DDB70}">
  <ds:schemaRefs>
    <ds:schemaRef ds:uri="f9bdde8d-bc82-4a51-adcd-e5197173c8be"/>
    <ds:schemaRef ds:uri="http://schemas.openxmlformats.org/package/2006/metadata/core-properties"/>
    <ds:schemaRef ds:uri="http://purl.org/dc/dcmitype/"/>
    <ds:schemaRef ds:uri="74ab1056-d2e8-4be5-bb47-445aea0f86a7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F-65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 Thi Lan Huong</dc:creator>
  <cp:lastModifiedBy>Do Duc Anh</cp:lastModifiedBy>
  <dcterms:created xsi:type="dcterms:W3CDTF">2024-05-17T01:28:37Z</dcterms:created>
  <dcterms:modified xsi:type="dcterms:W3CDTF">2024-05-17T02:03:48Z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0x01010081ABD84E51164B43A3361ACEFF99F3D8</vt:lpwstr>
  </property>
</Properties>
</file>