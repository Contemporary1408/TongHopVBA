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0.118.29.7\BTMV-Data\1-ALL\12. 3312\02. SAP\AUTO\"/>
    </mc:Choice>
  </mc:AlternateContent>
  <xr:revisionPtr revIDLastSave="0" documentId="13_ncr:1_{174F402E-5D77-48D7-BB78-5851D9F890F0}" xr6:coauthVersionLast="47" xr6:coauthVersionMax="47" xr10:uidLastSave="{00000000-0000-0000-0000-000000000000}"/>
  <bookViews>
    <workbookView xWindow="-120" yWindow="-120" windowWidth="20730" windowHeight="11040" xr2:uid="{C5F6B779-86EE-4D3A-A9A0-95097E805D7D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C7" i="1"/>
  <c r="A7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" i="1" l="1"/>
  <c r="B7" i="1" s="1"/>
  <c r="M3" i="1"/>
  <c r="M4" i="1"/>
  <c r="M5" i="1"/>
  <c r="M6" i="1"/>
  <c r="M7" i="1"/>
  <c r="M8" i="1"/>
  <c r="M9" i="1"/>
  <c r="M10" i="1"/>
  <c r="M11" i="1"/>
  <c r="M12" i="1"/>
  <c r="M13" i="1"/>
  <c r="M14" i="1"/>
  <c r="M15" i="1"/>
</calcChain>
</file>

<file path=xl/sharedStrings.xml><?xml version="1.0" encoding="utf-8"?>
<sst xmlns="http://schemas.openxmlformats.org/spreadsheetml/2006/main" count="99" uniqueCount="73">
  <si>
    <t>&lt;&lt; User</t>
  </si>
  <si>
    <t>&lt;&lt; PW</t>
  </si>
  <si>
    <t>Date</t>
  </si>
  <si>
    <t>FirstRow</t>
  </si>
  <si>
    <t>LastRow</t>
  </si>
  <si>
    <t>Line</t>
  </si>
  <si>
    <t>BPC</t>
  </si>
  <si>
    <t>Mat. Short Text</t>
  </si>
  <si>
    <t>Qty in UnE</t>
  </si>
  <si>
    <t>Doc.Header Text</t>
  </si>
  <si>
    <t>PSR0V03P</t>
  </si>
  <si>
    <t>PSR0V03P3</t>
  </si>
  <si>
    <t>PSR0V05B</t>
  </si>
  <si>
    <t>PSR0V05B3</t>
  </si>
  <si>
    <t>PSR0V06P</t>
  </si>
  <si>
    <t>PSR0V06P3</t>
  </si>
  <si>
    <t>Document/Posting Date</t>
  </si>
  <si>
    <t>Index</t>
  </si>
  <si>
    <t>Header</t>
  </si>
  <si>
    <t>PSR0V01P</t>
  </si>
  <si>
    <t>PSR0V01P3</t>
  </si>
  <si>
    <t>PSR0V11S</t>
  </si>
  <si>
    <t>PSR0V11S3</t>
  </si>
  <si>
    <t>PSR0V126</t>
  </si>
  <si>
    <t>PSR0V1263</t>
  </si>
  <si>
    <t>PSR0V149</t>
  </si>
  <si>
    <t>PSR0V1493</t>
  </si>
  <si>
    <t>PSR0V187</t>
  </si>
  <si>
    <t>PSR0V1873</t>
  </si>
  <si>
    <t>PSR0V194</t>
  </si>
  <si>
    <t>PSR0V1943</t>
  </si>
  <si>
    <t>PSR0V227</t>
  </si>
  <si>
    <t>PSR0V2273</t>
  </si>
  <si>
    <t>PSR0V229</t>
  </si>
  <si>
    <t>PSR0V2293</t>
  </si>
  <si>
    <t>PSR0V234</t>
  </si>
  <si>
    <t>PSR0V2343</t>
  </si>
  <si>
    <t>PSR0V235</t>
  </si>
  <si>
    <t>PSR0V2353</t>
  </si>
  <si>
    <t>PSR0V240</t>
  </si>
  <si>
    <t>PSR0V2403</t>
  </si>
  <si>
    <t>PSR0V243</t>
  </si>
  <si>
    <t>PSR0V2433</t>
  </si>
  <si>
    <t>PSR0V247</t>
  </si>
  <si>
    <t>PSR0V2473</t>
  </si>
  <si>
    <t>PSR0V248</t>
  </si>
  <si>
    <t>PSR0V2483</t>
  </si>
  <si>
    <t>PSR0V250</t>
  </si>
  <si>
    <t>PSR0V2503</t>
  </si>
  <si>
    <t>PSR0V257</t>
  </si>
  <si>
    <t>PSR0V2573</t>
  </si>
  <si>
    <t>PSR0V265</t>
  </si>
  <si>
    <t>PSR0V2653</t>
  </si>
  <si>
    <t>PSR0V266</t>
  </si>
  <si>
    <t>PSR0V2663</t>
  </si>
  <si>
    <t>PSR0V268</t>
  </si>
  <si>
    <t>PSR0V2683</t>
  </si>
  <si>
    <t>PSR0V29D</t>
  </si>
  <si>
    <t>PSR0V29D3</t>
  </si>
  <si>
    <t>PSR0V51D</t>
  </si>
  <si>
    <t>PSR0V51D3</t>
  </si>
  <si>
    <t>PSR0VH2F</t>
  </si>
  <si>
    <t>PSR0VH2F3</t>
  </si>
  <si>
    <t>PSR0VH3F</t>
  </si>
  <si>
    <t>PSR0VH3F3</t>
  </si>
  <si>
    <t>PSR0VH4F</t>
  </si>
  <si>
    <t>PSR0VH4F3</t>
  </si>
  <si>
    <t>FP-PN-24-05-015</t>
  </si>
  <si>
    <t>Btmv@2024</t>
  </si>
  <si>
    <t xml:space="preserve"> </t>
  </si>
  <si>
    <t>Date1</t>
  </si>
  <si>
    <t>vhpus14</t>
  </si>
  <si>
    <t>BTMV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</si>
</sst>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5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0" fontId="0" fillId="0" borderId="0" xfId="0" quotePrefix="1"/>
    <xf numFmtId="164" fontId="0" fillId="0" borderId="0" xfId="0" applyNumberFormat="1"/>
    <xf numFmtId="0" fontId="1" fillId="2" borderId="0" xfId="1" applyFill="1"/>
    <xf numFmtId="0" fontId="3" fillId="2" borderId="0" xfId="0" applyFont="1" applyFill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6" fontId="0" fillId="3" borderId="0" xfId="0" applyNumberFormat="1" applyFill="1"/>
    <xf numFmtId="0" fontId="0" fillId="3" borderId="0" xfId="0" applyFill="1"/>
  </cellXfs>
  <cellStyles count="2">
    <cellStyle name="Hyperlink" xfId="1" builtinId="8"/>
    <cellStyle name="Normal" xfId="0" builtinId="0"/>
  </cellStyles>
  <dxfs count="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\.mm\.yyyy"/>
      <alignment horizontal="center" vertical="center" textRotation="0" wrapText="0" indent="0" justifyLastLine="0" shrinkToFit="0" readingOrder="0"/>
    </dxf>
    <dxf>
      <numFmt numFmtId="0" formatCode="General"/>
    </dxf>
    <dxf>
      <numFmt numFmtId="164" formatCode="dd\.mm\.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A$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</xdr:rowOff>
    </xdr:from>
    <xdr:to>
      <xdr:col>4</xdr:col>
      <xdr:colOff>21167</xdr:colOff>
      <xdr:row>4</xdr:row>
      <xdr:rowOff>74084</xdr:rowOff>
    </xdr:to>
    <xdr:sp macro="[0]!MIGOG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34167" y="381001"/>
          <a:ext cx="1121833" cy="45508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85725</xdr:rowOff>
        </xdr:from>
        <xdr:to>
          <xdr:col>0</xdr:col>
          <xdr:colOff>973667</xdr:colOff>
          <xdr:row>4</xdr:row>
          <xdr:rowOff>104775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2D05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POST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421205-5512-4D7B-B6EA-622AECF5E705}" name="Table1" displayName="Table1" ref="G1:M28" totalsRowShown="0">
  <autoFilter ref="G1:M28" xr:uid="{44421205-5512-4D7B-B6EA-622AECF5E705}"/>
  <tableColumns count="7">
    <tableColumn id="1" xr3:uid="{7831BCBB-5538-4D08-84F0-CFA154854825}" name="Document/Posting Date" dataDxfId="8"/>
    <tableColumn id="2" xr3:uid="{B2949955-AAC4-49AF-85BE-F3D15EC6AE15}" name="Line"/>
    <tableColumn id="3" xr3:uid="{38837920-9AAC-48EE-8836-EAB1F6478561}" name="BPC"/>
    <tableColumn id="4" xr3:uid="{04E872AA-1233-43F7-9541-E571D20FD783}" name="Mat. Short Text"/>
    <tableColumn id="5" xr3:uid="{6908C8DD-A731-4A58-BA6A-4C3761B9C4F3}" name="Qty in UnE"/>
    <tableColumn id="10" xr3:uid="{4C9C8A69-E2B5-4C9F-ACCC-ABC199DCDFB5}" name="Doc.Header Text"/>
    <tableColumn id="11" xr3:uid="{A5E7C56D-207A-4BF2-A94F-315838B5C30D}" name="Index" dataDxfId="7">
      <calculatedColumnFormula>ROW()</calculatedColumnFormula>
    </tableColumn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FD9774-3D62-4642-93BB-C8F5D02FA82F}" name="Table2" displayName="Table2" ref="A6:E7" totalsRowShown="0" headerRowDxfId="1" dataDxfId="0">
  <autoFilter ref="A6:E7" xr:uid="{42FD9774-3D62-4642-93BB-C8F5D02FA82F}"/>
  <tableColumns count="5">
    <tableColumn id="1" xr3:uid="{26C3490D-62A1-48DD-81AB-B54F9F205971}" name="Date" dataDxfId="6">
      <calculatedColumnFormula>TEXT(Table2[[#This Row],[Date1]],"dd.mm.yyyy")</calculatedColumnFormula>
    </tableColumn>
    <tableColumn id="2" xr3:uid="{29AE1D8E-58B2-4118-8C50-E22802FD0AC5}" name="FirstRow" dataDxfId="5">
      <calculatedColumnFormula>VLOOKUP(E7,Table1[],7,0)</calculatedColumnFormula>
    </tableColumn>
    <tableColumn id="3" xr3:uid="{30A2B9BF-DBE1-4215-BFA2-F82EFF9DDE70}" name="LastRow" dataDxfId="4">
      <calculatedColumnFormula>_xlfn.XLOOKUP(E7,Table1[Document/Posting Date],Table1[Index],,,-1)</calculatedColumnFormula>
    </tableColumn>
    <tableColumn id="4" xr3:uid="{46C01AC1-A9EF-4641-8EF9-04BFF29BC532}" name="Header" dataDxfId="3">
      <calculatedColumnFormula>VLOOKUP(Table2[[#This Row],[Date1]],Table1[[Document/Posting Date]:[Doc.Header Text]],6,0)</calculatedColumnFormula>
    </tableColumn>
    <tableColumn id="5" xr3:uid="{DE7C117A-5F3E-4DB5-8F71-0AAC944AD0C3}" name="Date1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Btmv@2024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EA4E-13D5-454C-96A8-3069CF0F8401}">
  <sheetPr codeName="Sheet1"/>
  <dimension ref="A1:M28"/>
  <sheetViews>
    <sheetView tabSelected="1" zoomScale="90" zoomScaleNormal="90" workbookViewId="0">
      <selection activeCell="C13" sqref="C13"/>
    </sheetView>
  </sheetViews>
  <sheetFormatPr defaultRowHeight="15" x14ac:dyDescent="0.25"/>
  <cols>
    <col min="1" max="1" width="14.7109375" customWidth="1"/>
    <col min="2" max="2" width="11" customWidth="1"/>
    <col min="3" max="3" width="10.7109375" customWidth="1"/>
    <col min="4" max="4" width="16.42578125" customWidth="1"/>
    <col min="5" max="5" width="10.85546875" customWidth="1"/>
    <col min="7" max="7" width="17.5703125" customWidth="1"/>
    <col min="10" max="10" width="16.5703125" customWidth="1"/>
    <col min="11" max="11" width="12.42578125" customWidth="1"/>
    <col min="12" max="12" width="18.140625" customWidth="1"/>
  </cols>
  <sheetData>
    <row r="1" spans="1:13" x14ac:dyDescent="0.25">
      <c r="A1" s="1" t="s">
        <v>71</v>
      </c>
      <c r="B1" s="2" t="s">
        <v>0</v>
      </c>
      <c r="C1" s="5">
        <v>521</v>
      </c>
      <c r="D1" s="10" t="s">
        <v>72</v>
      </c>
      <c r="E1" s="11"/>
      <c r="G1" t="s">
        <v>16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s="1" t="s">
        <v>17</v>
      </c>
    </row>
    <row r="2" spans="1:13" x14ac:dyDescent="0.25">
      <c r="A2" s="4" t="s">
        <v>68</v>
      </c>
      <c r="B2" s="2" t="s">
        <v>1</v>
      </c>
      <c r="G2" s="3">
        <v>45435</v>
      </c>
      <c r="H2">
        <v>1</v>
      </c>
      <c r="I2" t="s">
        <v>19</v>
      </c>
      <c r="J2" t="s">
        <v>20</v>
      </c>
      <c r="K2">
        <v>52</v>
      </c>
      <c r="L2" t="s">
        <v>67</v>
      </c>
      <c r="M2">
        <f>ROW()</f>
        <v>2</v>
      </c>
    </row>
    <row r="3" spans="1:13" x14ac:dyDescent="0.25">
      <c r="G3" s="3">
        <v>45435</v>
      </c>
      <c r="H3">
        <v>2</v>
      </c>
      <c r="I3" t="s">
        <v>10</v>
      </c>
      <c r="J3" t="s">
        <v>11</v>
      </c>
      <c r="K3">
        <v>192</v>
      </c>
      <c r="L3" t="s">
        <v>67</v>
      </c>
      <c r="M3">
        <f>ROW()</f>
        <v>3</v>
      </c>
    </row>
    <row r="4" spans="1:13" x14ac:dyDescent="0.25">
      <c r="A4" t="b">
        <v>0</v>
      </c>
      <c r="G4" s="3">
        <v>45435</v>
      </c>
      <c r="H4">
        <v>3</v>
      </c>
      <c r="I4" t="s">
        <v>12</v>
      </c>
      <c r="J4" t="s">
        <v>13</v>
      </c>
      <c r="K4">
        <v>280</v>
      </c>
      <c r="L4" t="s">
        <v>67</v>
      </c>
      <c r="M4">
        <f>ROW()</f>
        <v>4</v>
      </c>
    </row>
    <row r="5" spans="1:13" x14ac:dyDescent="0.25">
      <c r="G5" s="3">
        <v>45435</v>
      </c>
      <c r="H5">
        <v>4</v>
      </c>
      <c r="I5" t="s">
        <v>14</v>
      </c>
      <c r="J5" t="s">
        <v>15</v>
      </c>
      <c r="K5">
        <v>28</v>
      </c>
      <c r="L5" t="s">
        <v>67</v>
      </c>
      <c r="M5">
        <f>ROW()</f>
        <v>5</v>
      </c>
    </row>
    <row r="6" spans="1:13" x14ac:dyDescent="0.25">
      <c r="A6" s="6" t="s">
        <v>2</v>
      </c>
      <c r="B6" s="6" t="s">
        <v>3</v>
      </c>
      <c r="C6" s="6" t="s">
        <v>4</v>
      </c>
      <c r="D6" s="6" t="s">
        <v>18</v>
      </c>
      <c r="E6" s="7" t="s">
        <v>70</v>
      </c>
      <c r="G6" s="3">
        <v>45435</v>
      </c>
      <c r="H6">
        <v>5</v>
      </c>
      <c r="I6" t="s">
        <v>21</v>
      </c>
      <c r="J6" t="s">
        <v>22</v>
      </c>
      <c r="K6">
        <v>111</v>
      </c>
      <c r="L6" t="s">
        <v>67</v>
      </c>
      <c r="M6">
        <f>ROW()</f>
        <v>6</v>
      </c>
    </row>
    <row r="7" spans="1:13" x14ac:dyDescent="0.25">
      <c r="A7" s="8" t="str">
        <f>TEXT(Table2[[#This Row],[Date1]],"dd.mm.yyyy")</f>
        <v>23.05.2024</v>
      </c>
      <c r="B7" s="6">
        <f>VLOOKUP(E7,Table1[],7,0)</f>
        <v>2</v>
      </c>
      <c r="C7" s="6">
        <f>_xlfn.XLOOKUP(E7,Table1[Document/Posting Date],Table1[Index],,,-1)</f>
        <v>28</v>
      </c>
      <c r="D7" s="6" t="str">
        <f>VLOOKUP(Table2[[#This Row],[Date1]],Table1[[Document/Posting Date]:[Doc.Header Text]],6,0)</f>
        <v>FP-PN-24-05-015</v>
      </c>
      <c r="E7" s="9">
        <v>45435</v>
      </c>
      <c r="G7" s="3">
        <v>45435</v>
      </c>
      <c r="H7">
        <v>6</v>
      </c>
      <c r="I7" t="s">
        <v>23</v>
      </c>
      <c r="J7" t="s">
        <v>24</v>
      </c>
      <c r="K7">
        <v>144</v>
      </c>
      <c r="L7" t="s">
        <v>67</v>
      </c>
      <c r="M7">
        <f>ROW()</f>
        <v>7</v>
      </c>
    </row>
    <row r="8" spans="1:13" x14ac:dyDescent="0.25">
      <c r="C8" t="s">
        <v>69</v>
      </c>
      <c r="G8" s="3">
        <v>45435</v>
      </c>
      <c r="H8">
        <v>7</v>
      </c>
      <c r="I8" t="s">
        <v>25</v>
      </c>
      <c r="J8" t="s">
        <v>26</v>
      </c>
      <c r="K8">
        <v>19</v>
      </c>
      <c r="L8" t="s">
        <v>67</v>
      </c>
      <c r="M8">
        <f>ROW()</f>
        <v>8</v>
      </c>
    </row>
    <row r="9" spans="1:13" x14ac:dyDescent="0.25">
      <c r="G9" s="3">
        <v>45435</v>
      </c>
      <c r="H9">
        <v>8</v>
      </c>
      <c r="I9" t="s">
        <v>27</v>
      </c>
      <c r="J9" t="s">
        <v>28</v>
      </c>
      <c r="K9">
        <v>180</v>
      </c>
      <c r="L9" t="s">
        <v>67</v>
      </c>
      <c r="M9">
        <f>ROW()</f>
        <v>9</v>
      </c>
    </row>
    <row r="10" spans="1:13" x14ac:dyDescent="0.25">
      <c r="G10" s="3">
        <v>45435</v>
      </c>
      <c r="H10">
        <v>9</v>
      </c>
      <c r="I10" t="s">
        <v>29</v>
      </c>
      <c r="J10" t="s">
        <v>30</v>
      </c>
      <c r="K10">
        <v>168</v>
      </c>
      <c r="L10" t="s">
        <v>67</v>
      </c>
      <c r="M10">
        <f>ROW()</f>
        <v>10</v>
      </c>
    </row>
    <row r="11" spans="1:13" x14ac:dyDescent="0.25">
      <c r="G11" s="3">
        <v>45435</v>
      </c>
      <c r="H11">
        <v>10</v>
      </c>
      <c r="I11" t="s">
        <v>31</v>
      </c>
      <c r="J11" t="s">
        <v>32</v>
      </c>
      <c r="K11">
        <v>180</v>
      </c>
      <c r="L11" t="s">
        <v>67</v>
      </c>
      <c r="M11">
        <f>ROW()</f>
        <v>11</v>
      </c>
    </row>
    <row r="12" spans="1:13" x14ac:dyDescent="0.25">
      <c r="G12" s="3">
        <v>45435</v>
      </c>
      <c r="H12">
        <v>11</v>
      </c>
      <c r="I12" t="s">
        <v>33</v>
      </c>
      <c r="J12" t="s">
        <v>34</v>
      </c>
      <c r="K12">
        <v>1792</v>
      </c>
      <c r="L12" t="s">
        <v>67</v>
      </c>
      <c r="M12">
        <f>ROW()</f>
        <v>12</v>
      </c>
    </row>
    <row r="13" spans="1:13" x14ac:dyDescent="0.25">
      <c r="G13" s="3">
        <v>45435</v>
      </c>
      <c r="H13">
        <v>12</v>
      </c>
      <c r="I13" t="s">
        <v>35</v>
      </c>
      <c r="J13" t="s">
        <v>36</v>
      </c>
      <c r="K13">
        <v>1248</v>
      </c>
      <c r="L13" t="s">
        <v>67</v>
      </c>
      <c r="M13">
        <f>ROW()</f>
        <v>13</v>
      </c>
    </row>
    <row r="14" spans="1:13" x14ac:dyDescent="0.25">
      <c r="G14" s="3">
        <v>45435</v>
      </c>
      <c r="H14">
        <v>13</v>
      </c>
      <c r="I14" t="s">
        <v>37</v>
      </c>
      <c r="J14" t="s">
        <v>38</v>
      </c>
      <c r="K14">
        <v>192</v>
      </c>
      <c r="L14" t="s">
        <v>67</v>
      </c>
      <c r="M14">
        <f>ROW()</f>
        <v>14</v>
      </c>
    </row>
    <row r="15" spans="1:13" x14ac:dyDescent="0.25">
      <c r="G15" s="3">
        <v>45435</v>
      </c>
      <c r="H15">
        <v>14</v>
      </c>
      <c r="I15" t="s">
        <v>39</v>
      </c>
      <c r="J15" t="s">
        <v>40</v>
      </c>
      <c r="K15">
        <v>112</v>
      </c>
      <c r="L15" t="s">
        <v>67</v>
      </c>
      <c r="M15">
        <f>ROW()</f>
        <v>15</v>
      </c>
    </row>
    <row r="16" spans="1:13" x14ac:dyDescent="0.25">
      <c r="G16" s="3">
        <v>45435</v>
      </c>
      <c r="H16">
        <v>15</v>
      </c>
      <c r="I16" t="s">
        <v>41</v>
      </c>
      <c r="J16" t="s">
        <v>42</v>
      </c>
      <c r="K16">
        <v>160</v>
      </c>
      <c r="L16" t="s">
        <v>67</v>
      </c>
      <c r="M16">
        <f>ROW()</f>
        <v>16</v>
      </c>
    </row>
    <row r="17" spans="7:13" x14ac:dyDescent="0.25">
      <c r="G17" s="3">
        <v>45435</v>
      </c>
      <c r="H17">
        <v>16</v>
      </c>
      <c r="I17" t="s">
        <v>43</v>
      </c>
      <c r="J17" t="s">
        <v>44</v>
      </c>
      <c r="K17">
        <v>396</v>
      </c>
      <c r="L17" t="s">
        <v>67</v>
      </c>
      <c r="M17">
        <f>ROW()</f>
        <v>17</v>
      </c>
    </row>
    <row r="18" spans="7:13" x14ac:dyDescent="0.25">
      <c r="G18" s="3">
        <v>45435</v>
      </c>
      <c r="H18">
        <v>17</v>
      </c>
      <c r="I18" t="s">
        <v>45</v>
      </c>
      <c r="J18" t="s">
        <v>46</v>
      </c>
      <c r="K18">
        <v>180</v>
      </c>
      <c r="L18" t="s">
        <v>67</v>
      </c>
      <c r="M18">
        <f>ROW()</f>
        <v>18</v>
      </c>
    </row>
    <row r="19" spans="7:13" x14ac:dyDescent="0.25">
      <c r="G19" s="3">
        <v>45435</v>
      </c>
      <c r="H19">
        <v>18</v>
      </c>
      <c r="I19" t="s">
        <v>47</v>
      </c>
      <c r="J19" t="s">
        <v>48</v>
      </c>
      <c r="K19">
        <v>140</v>
      </c>
      <c r="L19" t="s">
        <v>67</v>
      </c>
      <c r="M19">
        <f>ROW()</f>
        <v>19</v>
      </c>
    </row>
    <row r="20" spans="7:13" x14ac:dyDescent="0.25">
      <c r="G20" s="3">
        <v>45435</v>
      </c>
      <c r="H20">
        <v>19</v>
      </c>
      <c r="I20" t="s">
        <v>49</v>
      </c>
      <c r="J20" t="s">
        <v>50</v>
      </c>
      <c r="K20">
        <v>180</v>
      </c>
      <c r="L20" t="s">
        <v>67</v>
      </c>
      <c r="M20">
        <f>ROW()</f>
        <v>20</v>
      </c>
    </row>
    <row r="21" spans="7:13" x14ac:dyDescent="0.25">
      <c r="G21" s="3">
        <v>45435</v>
      </c>
      <c r="H21">
        <v>20</v>
      </c>
      <c r="I21" t="s">
        <v>51</v>
      </c>
      <c r="J21" t="s">
        <v>52</v>
      </c>
      <c r="K21">
        <v>312</v>
      </c>
      <c r="L21" t="s">
        <v>67</v>
      </c>
      <c r="M21">
        <f>ROW()</f>
        <v>21</v>
      </c>
    </row>
    <row r="22" spans="7:13" x14ac:dyDescent="0.25">
      <c r="G22" s="3">
        <v>45435</v>
      </c>
      <c r="H22">
        <v>21</v>
      </c>
      <c r="I22" t="s">
        <v>53</v>
      </c>
      <c r="J22" t="s">
        <v>54</v>
      </c>
      <c r="K22">
        <v>360</v>
      </c>
      <c r="L22" t="s">
        <v>67</v>
      </c>
      <c r="M22">
        <f>ROW()</f>
        <v>22</v>
      </c>
    </row>
    <row r="23" spans="7:13" x14ac:dyDescent="0.25">
      <c r="G23" s="3">
        <v>45435</v>
      </c>
      <c r="H23">
        <v>22</v>
      </c>
      <c r="I23" t="s">
        <v>55</v>
      </c>
      <c r="J23" t="s">
        <v>56</v>
      </c>
      <c r="K23">
        <v>18</v>
      </c>
      <c r="L23" t="s">
        <v>67</v>
      </c>
      <c r="M23">
        <f>ROW()</f>
        <v>23</v>
      </c>
    </row>
    <row r="24" spans="7:13" x14ac:dyDescent="0.25">
      <c r="G24" s="3">
        <v>45435</v>
      </c>
      <c r="H24">
        <v>23</v>
      </c>
      <c r="I24" t="s">
        <v>57</v>
      </c>
      <c r="J24" t="s">
        <v>58</v>
      </c>
      <c r="K24">
        <v>104</v>
      </c>
      <c r="L24" t="s">
        <v>67</v>
      </c>
      <c r="M24">
        <f>ROW()</f>
        <v>24</v>
      </c>
    </row>
    <row r="25" spans="7:13" x14ac:dyDescent="0.25">
      <c r="G25" s="3">
        <v>45435</v>
      </c>
      <c r="H25">
        <v>24</v>
      </c>
      <c r="I25" t="s">
        <v>59</v>
      </c>
      <c r="J25" t="s">
        <v>60</v>
      </c>
      <c r="K25">
        <v>96</v>
      </c>
      <c r="L25" t="s">
        <v>67</v>
      </c>
      <c r="M25">
        <f>ROW()</f>
        <v>25</v>
      </c>
    </row>
    <row r="26" spans="7:13" x14ac:dyDescent="0.25">
      <c r="G26" s="3">
        <v>45435</v>
      </c>
      <c r="H26">
        <v>25</v>
      </c>
      <c r="I26" t="s">
        <v>61</v>
      </c>
      <c r="J26" t="s">
        <v>62</v>
      </c>
      <c r="K26">
        <v>560</v>
      </c>
      <c r="L26" t="s">
        <v>67</v>
      </c>
      <c r="M26">
        <f>ROW()</f>
        <v>26</v>
      </c>
    </row>
    <row r="27" spans="7:13" x14ac:dyDescent="0.25">
      <c r="G27" s="3">
        <v>45435</v>
      </c>
      <c r="H27">
        <v>26</v>
      </c>
      <c r="I27" t="s">
        <v>63</v>
      </c>
      <c r="J27" t="s">
        <v>64</v>
      </c>
      <c r="K27">
        <v>336</v>
      </c>
      <c r="L27" t="s">
        <v>67</v>
      </c>
      <c r="M27">
        <f>ROW()</f>
        <v>27</v>
      </c>
    </row>
    <row r="28" spans="7:13" x14ac:dyDescent="0.25">
      <c r="G28" s="3">
        <v>45435</v>
      </c>
      <c r="H28">
        <v>27</v>
      </c>
      <c r="I28" t="s">
        <v>65</v>
      </c>
      <c r="J28" t="s">
        <v>66</v>
      </c>
      <c r="K28">
        <v>600</v>
      </c>
      <c r="L28" t="s">
        <v>67</v>
      </c>
      <c r="M28">
        <f>ROW()</f>
        <v>28</v>
      </c>
    </row>
  </sheetData>
  <hyperlinks>
    <hyperlink ref="A2" r:id="rId1" xr:uid="{5952A1DD-5CCF-4592-ACF0-06C0D056687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0</xdr:col>
                    <xdr:colOff>971550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2024-05-29T07:43:01Z</dcterms:created>
  <dcterms:modified xsi:type="dcterms:W3CDTF">2024-06-06T01:40:59Z</dcterms:modified>
</cp:coreProperties>
</file>